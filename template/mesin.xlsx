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la\Downloads\"/>
    </mc:Choice>
  </mc:AlternateContent>
  <xr:revisionPtr revIDLastSave="0" documentId="13_ncr:1_{A23C7661-98B3-4C0B-8F7E-0E4286419B66}" xr6:coauthVersionLast="47" xr6:coauthVersionMax="47" xr10:uidLastSave="{00000000-0000-0000-0000-000000000000}"/>
  <bookViews>
    <workbookView xWindow="-120" yWindow="-120" windowWidth="20730" windowHeight="11160" tabRatio="863" activeTab="4" autoFilterDateGrouping="0" xr2:uid="{00000000-000D-0000-FFFF-FFFF00000000}"/>
  </bookViews>
  <sheets>
    <sheet name="DATA" sheetId="65" r:id="rId1"/>
    <sheet name="DATA 1" sheetId="62" r:id="rId2"/>
    <sheet name="proses" sheetId="60" r:id="rId3"/>
    <sheet name="JURNAL_LKH" sheetId="38" r:id="rId4"/>
    <sheet name="TEST" sheetId="67" r:id="rId5"/>
    <sheet name="LAPORAN BULANAN" sheetId="50" r:id="rId6"/>
    <sheet name="Sheet1" sheetId="66" state="hidden" r:id="rId7"/>
  </sheets>
  <definedNames>
    <definedName name="_xlnm._FilterDatabase" localSheetId="3" hidden="1">JURNAL_LKH!$A$21:$O$191</definedName>
    <definedName name="_xlnm.Print_Area" localSheetId="3">JURNAL_LKH!$A$1:$P$197</definedName>
    <definedName name="_xlnm.Print_Area" localSheetId="5">'LAPORAN BULANAN'!$A$1:$U$56</definedName>
    <definedName name="_xlnm.Print_Titles" localSheetId="3">JURNAL_LKH!$19:$20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67" l="1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109" i="38"/>
  <c r="D110" i="38"/>
  <c r="D111" i="38"/>
  <c r="D112" i="38"/>
  <c r="D113" i="38"/>
  <c r="D114" i="38"/>
  <c r="D115" i="38"/>
  <c r="D116" i="38"/>
  <c r="D117" i="38"/>
  <c r="D118" i="38"/>
  <c r="D119" i="38"/>
  <c r="D120" i="38"/>
  <c r="D121" i="38"/>
  <c r="B48" i="50" l="1"/>
  <c r="B56" i="50"/>
  <c r="B55" i="50"/>
  <c r="D48" i="38"/>
  <c r="B48" i="38" s="1"/>
  <c r="D47" i="38"/>
  <c r="B47" i="38" s="1"/>
  <c r="D46" i="38"/>
  <c r="B46" i="38" s="1"/>
  <c r="D45" i="38"/>
  <c r="B45" i="38" s="1"/>
  <c r="D44" i="38"/>
  <c r="B44" i="38" s="1"/>
  <c r="D43" i="38"/>
  <c r="B43" i="38" s="1"/>
  <c r="D42" i="38"/>
  <c r="B42" i="38" s="1"/>
  <c r="D41" i="38"/>
  <c r="D40" i="38"/>
  <c r="A16" i="38"/>
  <c r="I15" i="38"/>
  <c r="A15" i="38"/>
  <c r="I14" i="38"/>
  <c r="A14" i="38"/>
  <c r="I13" i="38"/>
  <c r="A13" i="38"/>
  <c r="A12" i="38"/>
  <c r="I12" i="38"/>
  <c r="I11" i="38"/>
  <c r="A11" i="38"/>
  <c r="A9" i="38"/>
  <c r="D21" i="38"/>
  <c r="B21" i="38" s="1"/>
  <c r="B40" i="38" l="1"/>
  <c r="B41" i="38"/>
  <c r="V43" i="50" l="1"/>
  <c r="V42" i="50"/>
  <c r="V41" i="50"/>
  <c r="V40" i="50"/>
  <c r="V39" i="50"/>
  <c r="V38" i="50"/>
  <c r="V37" i="50"/>
  <c r="V36" i="50"/>
  <c r="V35" i="50"/>
  <c r="V34" i="50"/>
  <c r="V33" i="50"/>
  <c r="V32" i="50"/>
  <c r="V31" i="50"/>
  <c r="V30" i="50"/>
  <c r="V29" i="50"/>
  <c r="V28" i="50"/>
  <c r="V27" i="50"/>
  <c r="V26" i="50"/>
  <c r="V25" i="50"/>
  <c r="V24" i="50"/>
  <c r="V23" i="50"/>
  <c r="V22" i="50"/>
  <c r="V21" i="50"/>
  <c r="A222" i="38"/>
  <c r="E81" i="50" s="1"/>
  <c r="A221" i="38"/>
  <c r="E80" i="50" s="1"/>
  <c r="A220" i="38"/>
  <c r="E79" i="50" s="1"/>
  <c r="A223" i="38"/>
  <c r="A211" i="38"/>
  <c r="A8" i="50"/>
  <c r="D27" i="38"/>
  <c r="D28" i="38"/>
  <c r="D29" i="38"/>
  <c r="D30" i="38"/>
  <c r="D31" i="38"/>
  <c r="D32" i="38"/>
  <c r="D33" i="38"/>
  <c r="B33" i="38" s="1"/>
  <c r="D34" i="38"/>
  <c r="D35" i="38"/>
  <c r="D36" i="38"/>
  <c r="D37" i="38"/>
  <c r="B37" i="38" s="1"/>
  <c r="D38" i="38"/>
  <c r="D39" i="38"/>
  <c r="B39" i="38" s="1"/>
  <c r="B28" i="38" l="1"/>
  <c r="B30" i="38"/>
  <c r="B38" i="38"/>
  <c r="B35" i="38"/>
  <c r="B36" i="38"/>
  <c r="B31" i="38"/>
  <c r="B34" i="38"/>
  <c r="B29" i="38"/>
  <c r="B32" i="38"/>
  <c r="B27" i="38"/>
  <c r="I15" i="50" l="1"/>
  <c r="B96" i="38"/>
  <c r="B95" i="38"/>
  <c r="B94" i="38"/>
  <c r="B93" i="38"/>
  <c r="B92" i="38"/>
  <c r="B91" i="38"/>
  <c r="B90" i="38"/>
  <c r="B89" i="38"/>
  <c r="B88" i="38"/>
  <c r="B87" i="38"/>
  <c r="B86" i="38"/>
  <c r="B85" i="38"/>
  <c r="B84" i="38"/>
  <c r="B83" i="38"/>
  <c r="D82" i="38"/>
  <c r="B82" i="38" s="1"/>
  <c r="D81" i="38"/>
  <c r="B81" i="38" s="1"/>
  <c r="B97" i="38"/>
  <c r="B98" i="38"/>
  <c r="B99" i="38"/>
  <c r="B100" i="38"/>
  <c r="B101" i="38"/>
  <c r="B102" i="38"/>
  <c r="B103" i="38"/>
  <c r="B104" i="38"/>
  <c r="B105" i="38"/>
  <c r="B106" i="38"/>
  <c r="B107" i="38"/>
  <c r="B108" i="38"/>
  <c r="B109" i="38"/>
  <c r="B110" i="38"/>
  <c r="B111" i="38"/>
  <c r="B112" i="38"/>
  <c r="B113" i="38"/>
  <c r="B114" i="38"/>
  <c r="B115" i="38"/>
  <c r="B116" i="38"/>
  <c r="B117" i="38"/>
  <c r="B118" i="38"/>
  <c r="B119" i="38"/>
  <c r="B120" i="38"/>
  <c r="B121" i="38"/>
  <c r="D122" i="38"/>
  <c r="B122" i="38" s="1"/>
  <c r="D123" i="38"/>
  <c r="B123" i="38" s="1"/>
  <c r="D124" i="38"/>
  <c r="B124" i="38" s="1"/>
  <c r="D125" i="38"/>
  <c r="B125" i="38" s="1"/>
  <c r="D126" i="38"/>
  <c r="B126" i="38" s="1"/>
  <c r="D127" i="38"/>
  <c r="B127" i="38" s="1"/>
  <c r="D128" i="38"/>
  <c r="B128" i="38" s="1"/>
  <c r="D129" i="38"/>
  <c r="B129" i="38" s="1"/>
  <c r="D130" i="38"/>
  <c r="B130" i="38" s="1"/>
  <c r="D131" i="38"/>
  <c r="B131" i="38" s="1"/>
  <c r="D132" i="38"/>
  <c r="B132" i="38" s="1"/>
  <c r="D133" i="38"/>
  <c r="B133" i="38" s="1"/>
  <c r="D134" i="38"/>
  <c r="B134" i="38" s="1"/>
  <c r="D135" i="38"/>
  <c r="B135" i="38" s="1"/>
  <c r="D136" i="38"/>
  <c r="B136" i="38" s="1"/>
  <c r="D137" i="38"/>
  <c r="B137" i="38" s="1"/>
  <c r="D138" i="38"/>
  <c r="B138" i="38" s="1"/>
  <c r="D139" i="38"/>
  <c r="B139" i="38" s="1"/>
  <c r="D140" i="38"/>
  <c r="B140" i="38" s="1"/>
  <c r="D141" i="38"/>
  <c r="B141" i="38" s="1"/>
  <c r="D142" i="38"/>
  <c r="B142" i="38" s="1"/>
  <c r="D143" i="38"/>
  <c r="B143" i="38" s="1"/>
  <c r="D144" i="38"/>
  <c r="B144" i="38" s="1"/>
  <c r="D145" i="38"/>
  <c r="B145" i="38" s="1"/>
  <c r="D146" i="38"/>
  <c r="B146" i="38" s="1"/>
  <c r="D147" i="38"/>
  <c r="B147" i="38" s="1"/>
  <c r="D148" i="38"/>
  <c r="B148" i="38" s="1"/>
  <c r="B149" i="38"/>
  <c r="D149" i="38"/>
  <c r="D150" i="38"/>
  <c r="B150" i="38" s="1"/>
  <c r="D151" i="38"/>
  <c r="B151" i="38" s="1"/>
  <c r="B152" i="38"/>
  <c r="D152" i="38"/>
  <c r="D153" i="38"/>
  <c r="B153" i="38" s="1"/>
  <c r="D154" i="38"/>
  <c r="B154" i="38" s="1"/>
  <c r="D155" i="38"/>
  <c r="B155" i="38" s="1"/>
  <c r="D156" i="38"/>
  <c r="B156" i="38" s="1"/>
  <c r="D157" i="38"/>
  <c r="B157" i="38" s="1"/>
  <c r="B158" i="38"/>
  <c r="D158" i="38"/>
  <c r="D159" i="38"/>
  <c r="B159" i="38" s="1"/>
  <c r="D160" i="38"/>
  <c r="B160" i="38" s="1"/>
  <c r="D161" i="38"/>
  <c r="B161" i="38" s="1"/>
  <c r="B162" i="38"/>
  <c r="D162" i="38"/>
  <c r="D163" i="38"/>
  <c r="B163" i="38" s="1"/>
  <c r="B164" i="38"/>
  <c r="D164" i="38"/>
  <c r="D165" i="38"/>
  <c r="B165" i="38" s="1"/>
  <c r="D166" i="38"/>
  <c r="B166" i="38" s="1"/>
  <c r="B167" i="38"/>
  <c r="D167" i="38"/>
  <c r="B168" i="38"/>
  <c r="D168" i="38"/>
  <c r="B169" i="38"/>
  <c r="D169" i="38"/>
  <c r="B170" i="38"/>
  <c r="D170" i="38"/>
  <c r="D171" i="38"/>
  <c r="B171" i="38" s="1"/>
  <c r="B172" i="38"/>
  <c r="D172" i="38"/>
  <c r="B173" i="38"/>
  <c r="D173" i="38"/>
  <c r="B174" i="38"/>
  <c r="D174" i="38"/>
  <c r="D175" i="38"/>
  <c r="B175" i="38" s="1"/>
  <c r="B176" i="38"/>
  <c r="D176" i="38"/>
  <c r="B177" i="38"/>
  <c r="D177" i="38"/>
  <c r="B178" i="38"/>
  <c r="D178" i="38"/>
  <c r="B179" i="38"/>
  <c r="D179" i="38"/>
  <c r="B180" i="38"/>
  <c r="D180" i="38"/>
  <c r="B181" i="38"/>
  <c r="D181" i="38"/>
  <c r="D182" i="38"/>
  <c r="B182" i="38" s="1"/>
  <c r="B183" i="38"/>
  <c r="D183" i="38"/>
  <c r="B184" i="38"/>
  <c r="D184" i="38"/>
  <c r="B185" i="38"/>
  <c r="D185" i="38"/>
  <c r="B186" i="38"/>
  <c r="D186" i="38"/>
  <c r="B187" i="38"/>
  <c r="D187" i="38"/>
  <c r="B188" i="38"/>
  <c r="D188" i="38"/>
  <c r="I11" i="50"/>
  <c r="G78" i="50"/>
  <c r="G80" i="50" l="1"/>
  <c r="G79" i="50"/>
  <c r="F80" i="50"/>
  <c r="F79" i="50"/>
  <c r="F78" i="50"/>
  <c r="G77" i="50"/>
  <c r="F77" i="50"/>
  <c r="G76" i="50"/>
  <c r="F76" i="50"/>
  <c r="G75" i="50"/>
  <c r="F75" i="50"/>
  <c r="G74" i="50"/>
  <c r="F74" i="50"/>
  <c r="G73" i="50"/>
  <c r="F73" i="50"/>
  <c r="G72" i="50"/>
  <c r="F72" i="50"/>
  <c r="G71" i="50"/>
  <c r="F71" i="50"/>
  <c r="G70" i="50"/>
  <c r="F70" i="50"/>
  <c r="G69" i="50"/>
  <c r="F69" i="50"/>
  <c r="G68" i="50"/>
  <c r="F68" i="50"/>
  <c r="G67" i="50"/>
  <c r="F67" i="50"/>
  <c r="G82" i="50"/>
  <c r="G81" i="50"/>
  <c r="F82" i="50"/>
  <c r="F81" i="50"/>
  <c r="A218" i="38"/>
  <c r="E77" i="50" s="1"/>
  <c r="I14" i="50"/>
  <c r="I13" i="50"/>
  <c r="I12" i="50"/>
  <c r="C196" i="38"/>
  <c r="C195" i="38"/>
  <c r="A219" i="38"/>
  <c r="E78" i="50" s="1"/>
  <c r="A217" i="38" l="1"/>
  <c r="E76" i="50" s="1"/>
  <c r="A216" i="38"/>
  <c r="E75" i="50" s="1"/>
  <c r="A215" i="38"/>
  <c r="E74" i="50" s="1"/>
  <c r="A214" i="38"/>
  <c r="E73" i="50" s="1"/>
  <c r="A213" i="38"/>
  <c r="E72" i="50" s="1"/>
  <c r="A212" i="38"/>
  <c r="E71" i="50" s="1"/>
  <c r="A210" i="38"/>
  <c r="A209" i="38"/>
  <c r="XFD208" i="38"/>
  <c r="XFC208" i="38"/>
  <c r="XFB208" i="38"/>
  <c r="XFA208" i="38"/>
  <c r="XEZ208" i="38"/>
  <c r="XEY208" i="38"/>
  <c r="XEX208" i="38"/>
  <c r="XEW208" i="38"/>
  <c r="XEV208" i="38"/>
  <c r="XEU208" i="38"/>
  <c r="XET208" i="38"/>
  <c r="XES208" i="38"/>
  <c r="XER208" i="38"/>
  <c r="XEQ208" i="38"/>
  <c r="XEP208" i="38"/>
  <c r="XEO208" i="38"/>
  <c r="XEN208" i="38"/>
  <c r="XEM208" i="38"/>
  <c r="XEL208" i="38"/>
  <c r="XEK208" i="38"/>
  <c r="XEJ208" i="38"/>
  <c r="XEI208" i="38"/>
  <c r="XEH208" i="38"/>
  <c r="XEG208" i="38"/>
  <c r="XEF208" i="38"/>
  <c r="XEE208" i="38"/>
  <c r="XED208" i="38"/>
  <c r="XEC208" i="38"/>
  <c r="XEB208" i="38"/>
  <c r="XEA208" i="38"/>
  <c r="XDZ208" i="38"/>
  <c r="XDY208" i="38"/>
  <c r="XDX208" i="38"/>
  <c r="XDW208" i="38"/>
  <c r="XDV208" i="38"/>
  <c r="XDU208" i="38"/>
  <c r="XDT208" i="38"/>
  <c r="XDS208" i="38"/>
  <c r="XDR208" i="38"/>
  <c r="XDQ208" i="38"/>
  <c r="XDP208" i="38"/>
  <c r="XDO208" i="38"/>
  <c r="XDN208" i="38"/>
  <c r="XDM208" i="38"/>
  <c r="XDL208" i="38"/>
  <c r="XDK208" i="38"/>
  <c r="XDJ208" i="38"/>
  <c r="XDI208" i="38"/>
  <c r="XDH208" i="38"/>
  <c r="XDG208" i="38"/>
  <c r="XDF208" i="38"/>
  <c r="XDE208" i="38"/>
  <c r="XDD208" i="38"/>
  <c r="XDC208" i="38"/>
  <c r="XDB208" i="38"/>
  <c r="XDA208" i="38"/>
  <c r="XCZ208" i="38"/>
  <c r="XCY208" i="38"/>
  <c r="XCX208" i="38"/>
  <c r="XCW208" i="38"/>
  <c r="XCV208" i="38"/>
  <c r="XCU208" i="38"/>
  <c r="XCT208" i="38"/>
  <c r="XCS208" i="38"/>
  <c r="XCR208" i="38"/>
  <c r="XCQ208" i="38"/>
  <c r="XCP208" i="38"/>
  <c r="XCO208" i="38"/>
  <c r="XCN208" i="38"/>
  <c r="XCM208" i="38"/>
  <c r="XCL208" i="38"/>
  <c r="XCK208" i="38"/>
  <c r="XCJ208" i="38"/>
  <c r="XCI208" i="38"/>
  <c r="XCH208" i="38"/>
  <c r="XCG208" i="38"/>
  <c r="XCF208" i="38"/>
  <c r="XCE208" i="38"/>
  <c r="XCD208" i="38"/>
  <c r="XCC208" i="38"/>
  <c r="XCB208" i="38"/>
  <c r="XCA208" i="38"/>
  <c r="XBZ208" i="38"/>
  <c r="XBY208" i="38"/>
  <c r="XBX208" i="38"/>
  <c r="XBW208" i="38"/>
  <c r="XBV208" i="38"/>
  <c r="XBU208" i="38"/>
  <c r="XBT208" i="38"/>
  <c r="XBS208" i="38"/>
  <c r="XBR208" i="38"/>
  <c r="XBQ208" i="38"/>
  <c r="XBP208" i="38"/>
  <c r="XBO208" i="38"/>
  <c r="XBN208" i="38"/>
  <c r="XBM208" i="38"/>
  <c r="XBL208" i="38"/>
  <c r="XBK208" i="38"/>
  <c r="XBJ208" i="38"/>
  <c r="XBI208" i="38"/>
  <c r="XBH208" i="38"/>
  <c r="XBG208" i="38"/>
  <c r="XBF208" i="38"/>
  <c r="XBE208" i="38"/>
  <c r="XBD208" i="38"/>
  <c r="XBC208" i="38"/>
  <c r="XBB208" i="38"/>
  <c r="XBA208" i="38"/>
  <c r="XAZ208" i="38"/>
  <c r="XAY208" i="38"/>
  <c r="XAX208" i="38"/>
  <c r="XAW208" i="38"/>
  <c r="XAV208" i="38"/>
  <c r="XAU208" i="38"/>
  <c r="XAT208" i="38"/>
  <c r="XAS208" i="38"/>
  <c r="XAR208" i="38"/>
  <c r="XAQ208" i="38"/>
  <c r="XAP208" i="38"/>
  <c r="XAO208" i="38"/>
  <c r="XAN208" i="38"/>
  <c r="XAM208" i="38"/>
  <c r="XAL208" i="38"/>
  <c r="XAK208" i="38"/>
  <c r="XAJ208" i="38"/>
  <c r="XAI208" i="38"/>
  <c r="XAH208" i="38"/>
  <c r="XAG208" i="38"/>
  <c r="XAF208" i="38"/>
  <c r="XAE208" i="38"/>
  <c r="XAD208" i="38"/>
  <c r="XAC208" i="38"/>
  <c r="XAB208" i="38"/>
  <c r="XAA208" i="38"/>
  <c r="WZZ208" i="38"/>
  <c r="WZY208" i="38"/>
  <c r="WZX208" i="38"/>
  <c r="WZW208" i="38"/>
  <c r="WZV208" i="38"/>
  <c r="WZU208" i="38"/>
  <c r="WZT208" i="38"/>
  <c r="WZS208" i="38"/>
  <c r="WZR208" i="38"/>
  <c r="WZQ208" i="38"/>
  <c r="WZP208" i="38"/>
  <c r="WZO208" i="38"/>
  <c r="WZN208" i="38"/>
  <c r="WZM208" i="38"/>
  <c r="WZL208" i="38"/>
  <c r="WZK208" i="38"/>
  <c r="WZJ208" i="38"/>
  <c r="WZI208" i="38"/>
  <c r="WZH208" i="38"/>
  <c r="WZG208" i="38"/>
  <c r="WZF208" i="38"/>
  <c r="WZE208" i="38"/>
  <c r="WZD208" i="38"/>
  <c r="WZC208" i="38"/>
  <c r="WZB208" i="38"/>
  <c r="WZA208" i="38"/>
  <c r="WYZ208" i="38"/>
  <c r="WYY208" i="38"/>
  <c r="WYX208" i="38"/>
  <c r="WYW208" i="38"/>
  <c r="WYV208" i="38"/>
  <c r="WYU208" i="38"/>
  <c r="WYT208" i="38"/>
  <c r="WYS208" i="38"/>
  <c r="WYR208" i="38"/>
  <c r="WYQ208" i="38"/>
  <c r="WYP208" i="38"/>
  <c r="WYO208" i="38"/>
  <c r="WYN208" i="38"/>
  <c r="WYM208" i="38"/>
  <c r="WYL208" i="38"/>
  <c r="WYK208" i="38"/>
  <c r="WYJ208" i="38"/>
  <c r="WYI208" i="38"/>
  <c r="WYH208" i="38"/>
  <c r="WYG208" i="38"/>
  <c r="WYF208" i="38"/>
  <c r="WYE208" i="38"/>
  <c r="WYD208" i="38"/>
  <c r="WYC208" i="38"/>
  <c r="WYB208" i="38"/>
  <c r="WYA208" i="38"/>
  <c r="WXZ208" i="38"/>
  <c r="WXY208" i="38"/>
  <c r="WXX208" i="38"/>
  <c r="WXW208" i="38"/>
  <c r="WXV208" i="38"/>
  <c r="WXU208" i="38"/>
  <c r="WXT208" i="38"/>
  <c r="WXS208" i="38"/>
  <c r="WXR208" i="38"/>
  <c r="WXQ208" i="38"/>
  <c r="WXP208" i="38"/>
  <c r="WXO208" i="38"/>
  <c r="WXN208" i="38"/>
  <c r="WXM208" i="38"/>
  <c r="WXL208" i="38"/>
  <c r="WXK208" i="38"/>
  <c r="WXJ208" i="38"/>
  <c r="WXI208" i="38"/>
  <c r="WXH208" i="38"/>
  <c r="WXG208" i="38"/>
  <c r="WXF208" i="38"/>
  <c r="WXE208" i="38"/>
  <c r="WXD208" i="38"/>
  <c r="WXC208" i="38"/>
  <c r="WXB208" i="38"/>
  <c r="WXA208" i="38"/>
  <c r="WWZ208" i="38"/>
  <c r="WWY208" i="38"/>
  <c r="WWX208" i="38"/>
  <c r="WWW208" i="38"/>
  <c r="WWV208" i="38"/>
  <c r="WWU208" i="38"/>
  <c r="WWT208" i="38"/>
  <c r="WWS208" i="38"/>
  <c r="WWR208" i="38"/>
  <c r="WWQ208" i="38"/>
  <c r="WWP208" i="38"/>
  <c r="WWO208" i="38"/>
  <c r="WWN208" i="38"/>
  <c r="WWM208" i="38"/>
  <c r="WWL208" i="38"/>
  <c r="WWK208" i="38"/>
  <c r="WWJ208" i="38"/>
  <c r="WWI208" i="38"/>
  <c r="WWH208" i="38"/>
  <c r="WWG208" i="38"/>
  <c r="WWF208" i="38"/>
  <c r="WWE208" i="38"/>
  <c r="WWD208" i="38"/>
  <c r="WWC208" i="38"/>
  <c r="WWB208" i="38"/>
  <c r="WWA208" i="38"/>
  <c r="WVZ208" i="38"/>
  <c r="WVY208" i="38"/>
  <c r="WVX208" i="38"/>
  <c r="WVW208" i="38"/>
  <c r="WVV208" i="38"/>
  <c r="WVU208" i="38"/>
  <c r="WVT208" i="38"/>
  <c r="WVS208" i="38"/>
  <c r="WVR208" i="38"/>
  <c r="WVQ208" i="38"/>
  <c r="WVP208" i="38"/>
  <c r="WVO208" i="38"/>
  <c r="WVN208" i="38"/>
  <c r="WVM208" i="38"/>
  <c r="WVL208" i="38"/>
  <c r="WVK208" i="38"/>
  <c r="WVJ208" i="38"/>
  <c r="WVI208" i="38"/>
  <c r="WVH208" i="38"/>
  <c r="WVG208" i="38"/>
  <c r="WVF208" i="38"/>
  <c r="WVE208" i="38"/>
  <c r="WVD208" i="38"/>
  <c r="WVC208" i="38"/>
  <c r="WVB208" i="38"/>
  <c r="WVA208" i="38"/>
  <c r="WUZ208" i="38"/>
  <c r="WUY208" i="38"/>
  <c r="WUX208" i="38"/>
  <c r="WUW208" i="38"/>
  <c r="WUV208" i="38"/>
  <c r="WUU208" i="38"/>
  <c r="WUT208" i="38"/>
  <c r="WUS208" i="38"/>
  <c r="WUR208" i="38"/>
  <c r="WUQ208" i="38"/>
  <c r="WUP208" i="38"/>
  <c r="WUO208" i="38"/>
  <c r="WUN208" i="38"/>
  <c r="WUM208" i="38"/>
  <c r="WUL208" i="38"/>
  <c r="WUK208" i="38"/>
  <c r="WUJ208" i="38"/>
  <c r="WUI208" i="38"/>
  <c r="WUH208" i="38"/>
  <c r="WUG208" i="38"/>
  <c r="WUF208" i="38"/>
  <c r="WUE208" i="38"/>
  <c r="WUD208" i="38"/>
  <c r="WUC208" i="38"/>
  <c r="WUB208" i="38"/>
  <c r="WUA208" i="38"/>
  <c r="WTZ208" i="38"/>
  <c r="WTY208" i="38"/>
  <c r="WTX208" i="38"/>
  <c r="WTW208" i="38"/>
  <c r="WTV208" i="38"/>
  <c r="WTU208" i="38"/>
  <c r="WTT208" i="38"/>
  <c r="WTS208" i="38"/>
  <c r="WTR208" i="38"/>
  <c r="WTQ208" i="38"/>
  <c r="WTP208" i="38"/>
  <c r="WTO208" i="38"/>
  <c r="WTN208" i="38"/>
  <c r="WTM208" i="38"/>
  <c r="WTL208" i="38"/>
  <c r="WTK208" i="38"/>
  <c r="WTJ208" i="38"/>
  <c r="WTI208" i="38"/>
  <c r="WTH208" i="38"/>
  <c r="WTG208" i="38"/>
  <c r="WTF208" i="38"/>
  <c r="WTE208" i="38"/>
  <c r="WTD208" i="38"/>
  <c r="WTC208" i="38"/>
  <c r="WTB208" i="38"/>
  <c r="WTA208" i="38"/>
  <c r="WSZ208" i="38"/>
  <c r="WSY208" i="38"/>
  <c r="WSX208" i="38"/>
  <c r="WSW208" i="38"/>
  <c r="WSV208" i="38"/>
  <c r="WSU208" i="38"/>
  <c r="WST208" i="38"/>
  <c r="WSS208" i="38"/>
  <c r="WSR208" i="38"/>
  <c r="WSQ208" i="38"/>
  <c r="WSP208" i="38"/>
  <c r="WSO208" i="38"/>
  <c r="WSN208" i="38"/>
  <c r="WSM208" i="38"/>
  <c r="WSL208" i="38"/>
  <c r="WSK208" i="38"/>
  <c r="WSJ208" i="38"/>
  <c r="WSI208" i="38"/>
  <c r="WSH208" i="38"/>
  <c r="WSG208" i="38"/>
  <c r="WSF208" i="38"/>
  <c r="WSE208" i="38"/>
  <c r="WSD208" i="38"/>
  <c r="WSC208" i="38"/>
  <c r="WSB208" i="38"/>
  <c r="WSA208" i="38"/>
  <c r="WRZ208" i="38"/>
  <c r="WRY208" i="38"/>
  <c r="WRX208" i="38"/>
  <c r="WRW208" i="38"/>
  <c r="WRV208" i="38"/>
  <c r="WRU208" i="38"/>
  <c r="WRT208" i="38"/>
  <c r="WRS208" i="38"/>
  <c r="WRR208" i="38"/>
  <c r="WRQ208" i="38"/>
  <c r="WRP208" i="38"/>
  <c r="WRO208" i="38"/>
  <c r="WRN208" i="38"/>
  <c r="WRM208" i="38"/>
  <c r="WRL208" i="38"/>
  <c r="WRK208" i="38"/>
  <c r="WRJ208" i="38"/>
  <c r="WRI208" i="38"/>
  <c r="WRH208" i="38"/>
  <c r="WRG208" i="38"/>
  <c r="WRF208" i="38"/>
  <c r="WRE208" i="38"/>
  <c r="WRD208" i="38"/>
  <c r="WRC208" i="38"/>
  <c r="WRB208" i="38"/>
  <c r="WRA208" i="38"/>
  <c r="WQZ208" i="38"/>
  <c r="WQY208" i="38"/>
  <c r="WQX208" i="38"/>
  <c r="WQW208" i="38"/>
  <c r="WQV208" i="38"/>
  <c r="WQU208" i="38"/>
  <c r="WQT208" i="38"/>
  <c r="WQS208" i="38"/>
  <c r="WQR208" i="38"/>
  <c r="WQQ208" i="38"/>
  <c r="WQP208" i="38"/>
  <c r="WQO208" i="38"/>
  <c r="WQN208" i="38"/>
  <c r="WQM208" i="38"/>
  <c r="WQL208" i="38"/>
  <c r="WQK208" i="38"/>
  <c r="WQJ208" i="38"/>
  <c r="WQI208" i="38"/>
  <c r="WQH208" i="38"/>
  <c r="WQG208" i="38"/>
  <c r="WQF208" i="38"/>
  <c r="WQE208" i="38"/>
  <c r="WQD208" i="38"/>
  <c r="WQC208" i="38"/>
  <c r="WQB208" i="38"/>
  <c r="WQA208" i="38"/>
  <c r="WPZ208" i="38"/>
  <c r="WPY208" i="38"/>
  <c r="WPX208" i="38"/>
  <c r="WPW208" i="38"/>
  <c r="WPV208" i="38"/>
  <c r="WPU208" i="38"/>
  <c r="WPT208" i="38"/>
  <c r="WPS208" i="38"/>
  <c r="WPR208" i="38"/>
  <c r="WPQ208" i="38"/>
  <c r="WPP208" i="38"/>
  <c r="WPO208" i="38"/>
  <c r="WPN208" i="38"/>
  <c r="WPM208" i="38"/>
  <c r="WPL208" i="38"/>
  <c r="WPK208" i="38"/>
  <c r="WPJ208" i="38"/>
  <c r="WPI208" i="38"/>
  <c r="WPH208" i="38"/>
  <c r="WPG208" i="38"/>
  <c r="WPF208" i="38"/>
  <c r="WPE208" i="38"/>
  <c r="WPD208" i="38"/>
  <c r="WPC208" i="38"/>
  <c r="WPB208" i="38"/>
  <c r="WPA208" i="38"/>
  <c r="WOZ208" i="38"/>
  <c r="WOY208" i="38"/>
  <c r="WOX208" i="38"/>
  <c r="WOW208" i="38"/>
  <c r="WOV208" i="38"/>
  <c r="WOU208" i="38"/>
  <c r="WOT208" i="38"/>
  <c r="WOS208" i="38"/>
  <c r="WOR208" i="38"/>
  <c r="WOQ208" i="38"/>
  <c r="WOP208" i="38"/>
  <c r="WOO208" i="38"/>
  <c r="WON208" i="38"/>
  <c r="WOM208" i="38"/>
  <c r="WOL208" i="38"/>
  <c r="WOK208" i="38"/>
  <c r="WOJ208" i="38"/>
  <c r="WOI208" i="38"/>
  <c r="WOH208" i="38"/>
  <c r="WOG208" i="38"/>
  <c r="WOF208" i="38"/>
  <c r="WOE208" i="38"/>
  <c r="WOD208" i="38"/>
  <c r="WOC208" i="38"/>
  <c r="WOB208" i="38"/>
  <c r="WOA208" i="38"/>
  <c r="WNZ208" i="38"/>
  <c r="WNY208" i="38"/>
  <c r="WNX208" i="38"/>
  <c r="WNW208" i="38"/>
  <c r="WNV208" i="38"/>
  <c r="WNU208" i="38"/>
  <c r="WNT208" i="38"/>
  <c r="WNS208" i="38"/>
  <c r="WNR208" i="38"/>
  <c r="WNQ208" i="38"/>
  <c r="WNP208" i="38"/>
  <c r="WNO208" i="38"/>
  <c r="WNN208" i="38"/>
  <c r="WNM208" i="38"/>
  <c r="WNL208" i="38"/>
  <c r="WNK208" i="38"/>
  <c r="WNJ208" i="38"/>
  <c r="WNI208" i="38"/>
  <c r="WNH208" i="38"/>
  <c r="WNG208" i="38"/>
  <c r="WNF208" i="38"/>
  <c r="WNE208" i="38"/>
  <c r="WND208" i="38"/>
  <c r="WNC208" i="38"/>
  <c r="WNB208" i="38"/>
  <c r="WNA208" i="38"/>
  <c r="WMZ208" i="38"/>
  <c r="WMY208" i="38"/>
  <c r="WMX208" i="38"/>
  <c r="WMW208" i="38"/>
  <c r="WMV208" i="38"/>
  <c r="WMU208" i="38"/>
  <c r="WMT208" i="38"/>
  <c r="WMS208" i="38"/>
  <c r="WMR208" i="38"/>
  <c r="WMQ208" i="38"/>
  <c r="WMP208" i="38"/>
  <c r="WMO208" i="38"/>
  <c r="WMN208" i="38"/>
  <c r="WMM208" i="38"/>
  <c r="WML208" i="38"/>
  <c r="WMK208" i="38"/>
  <c r="WMJ208" i="38"/>
  <c r="WMI208" i="38"/>
  <c r="WMH208" i="38"/>
  <c r="WMG208" i="38"/>
  <c r="WMF208" i="38"/>
  <c r="WME208" i="38"/>
  <c r="WMD208" i="38"/>
  <c r="WMC208" i="38"/>
  <c r="WMB208" i="38"/>
  <c r="WMA208" i="38"/>
  <c r="WLZ208" i="38"/>
  <c r="WLY208" i="38"/>
  <c r="WLX208" i="38"/>
  <c r="WLW208" i="38"/>
  <c r="WLV208" i="38"/>
  <c r="WLU208" i="38"/>
  <c r="WLT208" i="38"/>
  <c r="WLS208" i="38"/>
  <c r="WLR208" i="38"/>
  <c r="WLQ208" i="38"/>
  <c r="WLP208" i="38"/>
  <c r="WLO208" i="38"/>
  <c r="WLN208" i="38"/>
  <c r="WLM208" i="38"/>
  <c r="WLL208" i="38"/>
  <c r="WLK208" i="38"/>
  <c r="WLJ208" i="38"/>
  <c r="WLI208" i="38"/>
  <c r="WLH208" i="38"/>
  <c r="WLG208" i="38"/>
  <c r="WLF208" i="38"/>
  <c r="WLE208" i="38"/>
  <c r="WLD208" i="38"/>
  <c r="WLC208" i="38"/>
  <c r="WLB208" i="38"/>
  <c r="WLA208" i="38"/>
  <c r="WKZ208" i="38"/>
  <c r="WKY208" i="38"/>
  <c r="WKX208" i="38"/>
  <c r="WKW208" i="38"/>
  <c r="WKV208" i="38"/>
  <c r="WKU208" i="38"/>
  <c r="WKT208" i="38"/>
  <c r="WKS208" i="38"/>
  <c r="WKR208" i="38"/>
  <c r="WKQ208" i="38"/>
  <c r="WKP208" i="38"/>
  <c r="WKO208" i="38"/>
  <c r="WKN208" i="38"/>
  <c r="WKM208" i="38"/>
  <c r="WKL208" i="38"/>
  <c r="WKK208" i="38"/>
  <c r="WKJ208" i="38"/>
  <c r="WKI208" i="38"/>
  <c r="WKH208" i="38"/>
  <c r="WKG208" i="38"/>
  <c r="WKF208" i="38"/>
  <c r="WKE208" i="38"/>
  <c r="WKD208" i="38"/>
  <c r="WKC208" i="38"/>
  <c r="WKB208" i="38"/>
  <c r="WKA208" i="38"/>
  <c r="WJZ208" i="38"/>
  <c r="WJY208" i="38"/>
  <c r="WJX208" i="38"/>
  <c r="WJW208" i="38"/>
  <c r="WJV208" i="38"/>
  <c r="WJU208" i="38"/>
  <c r="WJT208" i="38"/>
  <c r="WJS208" i="38"/>
  <c r="WJR208" i="38"/>
  <c r="WJQ208" i="38"/>
  <c r="WJP208" i="38"/>
  <c r="WJO208" i="38"/>
  <c r="WJN208" i="38"/>
  <c r="WJM208" i="38"/>
  <c r="WJL208" i="38"/>
  <c r="WJK208" i="38"/>
  <c r="WJJ208" i="38"/>
  <c r="WJI208" i="38"/>
  <c r="WJH208" i="38"/>
  <c r="WJG208" i="38"/>
  <c r="WJF208" i="38"/>
  <c r="WJE208" i="38"/>
  <c r="WJD208" i="38"/>
  <c r="WJC208" i="38"/>
  <c r="WJB208" i="38"/>
  <c r="WJA208" i="38"/>
  <c r="WIZ208" i="38"/>
  <c r="WIY208" i="38"/>
  <c r="WIX208" i="38"/>
  <c r="WIW208" i="38"/>
  <c r="WIV208" i="38"/>
  <c r="WIU208" i="38"/>
  <c r="WIT208" i="38"/>
  <c r="WIS208" i="38"/>
  <c r="WIR208" i="38"/>
  <c r="WIQ208" i="38"/>
  <c r="WIP208" i="38"/>
  <c r="WIO208" i="38"/>
  <c r="WIN208" i="38"/>
  <c r="WIM208" i="38"/>
  <c r="WIL208" i="38"/>
  <c r="WIK208" i="38"/>
  <c r="WIJ208" i="38"/>
  <c r="WII208" i="38"/>
  <c r="WIH208" i="38"/>
  <c r="WIG208" i="38"/>
  <c r="WIF208" i="38"/>
  <c r="WIE208" i="38"/>
  <c r="WID208" i="38"/>
  <c r="WIC208" i="38"/>
  <c r="WIB208" i="38"/>
  <c r="WIA208" i="38"/>
  <c r="WHZ208" i="38"/>
  <c r="WHY208" i="38"/>
  <c r="WHX208" i="38"/>
  <c r="WHW208" i="38"/>
  <c r="WHV208" i="38"/>
  <c r="WHU208" i="38"/>
  <c r="WHT208" i="38"/>
  <c r="WHS208" i="38"/>
  <c r="WHR208" i="38"/>
  <c r="WHQ208" i="38"/>
  <c r="WHP208" i="38"/>
  <c r="WHO208" i="38"/>
  <c r="WHN208" i="38"/>
  <c r="WHM208" i="38"/>
  <c r="WHL208" i="38"/>
  <c r="WHK208" i="38"/>
  <c r="WHJ208" i="38"/>
  <c r="WHI208" i="38"/>
  <c r="WHH208" i="38"/>
  <c r="WHG208" i="38"/>
  <c r="WHF208" i="38"/>
  <c r="WHE208" i="38"/>
  <c r="WHD208" i="38"/>
  <c r="WHC208" i="38"/>
  <c r="WHB208" i="38"/>
  <c r="WHA208" i="38"/>
  <c r="WGZ208" i="38"/>
  <c r="WGY208" i="38"/>
  <c r="WGX208" i="38"/>
  <c r="WGW208" i="38"/>
  <c r="WGV208" i="38"/>
  <c r="WGU208" i="38"/>
  <c r="WGT208" i="38"/>
  <c r="WGS208" i="38"/>
  <c r="WGR208" i="38"/>
  <c r="WGQ208" i="38"/>
  <c r="WGP208" i="38"/>
  <c r="WGO208" i="38"/>
  <c r="WGN208" i="38"/>
  <c r="WGM208" i="38"/>
  <c r="WGL208" i="38"/>
  <c r="WGK208" i="38"/>
  <c r="WGJ208" i="38"/>
  <c r="WGI208" i="38"/>
  <c r="WGH208" i="38"/>
  <c r="WGG208" i="38"/>
  <c r="WGF208" i="38"/>
  <c r="WGE208" i="38"/>
  <c r="WGD208" i="38"/>
  <c r="WGC208" i="38"/>
  <c r="WGB208" i="38"/>
  <c r="WGA208" i="38"/>
  <c r="WFZ208" i="38"/>
  <c r="WFY208" i="38"/>
  <c r="WFX208" i="38"/>
  <c r="WFW208" i="38"/>
  <c r="WFV208" i="38"/>
  <c r="WFU208" i="38"/>
  <c r="WFT208" i="38"/>
  <c r="WFS208" i="38"/>
  <c r="WFR208" i="38"/>
  <c r="WFQ208" i="38"/>
  <c r="WFP208" i="38"/>
  <c r="WFO208" i="38"/>
  <c r="WFN208" i="38"/>
  <c r="WFM208" i="38"/>
  <c r="WFL208" i="38"/>
  <c r="WFK208" i="38"/>
  <c r="WFJ208" i="38"/>
  <c r="WFI208" i="38"/>
  <c r="WFH208" i="38"/>
  <c r="WFG208" i="38"/>
  <c r="WFF208" i="38"/>
  <c r="WFE208" i="38"/>
  <c r="WFD208" i="38"/>
  <c r="WFC208" i="38"/>
  <c r="WFB208" i="38"/>
  <c r="WFA208" i="38"/>
  <c r="WEZ208" i="38"/>
  <c r="WEY208" i="38"/>
  <c r="WEX208" i="38"/>
  <c r="WEW208" i="38"/>
  <c r="WEV208" i="38"/>
  <c r="WEU208" i="38"/>
  <c r="WET208" i="38"/>
  <c r="WES208" i="38"/>
  <c r="WER208" i="38"/>
  <c r="WEQ208" i="38"/>
  <c r="WEP208" i="38"/>
  <c r="WEO208" i="38"/>
  <c r="WEN208" i="38"/>
  <c r="WEM208" i="38"/>
  <c r="WEL208" i="38"/>
  <c r="WEK208" i="38"/>
  <c r="WEJ208" i="38"/>
  <c r="WEI208" i="38"/>
  <c r="WEH208" i="38"/>
  <c r="WEG208" i="38"/>
  <c r="WEF208" i="38"/>
  <c r="WEE208" i="38"/>
  <c r="WED208" i="38"/>
  <c r="WEC208" i="38"/>
  <c r="WEB208" i="38"/>
  <c r="WEA208" i="38"/>
  <c r="WDZ208" i="38"/>
  <c r="WDY208" i="38"/>
  <c r="WDX208" i="38"/>
  <c r="WDW208" i="38"/>
  <c r="WDV208" i="38"/>
  <c r="WDU208" i="38"/>
  <c r="WDT208" i="38"/>
  <c r="WDS208" i="38"/>
  <c r="WDR208" i="38"/>
  <c r="WDQ208" i="38"/>
  <c r="WDP208" i="38"/>
  <c r="WDO208" i="38"/>
  <c r="WDN208" i="38"/>
  <c r="WDM208" i="38"/>
  <c r="WDL208" i="38"/>
  <c r="WDK208" i="38"/>
  <c r="WDJ208" i="38"/>
  <c r="WDI208" i="38"/>
  <c r="WDH208" i="38"/>
  <c r="WDG208" i="38"/>
  <c r="WDF208" i="38"/>
  <c r="WDE208" i="38"/>
  <c r="WDD208" i="38"/>
  <c r="WDC208" i="38"/>
  <c r="WDB208" i="38"/>
  <c r="WDA208" i="38"/>
  <c r="WCZ208" i="38"/>
  <c r="WCY208" i="38"/>
  <c r="WCX208" i="38"/>
  <c r="WCW208" i="38"/>
  <c r="WCV208" i="38"/>
  <c r="WCU208" i="38"/>
  <c r="WCT208" i="38"/>
  <c r="WCS208" i="38"/>
  <c r="WCR208" i="38"/>
  <c r="WCQ208" i="38"/>
  <c r="WCP208" i="38"/>
  <c r="WCO208" i="38"/>
  <c r="WCN208" i="38"/>
  <c r="WCM208" i="38"/>
  <c r="WCL208" i="38"/>
  <c r="WCK208" i="38"/>
  <c r="WCJ208" i="38"/>
  <c r="WCI208" i="38"/>
  <c r="WCH208" i="38"/>
  <c r="WCG208" i="38"/>
  <c r="WCF208" i="38"/>
  <c r="WCE208" i="38"/>
  <c r="WCD208" i="38"/>
  <c r="WCC208" i="38"/>
  <c r="WCB208" i="38"/>
  <c r="WCA208" i="38"/>
  <c r="WBZ208" i="38"/>
  <c r="WBY208" i="38"/>
  <c r="WBX208" i="38"/>
  <c r="WBW208" i="38"/>
  <c r="WBV208" i="38"/>
  <c r="WBU208" i="38"/>
  <c r="WBT208" i="38"/>
  <c r="WBS208" i="38"/>
  <c r="WBR208" i="38"/>
  <c r="WBQ208" i="38"/>
  <c r="WBP208" i="38"/>
  <c r="WBO208" i="38"/>
  <c r="WBN208" i="38"/>
  <c r="WBM208" i="38"/>
  <c r="WBL208" i="38"/>
  <c r="WBK208" i="38"/>
  <c r="WBJ208" i="38"/>
  <c r="WBI208" i="38"/>
  <c r="WBH208" i="38"/>
  <c r="WBG208" i="38"/>
  <c r="WBF208" i="38"/>
  <c r="WBE208" i="38"/>
  <c r="WBD208" i="38"/>
  <c r="WBC208" i="38"/>
  <c r="WBB208" i="38"/>
  <c r="WBA208" i="38"/>
  <c r="WAZ208" i="38"/>
  <c r="WAY208" i="38"/>
  <c r="WAX208" i="38"/>
  <c r="WAW208" i="38"/>
  <c r="WAV208" i="38"/>
  <c r="WAU208" i="38"/>
  <c r="WAT208" i="38"/>
  <c r="WAS208" i="38"/>
  <c r="WAR208" i="38"/>
  <c r="WAQ208" i="38"/>
  <c r="WAP208" i="38"/>
  <c r="WAO208" i="38"/>
  <c r="WAN208" i="38"/>
  <c r="WAM208" i="38"/>
  <c r="WAL208" i="38"/>
  <c r="WAK208" i="38"/>
  <c r="WAJ208" i="38"/>
  <c r="WAI208" i="38"/>
  <c r="WAH208" i="38"/>
  <c r="WAG208" i="38"/>
  <c r="WAF208" i="38"/>
  <c r="WAE208" i="38"/>
  <c r="WAD208" i="38"/>
  <c r="WAC208" i="38"/>
  <c r="WAB208" i="38"/>
  <c r="WAA208" i="38"/>
  <c r="VZZ208" i="38"/>
  <c r="VZY208" i="38"/>
  <c r="VZX208" i="38"/>
  <c r="VZW208" i="38"/>
  <c r="VZV208" i="38"/>
  <c r="VZU208" i="38"/>
  <c r="VZT208" i="38"/>
  <c r="VZS208" i="38"/>
  <c r="VZR208" i="38"/>
  <c r="VZQ208" i="38"/>
  <c r="VZP208" i="38"/>
  <c r="VZO208" i="38"/>
  <c r="VZN208" i="38"/>
  <c r="VZM208" i="38"/>
  <c r="VZL208" i="38"/>
  <c r="VZK208" i="38"/>
  <c r="VZJ208" i="38"/>
  <c r="VZI208" i="38"/>
  <c r="VZH208" i="38"/>
  <c r="VZG208" i="38"/>
  <c r="VZF208" i="38"/>
  <c r="VZE208" i="38"/>
  <c r="VZD208" i="38"/>
  <c r="VZC208" i="38"/>
  <c r="VZB208" i="38"/>
  <c r="VZA208" i="38"/>
  <c r="VYZ208" i="38"/>
  <c r="VYY208" i="38"/>
  <c r="VYX208" i="38"/>
  <c r="VYW208" i="38"/>
  <c r="VYV208" i="38"/>
  <c r="VYU208" i="38"/>
  <c r="VYT208" i="38"/>
  <c r="VYS208" i="38"/>
  <c r="VYR208" i="38"/>
  <c r="VYQ208" i="38"/>
  <c r="VYP208" i="38"/>
  <c r="VYO208" i="38"/>
  <c r="VYN208" i="38"/>
  <c r="VYM208" i="38"/>
  <c r="VYL208" i="38"/>
  <c r="VYK208" i="38"/>
  <c r="VYJ208" i="38"/>
  <c r="VYI208" i="38"/>
  <c r="VYH208" i="38"/>
  <c r="VYG208" i="38"/>
  <c r="VYF208" i="38"/>
  <c r="VYE208" i="38"/>
  <c r="VYD208" i="38"/>
  <c r="VYC208" i="38"/>
  <c r="VYB208" i="38"/>
  <c r="VYA208" i="38"/>
  <c r="VXZ208" i="38"/>
  <c r="VXY208" i="38"/>
  <c r="VXX208" i="38"/>
  <c r="VXW208" i="38"/>
  <c r="VXV208" i="38"/>
  <c r="VXU208" i="38"/>
  <c r="VXT208" i="38"/>
  <c r="VXS208" i="38"/>
  <c r="VXR208" i="38"/>
  <c r="VXQ208" i="38"/>
  <c r="VXP208" i="38"/>
  <c r="VXO208" i="38"/>
  <c r="VXN208" i="38"/>
  <c r="VXM208" i="38"/>
  <c r="VXL208" i="38"/>
  <c r="VXK208" i="38"/>
  <c r="VXJ208" i="38"/>
  <c r="VXI208" i="38"/>
  <c r="VXH208" i="38"/>
  <c r="VXG208" i="38"/>
  <c r="VXF208" i="38"/>
  <c r="VXE208" i="38"/>
  <c r="VXD208" i="38"/>
  <c r="VXC208" i="38"/>
  <c r="VXB208" i="38"/>
  <c r="VXA208" i="38"/>
  <c r="VWZ208" i="38"/>
  <c r="VWY208" i="38"/>
  <c r="VWX208" i="38"/>
  <c r="VWW208" i="38"/>
  <c r="VWV208" i="38"/>
  <c r="VWU208" i="38"/>
  <c r="VWT208" i="38"/>
  <c r="VWS208" i="38"/>
  <c r="VWR208" i="38"/>
  <c r="VWQ208" i="38"/>
  <c r="VWP208" i="38"/>
  <c r="VWO208" i="38"/>
  <c r="VWN208" i="38"/>
  <c r="VWM208" i="38"/>
  <c r="VWL208" i="38"/>
  <c r="VWK208" i="38"/>
  <c r="VWJ208" i="38"/>
  <c r="VWI208" i="38"/>
  <c r="VWH208" i="38"/>
  <c r="VWG208" i="38"/>
  <c r="VWF208" i="38"/>
  <c r="VWE208" i="38"/>
  <c r="VWD208" i="38"/>
  <c r="VWC208" i="38"/>
  <c r="VWB208" i="38"/>
  <c r="VWA208" i="38"/>
  <c r="VVZ208" i="38"/>
  <c r="VVY208" i="38"/>
  <c r="VVX208" i="38"/>
  <c r="VVW208" i="38"/>
  <c r="VVV208" i="38"/>
  <c r="VVU208" i="38"/>
  <c r="VVT208" i="38"/>
  <c r="VVS208" i="38"/>
  <c r="VVR208" i="38"/>
  <c r="VVQ208" i="38"/>
  <c r="VVP208" i="38"/>
  <c r="VVO208" i="38"/>
  <c r="VVN208" i="38"/>
  <c r="VVM208" i="38"/>
  <c r="VVL208" i="38"/>
  <c r="VVK208" i="38"/>
  <c r="VVJ208" i="38"/>
  <c r="VVI208" i="38"/>
  <c r="VVH208" i="38"/>
  <c r="VVG208" i="38"/>
  <c r="VVF208" i="38"/>
  <c r="VVE208" i="38"/>
  <c r="VVD208" i="38"/>
  <c r="VVC208" i="38"/>
  <c r="VVB208" i="38"/>
  <c r="VVA208" i="38"/>
  <c r="VUZ208" i="38"/>
  <c r="VUY208" i="38"/>
  <c r="VUX208" i="38"/>
  <c r="VUW208" i="38"/>
  <c r="VUV208" i="38"/>
  <c r="VUU208" i="38"/>
  <c r="VUT208" i="38"/>
  <c r="VUS208" i="38"/>
  <c r="VUR208" i="38"/>
  <c r="VUQ208" i="38"/>
  <c r="VUP208" i="38"/>
  <c r="VUO208" i="38"/>
  <c r="VUN208" i="38"/>
  <c r="VUM208" i="38"/>
  <c r="VUL208" i="38"/>
  <c r="VUK208" i="38"/>
  <c r="VUJ208" i="38"/>
  <c r="VUI208" i="38"/>
  <c r="VUH208" i="38"/>
  <c r="VUG208" i="38"/>
  <c r="VUF208" i="38"/>
  <c r="VUE208" i="38"/>
  <c r="VUD208" i="38"/>
  <c r="VUC208" i="38"/>
  <c r="VUB208" i="38"/>
  <c r="VUA208" i="38"/>
  <c r="VTZ208" i="38"/>
  <c r="VTY208" i="38"/>
  <c r="VTX208" i="38"/>
  <c r="VTW208" i="38"/>
  <c r="VTV208" i="38"/>
  <c r="VTU208" i="38"/>
  <c r="VTT208" i="38"/>
  <c r="VTS208" i="38"/>
  <c r="VTR208" i="38"/>
  <c r="VTQ208" i="38"/>
  <c r="VTP208" i="38"/>
  <c r="VTO208" i="38"/>
  <c r="VTN208" i="38"/>
  <c r="VTM208" i="38"/>
  <c r="VTL208" i="38"/>
  <c r="VTK208" i="38"/>
  <c r="VTJ208" i="38"/>
  <c r="VTI208" i="38"/>
  <c r="VTH208" i="38"/>
  <c r="VTG208" i="38"/>
  <c r="VTF208" i="38"/>
  <c r="VTE208" i="38"/>
  <c r="VTD208" i="38"/>
  <c r="VTC208" i="38"/>
  <c r="VTB208" i="38"/>
  <c r="VTA208" i="38"/>
  <c r="VSZ208" i="38"/>
  <c r="VSY208" i="38"/>
  <c r="VSX208" i="38"/>
  <c r="VSW208" i="38"/>
  <c r="VSV208" i="38"/>
  <c r="VSU208" i="38"/>
  <c r="VST208" i="38"/>
  <c r="VSS208" i="38"/>
  <c r="VSR208" i="38"/>
  <c r="VSQ208" i="38"/>
  <c r="VSP208" i="38"/>
  <c r="VSO208" i="38"/>
  <c r="VSN208" i="38"/>
  <c r="VSM208" i="38"/>
  <c r="VSL208" i="38"/>
  <c r="VSK208" i="38"/>
  <c r="VSJ208" i="38"/>
  <c r="VSI208" i="38"/>
  <c r="VSH208" i="38"/>
  <c r="VSG208" i="38"/>
  <c r="VSF208" i="38"/>
  <c r="VSE208" i="38"/>
  <c r="VSD208" i="38"/>
  <c r="VSC208" i="38"/>
  <c r="VSB208" i="38"/>
  <c r="VSA208" i="38"/>
  <c r="VRZ208" i="38"/>
  <c r="VRY208" i="38"/>
  <c r="VRX208" i="38"/>
  <c r="VRW208" i="38"/>
  <c r="VRV208" i="38"/>
  <c r="VRU208" i="38"/>
  <c r="VRT208" i="38"/>
  <c r="VRS208" i="38"/>
  <c r="VRR208" i="38"/>
  <c r="VRQ208" i="38"/>
  <c r="VRP208" i="38"/>
  <c r="VRO208" i="38"/>
  <c r="VRN208" i="38"/>
  <c r="VRM208" i="38"/>
  <c r="VRL208" i="38"/>
  <c r="VRK208" i="38"/>
  <c r="VRJ208" i="38"/>
  <c r="VRI208" i="38"/>
  <c r="VRH208" i="38"/>
  <c r="VRG208" i="38"/>
  <c r="VRF208" i="38"/>
  <c r="VRE208" i="38"/>
  <c r="VRD208" i="38"/>
  <c r="VRC208" i="38"/>
  <c r="VRB208" i="38"/>
  <c r="VRA208" i="38"/>
  <c r="VQZ208" i="38"/>
  <c r="VQY208" i="38"/>
  <c r="VQX208" i="38"/>
  <c r="VQW208" i="38"/>
  <c r="VQV208" i="38"/>
  <c r="VQU208" i="38"/>
  <c r="VQT208" i="38"/>
  <c r="VQS208" i="38"/>
  <c r="VQR208" i="38"/>
  <c r="VQQ208" i="38"/>
  <c r="VQP208" i="38"/>
  <c r="VQO208" i="38"/>
  <c r="VQN208" i="38"/>
  <c r="VQM208" i="38"/>
  <c r="VQL208" i="38"/>
  <c r="VQK208" i="38"/>
  <c r="VQJ208" i="38"/>
  <c r="VQI208" i="38"/>
  <c r="VQH208" i="38"/>
  <c r="VQG208" i="38"/>
  <c r="VQF208" i="38"/>
  <c r="VQE208" i="38"/>
  <c r="VQD208" i="38"/>
  <c r="VQC208" i="38"/>
  <c r="VQB208" i="38"/>
  <c r="VQA208" i="38"/>
  <c r="VPZ208" i="38"/>
  <c r="VPY208" i="38"/>
  <c r="VPX208" i="38"/>
  <c r="VPW208" i="38"/>
  <c r="VPV208" i="38"/>
  <c r="VPU208" i="38"/>
  <c r="VPT208" i="38"/>
  <c r="VPS208" i="38"/>
  <c r="VPR208" i="38"/>
  <c r="VPQ208" i="38"/>
  <c r="VPP208" i="38"/>
  <c r="VPO208" i="38"/>
  <c r="VPN208" i="38"/>
  <c r="VPM208" i="38"/>
  <c r="VPL208" i="38"/>
  <c r="VPK208" i="38"/>
  <c r="VPJ208" i="38"/>
  <c r="VPI208" i="38"/>
  <c r="VPH208" i="38"/>
  <c r="VPG208" i="38"/>
  <c r="VPF208" i="38"/>
  <c r="VPE208" i="38"/>
  <c r="VPD208" i="38"/>
  <c r="VPC208" i="38"/>
  <c r="VPB208" i="38"/>
  <c r="VPA208" i="38"/>
  <c r="VOZ208" i="38"/>
  <c r="VOY208" i="38"/>
  <c r="VOX208" i="38"/>
  <c r="VOW208" i="38"/>
  <c r="VOV208" i="38"/>
  <c r="VOU208" i="38"/>
  <c r="VOT208" i="38"/>
  <c r="VOS208" i="38"/>
  <c r="VOR208" i="38"/>
  <c r="VOQ208" i="38"/>
  <c r="VOP208" i="38"/>
  <c r="VOO208" i="38"/>
  <c r="VON208" i="38"/>
  <c r="VOM208" i="38"/>
  <c r="VOL208" i="38"/>
  <c r="VOK208" i="38"/>
  <c r="VOJ208" i="38"/>
  <c r="VOI208" i="38"/>
  <c r="VOH208" i="38"/>
  <c r="VOG208" i="38"/>
  <c r="VOF208" i="38"/>
  <c r="VOE208" i="38"/>
  <c r="VOD208" i="38"/>
  <c r="VOC208" i="38"/>
  <c r="VOB208" i="38"/>
  <c r="VOA208" i="38"/>
  <c r="VNZ208" i="38"/>
  <c r="VNY208" i="38"/>
  <c r="VNX208" i="38"/>
  <c r="VNW208" i="38"/>
  <c r="VNV208" i="38"/>
  <c r="VNU208" i="38"/>
  <c r="VNT208" i="38"/>
  <c r="VNS208" i="38"/>
  <c r="VNR208" i="38"/>
  <c r="VNQ208" i="38"/>
  <c r="VNP208" i="38"/>
  <c r="VNO208" i="38"/>
  <c r="VNN208" i="38"/>
  <c r="VNM208" i="38"/>
  <c r="VNL208" i="38"/>
  <c r="VNK208" i="38"/>
  <c r="VNJ208" i="38"/>
  <c r="VNI208" i="38"/>
  <c r="VNH208" i="38"/>
  <c r="VNG208" i="38"/>
  <c r="VNF208" i="38"/>
  <c r="VNE208" i="38"/>
  <c r="VND208" i="38"/>
  <c r="VNC208" i="38"/>
  <c r="VNB208" i="38"/>
  <c r="VNA208" i="38"/>
  <c r="VMZ208" i="38"/>
  <c r="VMY208" i="38"/>
  <c r="VMX208" i="38"/>
  <c r="VMW208" i="38"/>
  <c r="VMV208" i="38"/>
  <c r="VMU208" i="38"/>
  <c r="VMT208" i="38"/>
  <c r="VMS208" i="38"/>
  <c r="VMR208" i="38"/>
  <c r="VMQ208" i="38"/>
  <c r="VMP208" i="38"/>
  <c r="VMO208" i="38"/>
  <c r="VMN208" i="38"/>
  <c r="VMM208" i="38"/>
  <c r="VML208" i="38"/>
  <c r="VMK208" i="38"/>
  <c r="VMJ208" i="38"/>
  <c r="VMI208" i="38"/>
  <c r="VMH208" i="38"/>
  <c r="VMG208" i="38"/>
  <c r="VMF208" i="38"/>
  <c r="VME208" i="38"/>
  <c r="VMD208" i="38"/>
  <c r="VMC208" i="38"/>
  <c r="VMB208" i="38"/>
  <c r="VMA208" i="38"/>
  <c r="VLZ208" i="38"/>
  <c r="VLY208" i="38"/>
  <c r="VLX208" i="38"/>
  <c r="VLW208" i="38"/>
  <c r="VLV208" i="38"/>
  <c r="VLU208" i="38"/>
  <c r="VLT208" i="38"/>
  <c r="VLS208" i="38"/>
  <c r="VLR208" i="38"/>
  <c r="VLQ208" i="38"/>
  <c r="VLP208" i="38"/>
  <c r="VLO208" i="38"/>
  <c r="VLN208" i="38"/>
  <c r="VLM208" i="38"/>
  <c r="VLL208" i="38"/>
  <c r="VLK208" i="38"/>
  <c r="VLJ208" i="38"/>
  <c r="VLI208" i="38"/>
  <c r="VLH208" i="38"/>
  <c r="VLG208" i="38"/>
  <c r="VLF208" i="38"/>
  <c r="VLE208" i="38"/>
  <c r="VLD208" i="38"/>
  <c r="VLC208" i="38"/>
  <c r="VLB208" i="38"/>
  <c r="VLA208" i="38"/>
  <c r="VKZ208" i="38"/>
  <c r="VKY208" i="38"/>
  <c r="VKX208" i="38"/>
  <c r="VKW208" i="38"/>
  <c r="VKV208" i="38"/>
  <c r="VKU208" i="38"/>
  <c r="VKT208" i="38"/>
  <c r="VKS208" i="38"/>
  <c r="VKR208" i="38"/>
  <c r="VKQ208" i="38"/>
  <c r="VKP208" i="38"/>
  <c r="VKO208" i="38"/>
  <c r="VKN208" i="38"/>
  <c r="VKM208" i="38"/>
  <c r="VKL208" i="38"/>
  <c r="VKK208" i="38"/>
  <c r="VKJ208" i="38"/>
  <c r="VKI208" i="38"/>
  <c r="VKH208" i="38"/>
  <c r="VKG208" i="38"/>
  <c r="VKF208" i="38"/>
  <c r="VKE208" i="38"/>
  <c r="VKD208" i="38"/>
  <c r="VKC208" i="38"/>
  <c r="VKB208" i="38"/>
  <c r="VKA208" i="38"/>
  <c r="VJZ208" i="38"/>
  <c r="VJY208" i="38"/>
  <c r="VJX208" i="38"/>
  <c r="VJW208" i="38"/>
  <c r="VJV208" i="38"/>
  <c r="VJU208" i="38"/>
  <c r="VJT208" i="38"/>
  <c r="VJS208" i="38"/>
  <c r="VJR208" i="38"/>
  <c r="VJQ208" i="38"/>
  <c r="VJP208" i="38"/>
  <c r="VJO208" i="38"/>
  <c r="VJN208" i="38"/>
  <c r="VJM208" i="38"/>
  <c r="VJL208" i="38"/>
  <c r="VJK208" i="38"/>
  <c r="VJJ208" i="38"/>
  <c r="VJI208" i="38"/>
  <c r="VJH208" i="38"/>
  <c r="VJG208" i="38"/>
  <c r="VJF208" i="38"/>
  <c r="VJE208" i="38"/>
  <c r="VJD208" i="38"/>
  <c r="VJC208" i="38"/>
  <c r="VJB208" i="38"/>
  <c r="VJA208" i="38"/>
  <c r="VIZ208" i="38"/>
  <c r="VIY208" i="38"/>
  <c r="VIX208" i="38"/>
  <c r="VIW208" i="38"/>
  <c r="VIV208" i="38"/>
  <c r="VIU208" i="38"/>
  <c r="VIT208" i="38"/>
  <c r="VIS208" i="38"/>
  <c r="VIR208" i="38"/>
  <c r="VIQ208" i="38"/>
  <c r="VIP208" i="38"/>
  <c r="VIO208" i="38"/>
  <c r="VIN208" i="38"/>
  <c r="VIM208" i="38"/>
  <c r="VIL208" i="38"/>
  <c r="VIK208" i="38"/>
  <c r="VIJ208" i="38"/>
  <c r="VII208" i="38"/>
  <c r="VIH208" i="38"/>
  <c r="VIG208" i="38"/>
  <c r="VIF208" i="38"/>
  <c r="VIE208" i="38"/>
  <c r="VID208" i="38"/>
  <c r="VIC208" i="38"/>
  <c r="VIB208" i="38"/>
  <c r="VIA208" i="38"/>
  <c r="VHZ208" i="38"/>
  <c r="VHY208" i="38"/>
  <c r="VHX208" i="38"/>
  <c r="VHW208" i="38"/>
  <c r="VHV208" i="38"/>
  <c r="VHU208" i="38"/>
  <c r="VHT208" i="38"/>
  <c r="VHS208" i="38"/>
  <c r="VHR208" i="38"/>
  <c r="VHQ208" i="38"/>
  <c r="VHP208" i="38"/>
  <c r="VHO208" i="38"/>
  <c r="VHN208" i="38"/>
  <c r="VHM208" i="38"/>
  <c r="VHL208" i="38"/>
  <c r="VHK208" i="38"/>
  <c r="VHJ208" i="38"/>
  <c r="VHI208" i="38"/>
  <c r="VHH208" i="38"/>
  <c r="VHG208" i="38"/>
  <c r="VHF208" i="38"/>
  <c r="VHE208" i="38"/>
  <c r="VHD208" i="38"/>
  <c r="VHC208" i="38"/>
  <c r="VHB208" i="38"/>
  <c r="VHA208" i="38"/>
  <c r="VGZ208" i="38"/>
  <c r="VGY208" i="38"/>
  <c r="VGX208" i="38"/>
  <c r="VGW208" i="38"/>
  <c r="VGV208" i="38"/>
  <c r="VGU208" i="38"/>
  <c r="VGT208" i="38"/>
  <c r="VGS208" i="38"/>
  <c r="VGR208" i="38"/>
  <c r="VGQ208" i="38"/>
  <c r="VGP208" i="38"/>
  <c r="VGO208" i="38"/>
  <c r="VGN208" i="38"/>
  <c r="VGM208" i="38"/>
  <c r="VGL208" i="38"/>
  <c r="VGK208" i="38"/>
  <c r="VGJ208" i="38"/>
  <c r="VGI208" i="38"/>
  <c r="VGH208" i="38"/>
  <c r="VGG208" i="38"/>
  <c r="VGF208" i="38"/>
  <c r="VGE208" i="38"/>
  <c r="VGD208" i="38"/>
  <c r="VGC208" i="38"/>
  <c r="VGB208" i="38"/>
  <c r="VGA208" i="38"/>
  <c r="VFZ208" i="38"/>
  <c r="VFY208" i="38"/>
  <c r="VFX208" i="38"/>
  <c r="VFW208" i="38"/>
  <c r="VFV208" i="38"/>
  <c r="VFU208" i="38"/>
  <c r="VFT208" i="38"/>
  <c r="VFS208" i="38"/>
  <c r="VFR208" i="38"/>
  <c r="VFQ208" i="38"/>
  <c r="VFP208" i="38"/>
  <c r="VFO208" i="38"/>
  <c r="VFN208" i="38"/>
  <c r="VFM208" i="38"/>
  <c r="VFL208" i="38"/>
  <c r="VFK208" i="38"/>
  <c r="VFJ208" i="38"/>
  <c r="VFI208" i="38"/>
  <c r="VFH208" i="38"/>
  <c r="VFG208" i="38"/>
  <c r="VFF208" i="38"/>
  <c r="VFE208" i="38"/>
  <c r="VFD208" i="38"/>
  <c r="VFC208" i="38"/>
  <c r="VFB208" i="38"/>
  <c r="VFA208" i="38"/>
  <c r="VEZ208" i="38"/>
  <c r="VEY208" i="38"/>
  <c r="VEX208" i="38"/>
  <c r="VEW208" i="38"/>
  <c r="VEV208" i="38"/>
  <c r="VEU208" i="38"/>
  <c r="VET208" i="38"/>
  <c r="VES208" i="38"/>
  <c r="VER208" i="38"/>
  <c r="VEQ208" i="38"/>
  <c r="VEP208" i="38"/>
  <c r="VEO208" i="38"/>
  <c r="VEN208" i="38"/>
  <c r="VEM208" i="38"/>
  <c r="VEL208" i="38"/>
  <c r="VEK208" i="38"/>
  <c r="VEJ208" i="38"/>
  <c r="VEI208" i="38"/>
  <c r="VEH208" i="38"/>
  <c r="VEG208" i="38"/>
  <c r="VEF208" i="38"/>
  <c r="VEE208" i="38"/>
  <c r="VED208" i="38"/>
  <c r="VEC208" i="38"/>
  <c r="VEB208" i="38"/>
  <c r="VEA208" i="38"/>
  <c r="VDZ208" i="38"/>
  <c r="VDY208" i="38"/>
  <c r="VDX208" i="38"/>
  <c r="VDW208" i="38"/>
  <c r="VDV208" i="38"/>
  <c r="VDU208" i="38"/>
  <c r="VDT208" i="38"/>
  <c r="VDS208" i="38"/>
  <c r="VDR208" i="38"/>
  <c r="VDQ208" i="38"/>
  <c r="VDP208" i="38"/>
  <c r="VDO208" i="38"/>
  <c r="VDN208" i="38"/>
  <c r="VDM208" i="38"/>
  <c r="VDL208" i="38"/>
  <c r="VDK208" i="38"/>
  <c r="VDJ208" i="38"/>
  <c r="VDI208" i="38"/>
  <c r="VDH208" i="38"/>
  <c r="VDG208" i="38"/>
  <c r="VDF208" i="38"/>
  <c r="VDE208" i="38"/>
  <c r="VDD208" i="38"/>
  <c r="VDC208" i="38"/>
  <c r="VDB208" i="38"/>
  <c r="VDA208" i="38"/>
  <c r="VCZ208" i="38"/>
  <c r="VCY208" i="38"/>
  <c r="VCX208" i="38"/>
  <c r="VCW208" i="38"/>
  <c r="VCV208" i="38"/>
  <c r="VCU208" i="38"/>
  <c r="VCT208" i="38"/>
  <c r="VCS208" i="38"/>
  <c r="VCR208" i="38"/>
  <c r="VCQ208" i="38"/>
  <c r="VCP208" i="38"/>
  <c r="VCO208" i="38"/>
  <c r="VCN208" i="38"/>
  <c r="VCM208" i="38"/>
  <c r="VCL208" i="38"/>
  <c r="VCK208" i="38"/>
  <c r="VCJ208" i="38"/>
  <c r="VCI208" i="38"/>
  <c r="VCH208" i="38"/>
  <c r="VCG208" i="38"/>
  <c r="VCF208" i="38"/>
  <c r="VCE208" i="38"/>
  <c r="VCD208" i="38"/>
  <c r="VCC208" i="38"/>
  <c r="VCB208" i="38"/>
  <c r="VCA208" i="38"/>
  <c r="VBZ208" i="38"/>
  <c r="VBY208" i="38"/>
  <c r="VBX208" i="38"/>
  <c r="VBW208" i="38"/>
  <c r="VBV208" i="38"/>
  <c r="VBU208" i="38"/>
  <c r="VBT208" i="38"/>
  <c r="VBS208" i="38"/>
  <c r="VBR208" i="38"/>
  <c r="VBQ208" i="38"/>
  <c r="VBP208" i="38"/>
  <c r="VBO208" i="38"/>
  <c r="VBN208" i="38"/>
  <c r="VBM208" i="38"/>
  <c r="VBL208" i="38"/>
  <c r="VBK208" i="38"/>
  <c r="VBJ208" i="38"/>
  <c r="VBI208" i="38"/>
  <c r="VBH208" i="38"/>
  <c r="VBG208" i="38"/>
  <c r="VBF208" i="38"/>
  <c r="VBE208" i="38"/>
  <c r="VBD208" i="38"/>
  <c r="VBC208" i="38"/>
  <c r="VBB208" i="38"/>
  <c r="VBA208" i="38"/>
  <c r="VAZ208" i="38"/>
  <c r="VAY208" i="38"/>
  <c r="VAX208" i="38"/>
  <c r="VAW208" i="38"/>
  <c r="VAV208" i="38"/>
  <c r="VAU208" i="38"/>
  <c r="VAT208" i="38"/>
  <c r="VAS208" i="38"/>
  <c r="VAR208" i="38"/>
  <c r="VAQ208" i="38"/>
  <c r="VAP208" i="38"/>
  <c r="VAO208" i="38"/>
  <c r="VAN208" i="38"/>
  <c r="VAM208" i="38"/>
  <c r="VAL208" i="38"/>
  <c r="VAK208" i="38"/>
  <c r="VAJ208" i="38"/>
  <c r="VAI208" i="38"/>
  <c r="VAH208" i="38"/>
  <c r="VAG208" i="38"/>
  <c r="VAF208" i="38"/>
  <c r="VAE208" i="38"/>
  <c r="VAD208" i="38"/>
  <c r="VAC208" i="38"/>
  <c r="VAB208" i="38"/>
  <c r="VAA208" i="38"/>
  <c r="UZZ208" i="38"/>
  <c r="UZY208" i="38"/>
  <c r="UZX208" i="38"/>
  <c r="UZW208" i="38"/>
  <c r="UZV208" i="38"/>
  <c r="UZU208" i="38"/>
  <c r="UZT208" i="38"/>
  <c r="UZS208" i="38"/>
  <c r="UZR208" i="38"/>
  <c r="UZQ208" i="38"/>
  <c r="UZP208" i="38"/>
  <c r="UZO208" i="38"/>
  <c r="UZN208" i="38"/>
  <c r="UZM208" i="38"/>
  <c r="UZL208" i="38"/>
  <c r="UZK208" i="38"/>
  <c r="UZJ208" i="38"/>
  <c r="UZI208" i="38"/>
  <c r="UZH208" i="38"/>
  <c r="UZG208" i="38"/>
  <c r="UZF208" i="38"/>
  <c r="UZE208" i="38"/>
  <c r="UZD208" i="38"/>
  <c r="UZC208" i="38"/>
  <c r="UZB208" i="38"/>
  <c r="UZA208" i="38"/>
  <c r="UYZ208" i="38"/>
  <c r="UYY208" i="38"/>
  <c r="UYX208" i="38"/>
  <c r="UYW208" i="38"/>
  <c r="UYV208" i="38"/>
  <c r="UYU208" i="38"/>
  <c r="UYT208" i="38"/>
  <c r="UYS208" i="38"/>
  <c r="UYR208" i="38"/>
  <c r="UYQ208" i="38"/>
  <c r="UYP208" i="38"/>
  <c r="UYO208" i="38"/>
  <c r="UYN208" i="38"/>
  <c r="UYM208" i="38"/>
  <c r="UYL208" i="38"/>
  <c r="UYK208" i="38"/>
  <c r="UYJ208" i="38"/>
  <c r="UYI208" i="38"/>
  <c r="UYH208" i="38"/>
  <c r="UYG208" i="38"/>
  <c r="UYF208" i="38"/>
  <c r="UYE208" i="38"/>
  <c r="UYD208" i="38"/>
  <c r="UYC208" i="38"/>
  <c r="UYB208" i="38"/>
  <c r="UYA208" i="38"/>
  <c r="UXZ208" i="38"/>
  <c r="UXY208" i="38"/>
  <c r="UXX208" i="38"/>
  <c r="UXW208" i="38"/>
  <c r="UXV208" i="38"/>
  <c r="UXU208" i="38"/>
  <c r="UXT208" i="38"/>
  <c r="UXS208" i="38"/>
  <c r="UXR208" i="38"/>
  <c r="UXQ208" i="38"/>
  <c r="UXP208" i="38"/>
  <c r="UXO208" i="38"/>
  <c r="UXN208" i="38"/>
  <c r="UXM208" i="38"/>
  <c r="UXL208" i="38"/>
  <c r="UXK208" i="38"/>
  <c r="UXJ208" i="38"/>
  <c r="UXI208" i="38"/>
  <c r="UXH208" i="38"/>
  <c r="UXG208" i="38"/>
  <c r="UXF208" i="38"/>
  <c r="UXE208" i="38"/>
  <c r="UXD208" i="38"/>
  <c r="UXC208" i="38"/>
  <c r="UXB208" i="38"/>
  <c r="UXA208" i="38"/>
  <c r="UWZ208" i="38"/>
  <c r="UWY208" i="38"/>
  <c r="UWX208" i="38"/>
  <c r="UWW208" i="38"/>
  <c r="UWV208" i="38"/>
  <c r="UWU208" i="38"/>
  <c r="UWT208" i="38"/>
  <c r="UWS208" i="38"/>
  <c r="UWR208" i="38"/>
  <c r="UWQ208" i="38"/>
  <c r="UWP208" i="38"/>
  <c r="UWO208" i="38"/>
  <c r="UWN208" i="38"/>
  <c r="UWM208" i="38"/>
  <c r="UWL208" i="38"/>
  <c r="UWK208" i="38"/>
  <c r="UWJ208" i="38"/>
  <c r="UWI208" i="38"/>
  <c r="UWH208" i="38"/>
  <c r="UWG208" i="38"/>
  <c r="UWF208" i="38"/>
  <c r="UWE208" i="38"/>
  <c r="UWD208" i="38"/>
  <c r="UWC208" i="38"/>
  <c r="UWB208" i="38"/>
  <c r="UWA208" i="38"/>
  <c r="UVZ208" i="38"/>
  <c r="UVY208" i="38"/>
  <c r="UVX208" i="38"/>
  <c r="UVW208" i="38"/>
  <c r="UVV208" i="38"/>
  <c r="UVU208" i="38"/>
  <c r="UVT208" i="38"/>
  <c r="UVS208" i="38"/>
  <c r="UVR208" i="38"/>
  <c r="UVQ208" i="38"/>
  <c r="UVP208" i="38"/>
  <c r="UVO208" i="38"/>
  <c r="UVN208" i="38"/>
  <c r="UVM208" i="38"/>
  <c r="UVL208" i="38"/>
  <c r="UVK208" i="38"/>
  <c r="UVJ208" i="38"/>
  <c r="UVI208" i="38"/>
  <c r="UVH208" i="38"/>
  <c r="UVG208" i="38"/>
  <c r="UVF208" i="38"/>
  <c r="UVE208" i="38"/>
  <c r="UVD208" i="38"/>
  <c r="UVC208" i="38"/>
  <c r="UVB208" i="38"/>
  <c r="UVA208" i="38"/>
  <c r="UUZ208" i="38"/>
  <c r="UUY208" i="38"/>
  <c r="UUX208" i="38"/>
  <c r="UUW208" i="38"/>
  <c r="UUV208" i="38"/>
  <c r="UUU208" i="38"/>
  <c r="UUT208" i="38"/>
  <c r="UUS208" i="38"/>
  <c r="UUR208" i="38"/>
  <c r="UUQ208" i="38"/>
  <c r="UUP208" i="38"/>
  <c r="UUO208" i="38"/>
  <c r="UUN208" i="38"/>
  <c r="UUM208" i="38"/>
  <c r="UUL208" i="38"/>
  <c r="UUK208" i="38"/>
  <c r="UUJ208" i="38"/>
  <c r="UUI208" i="38"/>
  <c r="UUH208" i="38"/>
  <c r="UUG208" i="38"/>
  <c r="UUF208" i="38"/>
  <c r="UUE208" i="38"/>
  <c r="UUD208" i="38"/>
  <c r="UUC208" i="38"/>
  <c r="UUB208" i="38"/>
  <c r="UUA208" i="38"/>
  <c r="UTZ208" i="38"/>
  <c r="UTY208" i="38"/>
  <c r="UTX208" i="38"/>
  <c r="UTW208" i="38"/>
  <c r="UTV208" i="38"/>
  <c r="UTU208" i="38"/>
  <c r="UTT208" i="38"/>
  <c r="UTS208" i="38"/>
  <c r="UTR208" i="38"/>
  <c r="UTQ208" i="38"/>
  <c r="UTP208" i="38"/>
  <c r="UTO208" i="38"/>
  <c r="UTN208" i="38"/>
  <c r="UTM208" i="38"/>
  <c r="UTL208" i="38"/>
  <c r="UTK208" i="38"/>
  <c r="UTJ208" i="38"/>
  <c r="UTI208" i="38"/>
  <c r="UTH208" i="38"/>
  <c r="UTG208" i="38"/>
  <c r="UTF208" i="38"/>
  <c r="UTE208" i="38"/>
  <c r="UTD208" i="38"/>
  <c r="UTC208" i="38"/>
  <c r="UTB208" i="38"/>
  <c r="UTA208" i="38"/>
  <c r="USZ208" i="38"/>
  <c r="USY208" i="38"/>
  <c r="USX208" i="38"/>
  <c r="USW208" i="38"/>
  <c r="USV208" i="38"/>
  <c r="USU208" i="38"/>
  <c r="UST208" i="38"/>
  <c r="USS208" i="38"/>
  <c r="USR208" i="38"/>
  <c r="USQ208" i="38"/>
  <c r="USP208" i="38"/>
  <c r="USO208" i="38"/>
  <c r="USN208" i="38"/>
  <c r="USM208" i="38"/>
  <c r="USL208" i="38"/>
  <c r="USK208" i="38"/>
  <c r="USJ208" i="38"/>
  <c r="USI208" i="38"/>
  <c r="USH208" i="38"/>
  <c r="USG208" i="38"/>
  <c r="USF208" i="38"/>
  <c r="USE208" i="38"/>
  <c r="USD208" i="38"/>
  <c r="USC208" i="38"/>
  <c r="USB208" i="38"/>
  <c r="USA208" i="38"/>
  <c r="URZ208" i="38"/>
  <c r="URY208" i="38"/>
  <c r="URX208" i="38"/>
  <c r="URW208" i="38"/>
  <c r="URV208" i="38"/>
  <c r="URU208" i="38"/>
  <c r="URT208" i="38"/>
  <c r="URS208" i="38"/>
  <c r="URR208" i="38"/>
  <c r="URQ208" i="38"/>
  <c r="URP208" i="38"/>
  <c r="URO208" i="38"/>
  <c r="URN208" i="38"/>
  <c r="URM208" i="38"/>
  <c r="URL208" i="38"/>
  <c r="URK208" i="38"/>
  <c r="URJ208" i="38"/>
  <c r="URI208" i="38"/>
  <c r="URH208" i="38"/>
  <c r="URG208" i="38"/>
  <c r="URF208" i="38"/>
  <c r="URE208" i="38"/>
  <c r="URD208" i="38"/>
  <c r="URC208" i="38"/>
  <c r="URB208" i="38"/>
  <c r="URA208" i="38"/>
  <c r="UQZ208" i="38"/>
  <c r="UQY208" i="38"/>
  <c r="UQX208" i="38"/>
  <c r="UQW208" i="38"/>
  <c r="UQV208" i="38"/>
  <c r="UQU208" i="38"/>
  <c r="UQT208" i="38"/>
  <c r="UQS208" i="38"/>
  <c r="UQR208" i="38"/>
  <c r="UQQ208" i="38"/>
  <c r="UQP208" i="38"/>
  <c r="UQO208" i="38"/>
  <c r="UQN208" i="38"/>
  <c r="UQM208" i="38"/>
  <c r="UQL208" i="38"/>
  <c r="UQK208" i="38"/>
  <c r="UQJ208" i="38"/>
  <c r="UQI208" i="38"/>
  <c r="UQH208" i="38"/>
  <c r="UQG208" i="38"/>
  <c r="UQF208" i="38"/>
  <c r="UQE208" i="38"/>
  <c r="UQD208" i="38"/>
  <c r="UQC208" i="38"/>
  <c r="UQB208" i="38"/>
  <c r="UQA208" i="38"/>
  <c r="UPZ208" i="38"/>
  <c r="UPY208" i="38"/>
  <c r="UPX208" i="38"/>
  <c r="UPW208" i="38"/>
  <c r="UPV208" i="38"/>
  <c r="UPU208" i="38"/>
  <c r="UPT208" i="38"/>
  <c r="UPS208" i="38"/>
  <c r="UPR208" i="38"/>
  <c r="UPQ208" i="38"/>
  <c r="UPP208" i="38"/>
  <c r="UPO208" i="38"/>
  <c r="UPN208" i="38"/>
  <c r="UPM208" i="38"/>
  <c r="UPL208" i="38"/>
  <c r="UPK208" i="38"/>
  <c r="UPJ208" i="38"/>
  <c r="UPI208" i="38"/>
  <c r="UPH208" i="38"/>
  <c r="UPG208" i="38"/>
  <c r="UPF208" i="38"/>
  <c r="UPE208" i="38"/>
  <c r="UPD208" i="38"/>
  <c r="UPC208" i="38"/>
  <c r="UPB208" i="38"/>
  <c r="UPA208" i="38"/>
  <c r="UOZ208" i="38"/>
  <c r="UOY208" i="38"/>
  <c r="UOX208" i="38"/>
  <c r="UOW208" i="38"/>
  <c r="UOV208" i="38"/>
  <c r="UOU208" i="38"/>
  <c r="UOT208" i="38"/>
  <c r="UOS208" i="38"/>
  <c r="UOR208" i="38"/>
  <c r="UOQ208" i="38"/>
  <c r="UOP208" i="38"/>
  <c r="UOO208" i="38"/>
  <c r="UON208" i="38"/>
  <c r="UOM208" i="38"/>
  <c r="UOL208" i="38"/>
  <c r="UOK208" i="38"/>
  <c r="UOJ208" i="38"/>
  <c r="UOI208" i="38"/>
  <c r="UOH208" i="38"/>
  <c r="UOG208" i="38"/>
  <c r="UOF208" i="38"/>
  <c r="UOE208" i="38"/>
  <c r="UOD208" i="38"/>
  <c r="UOC208" i="38"/>
  <c r="UOB208" i="38"/>
  <c r="UOA208" i="38"/>
  <c r="UNZ208" i="38"/>
  <c r="UNY208" i="38"/>
  <c r="UNX208" i="38"/>
  <c r="UNW208" i="38"/>
  <c r="UNV208" i="38"/>
  <c r="UNU208" i="38"/>
  <c r="UNT208" i="38"/>
  <c r="UNS208" i="38"/>
  <c r="UNR208" i="38"/>
  <c r="UNQ208" i="38"/>
  <c r="UNP208" i="38"/>
  <c r="UNO208" i="38"/>
  <c r="UNN208" i="38"/>
  <c r="UNM208" i="38"/>
  <c r="UNL208" i="38"/>
  <c r="UNK208" i="38"/>
  <c r="UNJ208" i="38"/>
  <c r="UNI208" i="38"/>
  <c r="UNH208" i="38"/>
  <c r="UNG208" i="38"/>
  <c r="UNF208" i="38"/>
  <c r="UNE208" i="38"/>
  <c r="UND208" i="38"/>
  <c r="UNC208" i="38"/>
  <c r="UNB208" i="38"/>
  <c r="UNA208" i="38"/>
  <c r="UMZ208" i="38"/>
  <c r="UMY208" i="38"/>
  <c r="UMX208" i="38"/>
  <c r="UMW208" i="38"/>
  <c r="UMV208" i="38"/>
  <c r="UMU208" i="38"/>
  <c r="UMT208" i="38"/>
  <c r="UMS208" i="38"/>
  <c r="UMR208" i="38"/>
  <c r="UMQ208" i="38"/>
  <c r="UMP208" i="38"/>
  <c r="UMO208" i="38"/>
  <c r="UMN208" i="38"/>
  <c r="UMM208" i="38"/>
  <c r="UML208" i="38"/>
  <c r="UMK208" i="38"/>
  <c r="UMJ208" i="38"/>
  <c r="UMI208" i="38"/>
  <c r="UMH208" i="38"/>
  <c r="UMG208" i="38"/>
  <c r="UMF208" i="38"/>
  <c r="UME208" i="38"/>
  <c r="UMD208" i="38"/>
  <c r="UMC208" i="38"/>
  <c r="UMB208" i="38"/>
  <c r="UMA208" i="38"/>
  <c r="ULZ208" i="38"/>
  <c r="ULY208" i="38"/>
  <c r="ULX208" i="38"/>
  <c r="ULW208" i="38"/>
  <c r="ULV208" i="38"/>
  <c r="ULU208" i="38"/>
  <c r="ULT208" i="38"/>
  <c r="ULS208" i="38"/>
  <c r="ULR208" i="38"/>
  <c r="ULQ208" i="38"/>
  <c r="ULP208" i="38"/>
  <c r="ULO208" i="38"/>
  <c r="ULN208" i="38"/>
  <c r="ULM208" i="38"/>
  <c r="ULL208" i="38"/>
  <c r="ULK208" i="38"/>
  <c r="ULJ208" i="38"/>
  <c r="ULI208" i="38"/>
  <c r="ULH208" i="38"/>
  <c r="ULG208" i="38"/>
  <c r="ULF208" i="38"/>
  <c r="ULE208" i="38"/>
  <c r="ULD208" i="38"/>
  <c r="ULC208" i="38"/>
  <c r="ULB208" i="38"/>
  <c r="ULA208" i="38"/>
  <c r="UKZ208" i="38"/>
  <c r="UKY208" i="38"/>
  <c r="UKX208" i="38"/>
  <c r="UKW208" i="38"/>
  <c r="UKV208" i="38"/>
  <c r="UKU208" i="38"/>
  <c r="UKT208" i="38"/>
  <c r="UKS208" i="38"/>
  <c r="UKR208" i="38"/>
  <c r="UKQ208" i="38"/>
  <c r="UKP208" i="38"/>
  <c r="UKO208" i="38"/>
  <c r="UKN208" i="38"/>
  <c r="UKM208" i="38"/>
  <c r="UKL208" i="38"/>
  <c r="UKK208" i="38"/>
  <c r="UKJ208" i="38"/>
  <c r="UKI208" i="38"/>
  <c r="UKH208" i="38"/>
  <c r="UKG208" i="38"/>
  <c r="UKF208" i="38"/>
  <c r="UKE208" i="38"/>
  <c r="UKD208" i="38"/>
  <c r="UKC208" i="38"/>
  <c r="UKB208" i="38"/>
  <c r="UKA208" i="38"/>
  <c r="UJZ208" i="38"/>
  <c r="UJY208" i="38"/>
  <c r="UJX208" i="38"/>
  <c r="UJW208" i="38"/>
  <c r="UJV208" i="38"/>
  <c r="UJU208" i="38"/>
  <c r="UJT208" i="38"/>
  <c r="UJS208" i="38"/>
  <c r="UJR208" i="38"/>
  <c r="UJQ208" i="38"/>
  <c r="UJP208" i="38"/>
  <c r="UJO208" i="38"/>
  <c r="UJN208" i="38"/>
  <c r="UJM208" i="38"/>
  <c r="UJL208" i="38"/>
  <c r="UJK208" i="38"/>
  <c r="UJJ208" i="38"/>
  <c r="UJI208" i="38"/>
  <c r="UJH208" i="38"/>
  <c r="UJG208" i="38"/>
  <c r="UJF208" i="38"/>
  <c r="UJE208" i="38"/>
  <c r="UJD208" i="38"/>
  <c r="UJC208" i="38"/>
  <c r="UJB208" i="38"/>
  <c r="UJA208" i="38"/>
  <c r="UIZ208" i="38"/>
  <c r="UIY208" i="38"/>
  <c r="UIX208" i="38"/>
  <c r="UIW208" i="38"/>
  <c r="UIV208" i="38"/>
  <c r="UIU208" i="38"/>
  <c r="UIT208" i="38"/>
  <c r="UIS208" i="38"/>
  <c r="UIR208" i="38"/>
  <c r="UIQ208" i="38"/>
  <c r="UIP208" i="38"/>
  <c r="UIO208" i="38"/>
  <c r="UIN208" i="38"/>
  <c r="UIM208" i="38"/>
  <c r="UIL208" i="38"/>
  <c r="UIK208" i="38"/>
  <c r="UIJ208" i="38"/>
  <c r="UII208" i="38"/>
  <c r="UIH208" i="38"/>
  <c r="UIG208" i="38"/>
  <c r="UIF208" i="38"/>
  <c r="UIE208" i="38"/>
  <c r="UID208" i="38"/>
  <c r="UIC208" i="38"/>
  <c r="UIB208" i="38"/>
  <c r="UIA208" i="38"/>
  <c r="UHZ208" i="38"/>
  <c r="UHY208" i="38"/>
  <c r="UHX208" i="38"/>
  <c r="UHW208" i="38"/>
  <c r="UHV208" i="38"/>
  <c r="UHU208" i="38"/>
  <c r="UHT208" i="38"/>
  <c r="UHS208" i="38"/>
  <c r="UHR208" i="38"/>
  <c r="UHQ208" i="38"/>
  <c r="UHP208" i="38"/>
  <c r="UHO208" i="38"/>
  <c r="UHN208" i="38"/>
  <c r="UHM208" i="38"/>
  <c r="UHL208" i="38"/>
  <c r="UHK208" i="38"/>
  <c r="UHJ208" i="38"/>
  <c r="UHI208" i="38"/>
  <c r="UHH208" i="38"/>
  <c r="UHG208" i="38"/>
  <c r="UHF208" i="38"/>
  <c r="UHE208" i="38"/>
  <c r="UHD208" i="38"/>
  <c r="UHC208" i="38"/>
  <c r="UHB208" i="38"/>
  <c r="UHA208" i="38"/>
  <c r="UGZ208" i="38"/>
  <c r="UGY208" i="38"/>
  <c r="UGX208" i="38"/>
  <c r="UGW208" i="38"/>
  <c r="UGV208" i="38"/>
  <c r="UGU208" i="38"/>
  <c r="UGT208" i="38"/>
  <c r="UGS208" i="38"/>
  <c r="UGR208" i="38"/>
  <c r="UGQ208" i="38"/>
  <c r="UGP208" i="38"/>
  <c r="UGO208" i="38"/>
  <c r="UGN208" i="38"/>
  <c r="UGM208" i="38"/>
  <c r="UGL208" i="38"/>
  <c r="UGK208" i="38"/>
  <c r="UGJ208" i="38"/>
  <c r="UGI208" i="38"/>
  <c r="UGH208" i="38"/>
  <c r="UGG208" i="38"/>
  <c r="UGF208" i="38"/>
  <c r="UGE208" i="38"/>
  <c r="UGD208" i="38"/>
  <c r="UGC208" i="38"/>
  <c r="UGB208" i="38"/>
  <c r="UGA208" i="38"/>
  <c r="UFZ208" i="38"/>
  <c r="UFY208" i="38"/>
  <c r="UFX208" i="38"/>
  <c r="UFW208" i="38"/>
  <c r="UFV208" i="38"/>
  <c r="UFU208" i="38"/>
  <c r="UFT208" i="38"/>
  <c r="UFS208" i="38"/>
  <c r="UFR208" i="38"/>
  <c r="UFQ208" i="38"/>
  <c r="UFP208" i="38"/>
  <c r="UFO208" i="38"/>
  <c r="UFN208" i="38"/>
  <c r="UFM208" i="38"/>
  <c r="UFL208" i="38"/>
  <c r="UFK208" i="38"/>
  <c r="UFJ208" i="38"/>
  <c r="UFI208" i="38"/>
  <c r="UFH208" i="38"/>
  <c r="UFG208" i="38"/>
  <c r="UFF208" i="38"/>
  <c r="UFE208" i="38"/>
  <c r="UFD208" i="38"/>
  <c r="UFC208" i="38"/>
  <c r="UFB208" i="38"/>
  <c r="UFA208" i="38"/>
  <c r="UEZ208" i="38"/>
  <c r="UEY208" i="38"/>
  <c r="UEX208" i="38"/>
  <c r="UEW208" i="38"/>
  <c r="UEV208" i="38"/>
  <c r="UEU208" i="38"/>
  <c r="UET208" i="38"/>
  <c r="UES208" i="38"/>
  <c r="UER208" i="38"/>
  <c r="UEQ208" i="38"/>
  <c r="UEP208" i="38"/>
  <c r="UEO208" i="38"/>
  <c r="UEN208" i="38"/>
  <c r="UEM208" i="38"/>
  <c r="UEL208" i="38"/>
  <c r="UEK208" i="38"/>
  <c r="UEJ208" i="38"/>
  <c r="UEI208" i="38"/>
  <c r="UEH208" i="38"/>
  <c r="UEG208" i="38"/>
  <c r="UEF208" i="38"/>
  <c r="UEE208" i="38"/>
  <c r="UED208" i="38"/>
  <c r="UEC208" i="38"/>
  <c r="UEB208" i="38"/>
  <c r="UEA208" i="38"/>
  <c r="UDZ208" i="38"/>
  <c r="UDY208" i="38"/>
  <c r="UDX208" i="38"/>
  <c r="UDW208" i="38"/>
  <c r="UDV208" i="38"/>
  <c r="UDU208" i="38"/>
  <c r="UDT208" i="38"/>
  <c r="UDS208" i="38"/>
  <c r="UDR208" i="38"/>
  <c r="UDQ208" i="38"/>
  <c r="UDP208" i="38"/>
  <c r="UDO208" i="38"/>
  <c r="UDN208" i="38"/>
  <c r="UDM208" i="38"/>
  <c r="UDL208" i="38"/>
  <c r="UDK208" i="38"/>
  <c r="UDJ208" i="38"/>
  <c r="UDI208" i="38"/>
  <c r="UDH208" i="38"/>
  <c r="UDG208" i="38"/>
  <c r="UDF208" i="38"/>
  <c r="UDE208" i="38"/>
  <c r="UDD208" i="38"/>
  <c r="UDC208" i="38"/>
  <c r="UDB208" i="38"/>
  <c r="UDA208" i="38"/>
  <c r="UCZ208" i="38"/>
  <c r="UCY208" i="38"/>
  <c r="UCX208" i="38"/>
  <c r="UCW208" i="38"/>
  <c r="UCV208" i="38"/>
  <c r="UCU208" i="38"/>
  <c r="UCT208" i="38"/>
  <c r="UCS208" i="38"/>
  <c r="UCR208" i="38"/>
  <c r="UCQ208" i="38"/>
  <c r="UCP208" i="38"/>
  <c r="UCO208" i="38"/>
  <c r="UCN208" i="38"/>
  <c r="UCM208" i="38"/>
  <c r="UCL208" i="38"/>
  <c r="UCK208" i="38"/>
  <c r="UCJ208" i="38"/>
  <c r="UCI208" i="38"/>
  <c r="UCH208" i="38"/>
  <c r="UCG208" i="38"/>
  <c r="UCF208" i="38"/>
  <c r="UCE208" i="38"/>
  <c r="UCD208" i="38"/>
  <c r="UCC208" i="38"/>
  <c r="UCB208" i="38"/>
  <c r="UCA208" i="38"/>
  <c r="UBZ208" i="38"/>
  <c r="UBY208" i="38"/>
  <c r="UBX208" i="38"/>
  <c r="UBW208" i="38"/>
  <c r="UBV208" i="38"/>
  <c r="UBU208" i="38"/>
  <c r="UBT208" i="38"/>
  <c r="UBS208" i="38"/>
  <c r="UBR208" i="38"/>
  <c r="UBQ208" i="38"/>
  <c r="UBP208" i="38"/>
  <c r="UBO208" i="38"/>
  <c r="UBN208" i="38"/>
  <c r="UBM208" i="38"/>
  <c r="UBL208" i="38"/>
  <c r="UBK208" i="38"/>
  <c r="UBJ208" i="38"/>
  <c r="UBI208" i="38"/>
  <c r="UBH208" i="38"/>
  <c r="UBG208" i="38"/>
  <c r="UBF208" i="38"/>
  <c r="UBE208" i="38"/>
  <c r="UBD208" i="38"/>
  <c r="UBC208" i="38"/>
  <c r="UBB208" i="38"/>
  <c r="UBA208" i="38"/>
  <c r="UAZ208" i="38"/>
  <c r="UAY208" i="38"/>
  <c r="UAX208" i="38"/>
  <c r="UAW208" i="38"/>
  <c r="UAV208" i="38"/>
  <c r="UAU208" i="38"/>
  <c r="UAT208" i="38"/>
  <c r="UAS208" i="38"/>
  <c r="UAR208" i="38"/>
  <c r="UAQ208" i="38"/>
  <c r="UAP208" i="38"/>
  <c r="UAO208" i="38"/>
  <c r="UAN208" i="38"/>
  <c r="UAM208" i="38"/>
  <c r="UAL208" i="38"/>
  <c r="UAK208" i="38"/>
  <c r="UAJ208" i="38"/>
  <c r="UAI208" i="38"/>
  <c r="UAH208" i="38"/>
  <c r="UAG208" i="38"/>
  <c r="UAF208" i="38"/>
  <c r="UAE208" i="38"/>
  <c r="UAD208" i="38"/>
  <c r="UAC208" i="38"/>
  <c r="UAB208" i="38"/>
  <c r="UAA208" i="38"/>
  <c r="TZZ208" i="38"/>
  <c r="TZY208" i="38"/>
  <c r="TZX208" i="38"/>
  <c r="TZW208" i="38"/>
  <c r="TZV208" i="38"/>
  <c r="TZU208" i="38"/>
  <c r="TZT208" i="38"/>
  <c r="TZS208" i="38"/>
  <c r="TZR208" i="38"/>
  <c r="TZQ208" i="38"/>
  <c r="TZP208" i="38"/>
  <c r="TZO208" i="38"/>
  <c r="TZN208" i="38"/>
  <c r="TZM208" i="38"/>
  <c r="TZL208" i="38"/>
  <c r="TZK208" i="38"/>
  <c r="TZJ208" i="38"/>
  <c r="TZI208" i="38"/>
  <c r="TZH208" i="38"/>
  <c r="TZG208" i="38"/>
  <c r="TZF208" i="38"/>
  <c r="TZE208" i="38"/>
  <c r="TZD208" i="38"/>
  <c r="TZC208" i="38"/>
  <c r="TZB208" i="38"/>
  <c r="TZA208" i="38"/>
  <c r="TYZ208" i="38"/>
  <c r="TYY208" i="38"/>
  <c r="TYX208" i="38"/>
  <c r="TYW208" i="38"/>
  <c r="TYV208" i="38"/>
  <c r="TYU208" i="38"/>
  <c r="TYT208" i="38"/>
  <c r="TYS208" i="38"/>
  <c r="TYR208" i="38"/>
  <c r="TYQ208" i="38"/>
  <c r="TYP208" i="38"/>
  <c r="TYO208" i="38"/>
  <c r="TYN208" i="38"/>
  <c r="TYM208" i="38"/>
  <c r="TYL208" i="38"/>
  <c r="TYK208" i="38"/>
  <c r="TYJ208" i="38"/>
  <c r="TYI208" i="38"/>
  <c r="TYH208" i="38"/>
  <c r="TYG208" i="38"/>
  <c r="TYF208" i="38"/>
  <c r="TYE208" i="38"/>
  <c r="TYD208" i="38"/>
  <c r="TYC208" i="38"/>
  <c r="TYB208" i="38"/>
  <c r="TYA208" i="38"/>
  <c r="TXZ208" i="38"/>
  <c r="TXY208" i="38"/>
  <c r="TXX208" i="38"/>
  <c r="TXW208" i="38"/>
  <c r="TXV208" i="38"/>
  <c r="TXU208" i="38"/>
  <c r="TXT208" i="38"/>
  <c r="TXS208" i="38"/>
  <c r="TXR208" i="38"/>
  <c r="TXQ208" i="38"/>
  <c r="TXP208" i="38"/>
  <c r="TXO208" i="38"/>
  <c r="TXN208" i="38"/>
  <c r="TXM208" i="38"/>
  <c r="TXL208" i="38"/>
  <c r="TXK208" i="38"/>
  <c r="TXJ208" i="38"/>
  <c r="TXI208" i="38"/>
  <c r="TXH208" i="38"/>
  <c r="TXG208" i="38"/>
  <c r="TXF208" i="38"/>
  <c r="TXE208" i="38"/>
  <c r="TXD208" i="38"/>
  <c r="TXC208" i="38"/>
  <c r="TXB208" i="38"/>
  <c r="TXA208" i="38"/>
  <c r="TWZ208" i="38"/>
  <c r="TWY208" i="38"/>
  <c r="TWX208" i="38"/>
  <c r="TWW208" i="38"/>
  <c r="TWV208" i="38"/>
  <c r="TWU208" i="38"/>
  <c r="TWT208" i="38"/>
  <c r="TWS208" i="38"/>
  <c r="TWR208" i="38"/>
  <c r="TWQ208" i="38"/>
  <c r="TWP208" i="38"/>
  <c r="TWO208" i="38"/>
  <c r="TWN208" i="38"/>
  <c r="TWM208" i="38"/>
  <c r="TWL208" i="38"/>
  <c r="TWK208" i="38"/>
  <c r="TWJ208" i="38"/>
  <c r="TWI208" i="38"/>
  <c r="TWH208" i="38"/>
  <c r="TWG208" i="38"/>
  <c r="TWF208" i="38"/>
  <c r="TWE208" i="38"/>
  <c r="TWD208" i="38"/>
  <c r="TWC208" i="38"/>
  <c r="TWB208" i="38"/>
  <c r="TWA208" i="38"/>
  <c r="TVZ208" i="38"/>
  <c r="TVY208" i="38"/>
  <c r="TVX208" i="38"/>
  <c r="TVW208" i="38"/>
  <c r="TVV208" i="38"/>
  <c r="TVU208" i="38"/>
  <c r="TVT208" i="38"/>
  <c r="TVS208" i="38"/>
  <c r="TVR208" i="38"/>
  <c r="TVQ208" i="38"/>
  <c r="TVP208" i="38"/>
  <c r="TVO208" i="38"/>
  <c r="TVN208" i="38"/>
  <c r="TVM208" i="38"/>
  <c r="TVL208" i="38"/>
  <c r="TVK208" i="38"/>
  <c r="TVJ208" i="38"/>
  <c r="TVI208" i="38"/>
  <c r="TVH208" i="38"/>
  <c r="TVG208" i="38"/>
  <c r="TVF208" i="38"/>
  <c r="TVE208" i="38"/>
  <c r="TVD208" i="38"/>
  <c r="TVC208" i="38"/>
  <c r="TVB208" i="38"/>
  <c r="TVA208" i="38"/>
  <c r="TUZ208" i="38"/>
  <c r="TUY208" i="38"/>
  <c r="TUX208" i="38"/>
  <c r="TUW208" i="38"/>
  <c r="TUV208" i="38"/>
  <c r="TUU208" i="38"/>
  <c r="TUT208" i="38"/>
  <c r="TUS208" i="38"/>
  <c r="TUR208" i="38"/>
  <c r="TUQ208" i="38"/>
  <c r="TUP208" i="38"/>
  <c r="TUO208" i="38"/>
  <c r="TUN208" i="38"/>
  <c r="TUM208" i="38"/>
  <c r="TUL208" i="38"/>
  <c r="TUK208" i="38"/>
  <c r="TUJ208" i="38"/>
  <c r="TUI208" i="38"/>
  <c r="TUH208" i="38"/>
  <c r="TUG208" i="38"/>
  <c r="TUF208" i="38"/>
  <c r="TUE208" i="38"/>
  <c r="TUD208" i="38"/>
  <c r="TUC208" i="38"/>
  <c r="TUB208" i="38"/>
  <c r="TUA208" i="38"/>
  <c r="TTZ208" i="38"/>
  <c r="TTY208" i="38"/>
  <c r="TTX208" i="38"/>
  <c r="TTW208" i="38"/>
  <c r="TTV208" i="38"/>
  <c r="TTU208" i="38"/>
  <c r="TTT208" i="38"/>
  <c r="TTS208" i="38"/>
  <c r="TTR208" i="38"/>
  <c r="TTQ208" i="38"/>
  <c r="TTP208" i="38"/>
  <c r="TTO208" i="38"/>
  <c r="TTN208" i="38"/>
  <c r="TTM208" i="38"/>
  <c r="TTL208" i="38"/>
  <c r="TTK208" i="38"/>
  <c r="TTJ208" i="38"/>
  <c r="TTI208" i="38"/>
  <c r="TTH208" i="38"/>
  <c r="TTG208" i="38"/>
  <c r="TTF208" i="38"/>
  <c r="TTE208" i="38"/>
  <c r="TTD208" i="38"/>
  <c r="TTC208" i="38"/>
  <c r="TTB208" i="38"/>
  <c r="TTA208" i="38"/>
  <c r="TSZ208" i="38"/>
  <c r="TSY208" i="38"/>
  <c r="TSX208" i="38"/>
  <c r="TSW208" i="38"/>
  <c r="TSV208" i="38"/>
  <c r="TSU208" i="38"/>
  <c r="TST208" i="38"/>
  <c r="TSS208" i="38"/>
  <c r="TSR208" i="38"/>
  <c r="TSQ208" i="38"/>
  <c r="TSP208" i="38"/>
  <c r="TSO208" i="38"/>
  <c r="TSN208" i="38"/>
  <c r="TSM208" i="38"/>
  <c r="TSL208" i="38"/>
  <c r="TSK208" i="38"/>
  <c r="TSJ208" i="38"/>
  <c r="TSI208" i="38"/>
  <c r="TSH208" i="38"/>
  <c r="TSG208" i="38"/>
  <c r="TSF208" i="38"/>
  <c r="TSE208" i="38"/>
  <c r="TSD208" i="38"/>
  <c r="TSC208" i="38"/>
  <c r="TSB208" i="38"/>
  <c r="TSA208" i="38"/>
  <c r="TRZ208" i="38"/>
  <c r="TRY208" i="38"/>
  <c r="TRX208" i="38"/>
  <c r="TRW208" i="38"/>
  <c r="TRV208" i="38"/>
  <c r="TRU208" i="38"/>
  <c r="TRT208" i="38"/>
  <c r="TRS208" i="38"/>
  <c r="TRR208" i="38"/>
  <c r="TRQ208" i="38"/>
  <c r="TRP208" i="38"/>
  <c r="TRO208" i="38"/>
  <c r="TRN208" i="38"/>
  <c r="TRM208" i="38"/>
  <c r="TRL208" i="38"/>
  <c r="TRK208" i="38"/>
  <c r="TRJ208" i="38"/>
  <c r="TRI208" i="38"/>
  <c r="TRH208" i="38"/>
  <c r="TRG208" i="38"/>
  <c r="TRF208" i="38"/>
  <c r="TRE208" i="38"/>
  <c r="TRD208" i="38"/>
  <c r="TRC208" i="38"/>
  <c r="TRB208" i="38"/>
  <c r="TRA208" i="38"/>
  <c r="TQZ208" i="38"/>
  <c r="TQY208" i="38"/>
  <c r="TQX208" i="38"/>
  <c r="TQW208" i="38"/>
  <c r="TQV208" i="38"/>
  <c r="TQU208" i="38"/>
  <c r="TQT208" i="38"/>
  <c r="TQS208" i="38"/>
  <c r="TQR208" i="38"/>
  <c r="TQQ208" i="38"/>
  <c r="TQP208" i="38"/>
  <c r="TQO208" i="38"/>
  <c r="TQN208" i="38"/>
  <c r="TQM208" i="38"/>
  <c r="TQL208" i="38"/>
  <c r="TQK208" i="38"/>
  <c r="TQJ208" i="38"/>
  <c r="TQI208" i="38"/>
  <c r="TQH208" i="38"/>
  <c r="TQG208" i="38"/>
  <c r="TQF208" i="38"/>
  <c r="TQE208" i="38"/>
  <c r="TQD208" i="38"/>
  <c r="TQC208" i="38"/>
  <c r="TQB208" i="38"/>
  <c r="TQA208" i="38"/>
  <c r="TPZ208" i="38"/>
  <c r="TPY208" i="38"/>
  <c r="TPX208" i="38"/>
  <c r="TPW208" i="38"/>
  <c r="TPV208" i="38"/>
  <c r="TPU208" i="38"/>
  <c r="TPT208" i="38"/>
  <c r="TPS208" i="38"/>
  <c r="TPR208" i="38"/>
  <c r="TPQ208" i="38"/>
  <c r="TPP208" i="38"/>
  <c r="TPO208" i="38"/>
  <c r="TPN208" i="38"/>
  <c r="TPM208" i="38"/>
  <c r="TPL208" i="38"/>
  <c r="TPK208" i="38"/>
  <c r="TPJ208" i="38"/>
  <c r="TPI208" i="38"/>
  <c r="TPH208" i="38"/>
  <c r="TPG208" i="38"/>
  <c r="TPF208" i="38"/>
  <c r="TPE208" i="38"/>
  <c r="TPD208" i="38"/>
  <c r="TPC208" i="38"/>
  <c r="TPB208" i="38"/>
  <c r="TPA208" i="38"/>
  <c r="TOZ208" i="38"/>
  <c r="TOY208" i="38"/>
  <c r="TOX208" i="38"/>
  <c r="TOW208" i="38"/>
  <c r="TOV208" i="38"/>
  <c r="TOU208" i="38"/>
  <c r="TOT208" i="38"/>
  <c r="TOS208" i="38"/>
  <c r="TOR208" i="38"/>
  <c r="TOQ208" i="38"/>
  <c r="TOP208" i="38"/>
  <c r="TOO208" i="38"/>
  <c r="TON208" i="38"/>
  <c r="TOM208" i="38"/>
  <c r="TOL208" i="38"/>
  <c r="TOK208" i="38"/>
  <c r="TOJ208" i="38"/>
  <c r="TOI208" i="38"/>
  <c r="TOH208" i="38"/>
  <c r="TOG208" i="38"/>
  <c r="TOF208" i="38"/>
  <c r="TOE208" i="38"/>
  <c r="TOD208" i="38"/>
  <c r="TOC208" i="38"/>
  <c r="TOB208" i="38"/>
  <c r="TOA208" i="38"/>
  <c r="TNZ208" i="38"/>
  <c r="TNY208" i="38"/>
  <c r="TNX208" i="38"/>
  <c r="TNW208" i="38"/>
  <c r="TNV208" i="38"/>
  <c r="TNU208" i="38"/>
  <c r="TNT208" i="38"/>
  <c r="TNS208" i="38"/>
  <c r="TNR208" i="38"/>
  <c r="TNQ208" i="38"/>
  <c r="TNP208" i="38"/>
  <c r="TNO208" i="38"/>
  <c r="TNN208" i="38"/>
  <c r="TNM208" i="38"/>
  <c r="TNL208" i="38"/>
  <c r="TNK208" i="38"/>
  <c r="TNJ208" i="38"/>
  <c r="TNI208" i="38"/>
  <c r="TNH208" i="38"/>
  <c r="TNG208" i="38"/>
  <c r="TNF208" i="38"/>
  <c r="TNE208" i="38"/>
  <c r="TND208" i="38"/>
  <c r="TNC208" i="38"/>
  <c r="TNB208" i="38"/>
  <c r="TNA208" i="38"/>
  <c r="TMZ208" i="38"/>
  <c r="TMY208" i="38"/>
  <c r="TMX208" i="38"/>
  <c r="TMW208" i="38"/>
  <c r="TMV208" i="38"/>
  <c r="TMU208" i="38"/>
  <c r="TMT208" i="38"/>
  <c r="TMS208" i="38"/>
  <c r="TMR208" i="38"/>
  <c r="TMQ208" i="38"/>
  <c r="TMP208" i="38"/>
  <c r="TMO208" i="38"/>
  <c r="TMN208" i="38"/>
  <c r="TMM208" i="38"/>
  <c r="TML208" i="38"/>
  <c r="TMK208" i="38"/>
  <c r="TMJ208" i="38"/>
  <c r="TMI208" i="38"/>
  <c r="TMH208" i="38"/>
  <c r="TMG208" i="38"/>
  <c r="TMF208" i="38"/>
  <c r="TME208" i="38"/>
  <c r="TMD208" i="38"/>
  <c r="TMC208" i="38"/>
  <c r="TMB208" i="38"/>
  <c r="TMA208" i="38"/>
  <c r="TLZ208" i="38"/>
  <c r="TLY208" i="38"/>
  <c r="TLX208" i="38"/>
  <c r="TLW208" i="38"/>
  <c r="TLV208" i="38"/>
  <c r="TLU208" i="38"/>
  <c r="TLT208" i="38"/>
  <c r="TLS208" i="38"/>
  <c r="TLR208" i="38"/>
  <c r="TLQ208" i="38"/>
  <c r="TLP208" i="38"/>
  <c r="TLO208" i="38"/>
  <c r="TLN208" i="38"/>
  <c r="TLM208" i="38"/>
  <c r="TLL208" i="38"/>
  <c r="TLK208" i="38"/>
  <c r="TLJ208" i="38"/>
  <c r="TLI208" i="38"/>
  <c r="TLH208" i="38"/>
  <c r="TLG208" i="38"/>
  <c r="TLF208" i="38"/>
  <c r="TLE208" i="38"/>
  <c r="TLD208" i="38"/>
  <c r="TLC208" i="38"/>
  <c r="TLB208" i="38"/>
  <c r="TLA208" i="38"/>
  <c r="TKZ208" i="38"/>
  <c r="TKY208" i="38"/>
  <c r="TKX208" i="38"/>
  <c r="TKW208" i="38"/>
  <c r="TKV208" i="38"/>
  <c r="TKU208" i="38"/>
  <c r="TKT208" i="38"/>
  <c r="TKS208" i="38"/>
  <c r="TKR208" i="38"/>
  <c r="TKQ208" i="38"/>
  <c r="TKP208" i="38"/>
  <c r="TKO208" i="38"/>
  <c r="TKN208" i="38"/>
  <c r="TKM208" i="38"/>
  <c r="TKL208" i="38"/>
  <c r="TKK208" i="38"/>
  <c r="TKJ208" i="38"/>
  <c r="TKI208" i="38"/>
  <c r="TKH208" i="38"/>
  <c r="TKG208" i="38"/>
  <c r="TKF208" i="38"/>
  <c r="TKE208" i="38"/>
  <c r="TKD208" i="38"/>
  <c r="TKC208" i="38"/>
  <c r="TKB208" i="38"/>
  <c r="TKA208" i="38"/>
  <c r="TJZ208" i="38"/>
  <c r="TJY208" i="38"/>
  <c r="TJX208" i="38"/>
  <c r="TJW208" i="38"/>
  <c r="TJV208" i="38"/>
  <c r="TJU208" i="38"/>
  <c r="TJT208" i="38"/>
  <c r="TJS208" i="38"/>
  <c r="TJR208" i="38"/>
  <c r="TJQ208" i="38"/>
  <c r="TJP208" i="38"/>
  <c r="TJO208" i="38"/>
  <c r="TJN208" i="38"/>
  <c r="TJM208" i="38"/>
  <c r="TJL208" i="38"/>
  <c r="TJK208" i="38"/>
  <c r="TJJ208" i="38"/>
  <c r="TJI208" i="38"/>
  <c r="TJH208" i="38"/>
  <c r="TJG208" i="38"/>
  <c r="TJF208" i="38"/>
  <c r="TJE208" i="38"/>
  <c r="TJD208" i="38"/>
  <c r="TJC208" i="38"/>
  <c r="TJB208" i="38"/>
  <c r="TJA208" i="38"/>
  <c r="TIZ208" i="38"/>
  <c r="TIY208" i="38"/>
  <c r="TIX208" i="38"/>
  <c r="TIW208" i="38"/>
  <c r="TIV208" i="38"/>
  <c r="TIU208" i="38"/>
  <c r="TIT208" i="38"/>
  <c r="TIS208" i="38"/>
  <c r="TIR208" i="38"/>
  <c r="TIQ208" i="38"/>
  <c r="TIP208" i="38"/>
  <c r="TIO208" i="38"/>
  <c r="TIN208" i="38"/>
  <c r="TIM208" i="38"/>
  <c r="TIL208" i="38"/>
  <c r="TIK208" i="38"/>
  <c r="TIJ208" i="38"/>
  <c r="TII208" i="38"/>
  <c r="TIH208" i="38"/>
  <c r="TIG208" i="38"/>
  <c r="TIF208" i="38"/>
  <c r="TIE208" i="38"/>
  <c r="TID208" i="38"/>
  <c r="TIC208" i="38"/>
  <c r="TIB208" i="38"/>
  <c r="TIA208" i="38"/>
  <c r="THZ208" i="38"/>
  <c r="THY208" i="38"/>
  <c r="THX208" i="38"/>
  <c r="THW208" i="38"/>
  <c r="THV208" i="38"/>
  <c r="THU208" i="38"/>
  <c r="THT208" i="38"/>
  <c r="THS208" i="38"/>
  <c r="THR208" i="38"/>
  <c r="THQ208" i="38"/>
  <c r="THP208" i="38"/>
  <c r="THO208" i="38"/>
  <c r="THN208" i="38"/>
  <c r="THM208" i="38"/>
  <c r="THL208" i="38"/>
  <c r="THK208" i="38"/>
  <c r="THJ208" i="38"/>
  <c r="THI208" i="38"/>
  <c r="THH208" i="38"/>
  <c r="THG208" i="38"/>
  <c r="THF208" i="38"/>
  <c r="THE208" i="38"/>
  <c r="THD208" i="38"/>
  <c r="THC208" i="38"/>
  <c r="THB208" i="38"/>
  <c r="THA208" i="38"/>
  <c r="TGZ208" i="38"/>
  <c r="TGY208" i="38"/>
  <c r="TGX208" i="38"/>
  <c r="TGW208" i="38"/>
  <c r="TGV208" i="38"/>
  <c r="TGU208" i="38"/>
  <c r="TGT208" i="38"/>
  <c r="TGS208" i="38"/>
  <c r="TGR208" i="38"/>
  <c r="TGQ208" i="38"/>
  <c r="TGP208" i="38"/>
  <c r="TGO208" i="38"/>
  <c r="TGN208" i="38"/>
  <c r="TGM208" i="38"/>
  <c r="TGL208" i="38"/>
  <c r="TGK208" i="38"/>
  <c r="TGJ208" i="38"/>
  <c r="TGI208" i="38"/>
  <c r="TGH208" i="38"/>
  <c r="TGG208" i="38"/>
  <c r="TGF208" i="38"/>
  <c r="TGE208" i="38"/>
  <c r="TGD208" i="38"/>
  <c r="TGC208" i="38"/>
  <c r="TGB208" i="38"/>
  <c r="TGA208" i="38"/>
  <c r="TFZ208" i="38"/>
  <c r="TFY208" i="38"/>
  <c r="TFX208" i="38"/>
  <c r="TFW208" i="38"/>
  <c r="TFV208" i="38"/>
  <c r="TFU208" i="38"/>
  <c r="TFT208" i="38"/>
  <c r="TFS208" i="38"/>
  <c r="TFR208" i="38"/>
  <c r="TFQ208" i="38"/>
  <c r="TFP208" i="38"/>
  <c r="TFO208" i="38"/>
  <c r="TFN208" i="38"/>
  <c r="TFM208" i="38"/>
  <c r="TFL208" i="38"/>
  <c r="TFK208" i="38"/>
  <c r="TFJ208" i="38"/>
  <c r="TFI208" i="38"/>
  <c r="TFH208" i="38"/>
  <c r="TFG208" i="38"/>
  <c r="TFF208" i="38"/>
  <c r="TFE208" i="38"/>
  <c r="TFD208" i="38"/>
  <c r="TFC208" i="38"/>
  <c r="TFB208" i="38"/>
  <c r="TFA208" i="38"/>
  <c r="TEZ208" i="38"/>
  <c r="TEY208" i="38"/>
  <c r="TEX208" i="38"/>
  <c r="TEW208" i="38"/>
  <c r="TEV208" i="38"/>
  <c r="TEU208" i="38"/>
  <c r="TET208" i="38"/>
  <c r="TES208" i="38"/>
  <c r="TER208" i="38"/>
  <c r="TEQ208" i="38"/>
  <c r="TEP208" i="38"/>
  <c r="TEO208" i="38"/>
  <c r="TEN208" i="38"/>
  <c r="TEM208" i="38"/>
  <c r="TEL208" i="38"/>
  <c r="TEK208" i="38"/>
  <c r="TEJ208" i="38"/>
  <c r="TEI208" i="38"/>
  <c r="TEH208" i="38"/>
  <c r="TEG208" i="38"/>
  <c r="TEF208" i="38"/>
  <c r="TEE208" i="38"/>
  <c r="TED208" i="38"/>
  <c r="TEC208" i="38"/>
  <c r="TEB208" i="38"/>
  <c r="TEA208" i="38"/>
  <c r="TDZ208" i="38"/>
  <c r="TDY208" i="38"/>
  <c r="TDX208" i="38"/>
  <c r="TDW208" i="38"/>
  <c r="TDV208" i="38"/>
  <c r="TDU208" i="38"/>
  <c r="TDT208" i="38"/>
  <c r="TDS208" i="38"/>
  <c r="TDR208" i="38"/>
  <c r="TDQ208" i="38"/>
  <c r="TDP208" i="38"/>
  <c r="TDO208" i="38"/>
  <c r="TDN208" i="38"/>
  <c r="TDM208" i="38"/>
  <c r="TDL208" i="38"/>
  <c r="TDK208" i="38"/>
  <c r="TDJ208" i="38"/>
  <c r="TDI208" i="38"/>
  <c r="TDH208" i="38"/>
  <c r="TDG208" i="38"/>
  <c r="TDF208" i="38"/>
  <c r="TDE208" i="38"/>
  <c r="TDD208" i="38"/>
  <c r="TDC208" i="38"/>
  <c r="TDB208" i="38"/>
  <c r="TDA208" i="38"/>
  <c r="TCZ208" i="38"/>
  <c r="TCY208" i="38"/>
  <c r="TCX208" i="38"/>
  <c r="TCW208" i="38"/>
  <c r="TCV208" i="38"/>
  <c r="TCU208" i="38"/>
  <c r="TCT208" i="38"/>
  <c r="TCS208" i="38"/>
  <c r="TCR208" i="38"/>
  <c r="TCQ208" i="38"/>
  <c r="TCP208" i="38"/>
  <c r="TCO208" i="38"/>
  <c r="TCN208" i="38"/>
  <c r="TCM208" i="38"/>
  <c r="TCL208" i="38"/>
  <c r="TCK208" i="38"/>
  <c r="TCJ208" i="38"/>
  <c r="TCI208" i="38"/>
  <c r="TCH208" i="38"/>
  <c r="TCG208" i="38"/>
  <c r="TCF208" i="38"/>
  <c r="TCE208" i="38"/>
  <c r="TCD208" i="38"/>
  <c r="TCC208" i="38"/>
  <c r="TCB208" i="38"/>
  <c r="TCA208" i="38"/>
  <c r="TBZ208" i="38"/>
  <c r="TBY208" i="38"/>
  <c r="TBX208" i="38"/>
  <c r="TBW208" i="38"/>
  <c r="TBV208" i="38"/>
  <c r="TBU208" i="38"/>
  <c r="TBT208" i="38"/>
  <c r="TBS208" i="38"/>
  <c r="TBR208" i="38"/>
  <c r="TBQ208" i="38"/>
  <c r="TBP208" i="38"/>
  <c r="TBO208" i="38"/>
  <c r="TBN208" i="38"/>
  <c r="TBM208" i="38"/>
  <c r="TBL208" i="38"/>
  <c r="TBK208" i="38"/>
  <c r="TBJ208" i="38"/>
  <c r="TBI208" i="38"/>
  <c r="TBH208" i="38"/>
  <c r="TBG208" i="38"/>
  <c r="TBF208" i="38"/>
  <c r="TBE208" i="38"/>
  <c r="TBD208" i="38"/>
  <c r="TBC208" i="38"/>
  <c r="TBB208" i="38"/>
  <c r="TBA208" i="38"/>
  <c r="TAZ208" i="38"/>
  <c r="TAY208" i="38"/>
  <c r="TAX208" i="38"/>
  <c r="TAW208" i="38"/>
  <c r="TAV208" i="38"/>
  <c r="TAU208" i="38"/>
  <c r="TAT208" i="38"/>
  <c r="TAS208" i="38"/>
  <c r="TAR208" i="38"/>
  <c r="TAQ208" i="38"/>
  <c r="TAP208" i="38"/>
  <c r="TAO208" i="38"/>
  <c r="TAN208" i="38"/>
  <c r="TAM208" i="38"/>
  <c r="TAL208" i="38"/>
  <c r="TAK208" i="38"/>
  <c r="TAJ208" i="38"/>
  <c r="TAI208" i="38"/>
  <c r="TAH208" i="38"/>
  <c r="TAG208" i="38"/>
  <c r="TAF208" i="38"/>
  <c r="TAE208" i="38"/>
  <c r="TAD208" i="38"/>
  <c r="TAC208" i="38"/>
  <c r="TAB208" i="38"/>
  <c r="TAA208" i="38"/>
  <c r="SZZ208" i="38"/>
  <c r="SZY208" i="38"/>
  <c r="SZX208" i="38"/>
  <c r="SZW208" i="38"/>
  <c r="SZV208" i="38"/>
  <c r="SZU208" i="38"/>
  <c r="SZT208" i="38"/>
  <c r="SZS208" i="38"/>
  <c r="SZR208" i="38"/>
  <c r="SZQ208" i="38"/>
  <c r="SZP208" i="38"/>
  <c r="SZO208" i="38"/>
  <c r="SZN208" i="38"/>
  <c r="SZM208" i="38"/>
  <c r="SZL208" i="38"/>
  <c r="SZK208" i="38"/>
  <c r="SZJ208" i="38"/>
  <c r="SZI208" i="38"/>
  <c r="SZH208" i="38"/>
  <c r="SZG208" i="38"/>
  <c r="SZF208" i="38"/>
  <c r="SZE208" i="38"/>
  <c r="SZD208" i="38"/>
  <c r="SZC208" i="38"/>
  <c r="SZB208" i="38"/>
  <c r="SZA208" i="38"/>
  <c r="SYZ208" i="38"/>
  <c r="SYY208" i="38"/>
  <c r="SYX208" i="38"/>
  <c r="SYW208" i="38"/>
  <c r="SYV208" i="38"/>
  <c r="SYU208" i="38"/>
  <c r="SYT208" i="38"/>
  <c r="SYS208" i="38"/>
  <c r="SYR208" i="38"/>
  <c r="SYQ208" i="38"/>
  <c r="SYP208" i="38"/>
  <c r="SYO208" i="38"/>
  <c r="SYN208" i="38"/>
  <c r="SYM208" i="38"/>
  <c r="SYL208" i="38"/>
  <c r="SYK208" i="38"/>
  <c r="SYJ208" i="38"/>
  <c r="SYI208" i="38"/>
  <c r="SYH208" i="38"/>
  <c r="SYG208" i="38"/>
  <c r="SYF208" i="38"/>
  <c r="SYE208" i="38"/>
  <c r="SYD208" i="38"/>
  <c r="SYC208" i="38"/>
  <c r="SYB208" i="38"/>
  <c r="SYA208" i="38"/>
  <c r="SXZ208" i="38"/>
  <c r="SXY208" i="38"/>
  <c r="SXX208" i="38"/>
  <c r="SXW208" i="38"/>
  <c r="SXV208" i="38"/>
  <c r="SXU208" i="38"/>
  <c r="SXT208" i="38"/>
  <c r="SXS208" i="38"/>
  <c r="SXR208" i="38"/>
  <c r="SXQ208" i="38"/>
  <c r="SXP208" i="38"/>
  <c r="SXO208" i="38"/>
  <c r="SXN208" i="38"/>
  <c r="SXM208" i="38"/>
  <c r="SXL208" i="38"/>
  <c r="SXK208" i="38"/>
  <c r="SXJ208" i="38"/>
  <c r="SXI208" i="38"/>
  <c r="SXH208" i="38"/>
  <c r="SXG208" i="38"/>
  <c r="SXF208" i="38"/>
  <c r="SXE208" i="38"/>
  <c r="SXD208" i="38"/>
  <c r="SXC208" i="38"/>
  <c r="SXB208" i="38"/>
  <c r="SXA208" i="38"/>
  <c r="SWZ208" i="38"/>
  <c r="SWY208" i="38"/>
  <c r="SWX208" i="38"/>
  <c r="SWW208" i="38"/>
  <c r="SWV208" i="38"/>
  <c r="SWU208" i="38"/>
  <c r="SWT208" i="38"/>
  <c r="SWS208" i="38"/>
  <c r="SWR208" i="38"/>
  <c r="SWQ208" i="38"/>
  <c r="SWP208" i="38"/>
  <c r="SWO208" i="38"/>
  <c r="SWN208" i="38"/>
  <c r="SWM208" i="38"/>
  <c r="SWL208" i="38"/>
  <c r="SWK208" i="38"/>
  <c r="SWJ208" i="38"/>
  <c r="SWI208" i="38"/>
  <c r="SWH208" i="38"/>
  <c r="SWG208" i="38"/>
  <c r="SWF208" i="38"/>
  <c r="SWE208" i="38"/>
  <c r="SWD208" i="38"/>
  <c r="SWC208" i="38"/>
  <c r="SWB208" i="38"/>
  <c r="SWA208" i="38"/>
  <c r="SVZ208" i="38"/>
  <c r="SVY208" i="38"/>
  <c r="SVX208" i="38"/>
  <c r="SVW208" i="38"/>
  <c r="SVV208" i="38"/>
  <c r="SVU208" i="38"/>
  <c r="SVT208" i="38"/>
  <c r="SVS208" i="38"/>
  <c r="SVR208" i="38"/>
  <c r="SVQ208" i="38"/>
  <c r="SVP208" i="38"/>
  <c r="SVO208" i="38"/>
  <c r="SVN208" i="38"/>
  <c r="SVM208" i="38"/>
  <c r="SVL208" i="38"/>
  <c r="SVK208" i="38"/>
  <c r="SVJ208" i="38"/>
  <c r="SVI208" i="38"/>
  <c r="SVH208" i="38"/>
  <c r="SVG208" i="38"/>
  <c r="SVF208" i="38"/>
  <c r="SVE208" i="38"/>
  <c r="SVD208" i="38"/>
  <c r="SVC208" i="38"/>
  <c r="SVB208" i="38"/>
  <c r="SVA208" i="38"/>
  <c r="SUZ208" i="38"/>
  <c r="SUY208" i="38"/>
  <c r="SUX208" i="38"/>
  <c r="SUW208" i="38"/>
  <c r="SUV208" i="38"/>
  <c r="SUU208" i="38"/>
  <c r="SUT208" i="38"/>
  <c r="SUS208" i="38"/>
  <c r="SUR208" i="38"/>
  <c r="SUQ208" i="38"/>
  <c r="SUP208" i="38"/>
  <c r="SUO208" i="38"/>
  <c r="SUN208" i="38"/>
  <c r="SUM208" i="38"/>
  <c r="SUL208" i="38"/>
  <c r="SUK208" i="38"/>
  <c r="SUJ208" i="38"/>
  <c r="SUI208" i="38"/>
  <c r="SUH208" i="38"/>
  <c r="SUG208" i="38"/>
  <c r="SUF208" i="38"/>
  <c r="SUE208" i="38"/>
  <c r="SUD208" i="38"/>
  <c r="SUC208" i="38"/>
  <c r="SUB208" i="38"/>
  <c r="SUA208" i="38"/>
  <c r="STZ208" i="38"/>
  <c r="STY208" i="38"/>
  <c r="STX208" i="38"/>
  <c r="STW208" i="38"/>
  <c r="STV208" i="38"/>
  <c r="STU208" i="38"/>
  <c r="STT208" i="38"/>
  <c r="STS208" i="38"/>
  <c r="STR208" i="38"/>
  <c r="STQ208" i="38"/>
  <c r="STP208" i="38"/>
  <c r="STO208" i="38"/>
  <c r="STN208" i="38"/>
  <c r="STM208" i="38"/>
  <c r="STL208" i="38"/>
  <c r="STK208" i="38"/>
  <c r="STJ208" i="38"/>
  <c r="STI208" i="38"/>
  <c r="STH208" i="38"/>
  <c r="STG208" i="38"/>
  <c r="STF208" i="38"/>
  <c r="STE208" i="38"/>
  <c r="STD208" i="38"/>
  <c r="STC208" i="38"/>
  <c r="STB208" i="38"/>
  <c r="STA208" i="38"/>
  <c r="SSZ208" i="38"/>
  <c r="SSY208" i="38"/>
  <c r="SSX208" i="38"/>
  <c r="SSW208" i="38"/>
  <c r="SSV208" i="38"/>
  <c r="SSU208" i="38"/>
  <c r="SST208" i="38"/>
  <c r="SSS208" i="38"/>
  <c r="SSR208" i="38"/>
  <c r="SSQ208" i="38"/>
  <c r="SSP208" i="38"/>
  <c r="SSO208" i="38"/>
  <c r="SSN208" i="38"/>
  <c r="SSM208" i="38"/>
  <c r="SSL208" i="38"/>
  <c r="SSK208" i="38"/>
  <c r="SSJ208" i="38"/>
  <c r="SSI208" i="38"/>
  <c r="SSH208" i="38"/>
  <c r="SSG208" i="38"/>
  <c r="SSF208" i="38"/>
  <c r="SSE208" i="38"/>
  <c r="SSD208" i="38"/>
  <c r="SSC208" i="38"/>
  <c r="SSB208" i="38"/>
  <c r="SSA208" i="38"/>
  <c r="SRZ208" i="38"/>
  <c r="SRY208" i="38"/>
  <c r="SRX208" i="38"/>
  <c r="SRW208" i="38"/>
  <c r="SRV208" i="38"/>
  <c r="SRU208" i="38"/>
  <c r="SRT208" i="38"/>
  <c r="SRS208" i="38"/>
  <c r="SRR208" i="38"/>
  <c r="SRQ208" i="38"/>
  <c r="SRP208" i="38"/>
  <c r="SRO208" i="38"/>
  <c r="SRN208" i="38"/>
  <c r="SRM208" i="38"/>
  <c r="SRL208" i="38"/>
  <c r="SRK208" i="38"/>
  <c r="SRJ208" i="38"/>
  <c r="SRI208" i="38"/>
  <c r="SRH208" i="38"/>
  <c r="SRG208" i="38"/>
  <c r="SRF208" i="38"/>
  <c r="SRE208" i="38"/>
  <c r="SRD208" i="38"/>
  <c r="SRC208" i="38"/>
  <c r="SRB208" i="38"/>
  <c r="SRA208" i="38"/>
  <c r="SQZ208" i="38"/>
  <c r="SQY208" i="38"/>
  <c r="SQX208" i="38"/>
  <c r="SQW208" i="38"/>
  <c r="SQV208" i="38"/>
  <c r="SQU208" i="38"/>
  <c r="SQT208" i="38"/>
  <c r="SQS208" i="38"/>
  <c r="SQR208" i="38"/>
  <c r="SQQ208" i="38"/>
  <c r="SQP208" i="38"/>
  <c r="SQO208" i="38"/>
  <c r="SQN208" i="38"/>
  <c r="SQM208" i="38"/>
  <c r="SQL208" i="38"/>
  <c r="SQK208" i="38"/>
  <c r="SQJ208" i="38"/>
  <c r="SQI208" i="38"/>
  <c r="SQH208" i="38"/>
  <c r="SQG208" i="38"/>
  <c r="SQF208" i="38"/>
  <c r="SQE208" i="38"/>
  <c r="SQD208" i="38"/>
  <c r="SQC208" i="38"/>
  <c r="SQB208" i="38"/>
  <c r="SQA208" i="38"/>
  <c r="SPZ208" i="38"/>
  <c r="SPY208" i="38"/>
  <c r="SPX208" i="38"/>
  <c r="SPW208" i="38"/>
  <c r="SPV208" i="38"/>
  <c r="SPU208" i="38"/>
  <c r="SPT208" i="38"/>
  <c r="SPS208" i="38"/>
  <c r="SPR208" i="38"/>
  <c r="SPQ208" i="38"/>
  <c r="SPP208" i="38"/>
  <c r="SPO208" i="38"/>
  <c r="SPN208" i="38"/>
  <c r="SPM208" i="38"/>
  <c r="SPL208" i="38"/>
  <c r="SPK208" i="38"/>
  <c r="SPJ208" i="38"/>
  <c r="SPI208" i="38"/>
  <c r="SPH208" i="38"/>
  <c r="SPG208" i="38"/>
  <c r="SPF208" i="38"/>
  <c r="SPE208" i="38"/>
  <c r="SPD208" i="38"/>
  <c r="SPC208" i="38"/>
  <c r="SPB208" i="38"/>
  <c r="SPA208" i="38"/>
  <c r="SOZ208" i="38"/>
  <c r="SOY208" i="38"/>
  <c r="SOX208" i="38"/>
  <c r="SOW208" i="38"/>
  <c r="SOV208" i="38"/>
  <c r="SOU208" i="38"/>
  <c r="SOT208" i="38"/>
  <c r="SOS208" i="38"/>
  <c r="SOR208" i="38"/>
  <c r="SOQ208" i="38"/>
  <c r="SOP208" i="38"/>
  <c r="SOO208" i="38"/>
  <c r="SON208" i="38"/>
  <c r="SOM208" i="38"/>
  <c r="SOL208" i="38"/>
  <c r="SOK208" i="38"/>
  <c r="SOJ208" i="38"/>
  <c r="SOI208" i="38"/>
  <c r="SOH208" i="38"/>
  <c r="SOG208" i="38"/>
  <c r="SOF208" i="38"/>
  <c r="SOE208" i="38"/>
  <c r="SOD208" i="38"/>
  <c r="SOC208" i="38"/>
  <c r="SOB208" i="38"/>
  <c r="SOA208" i="38"/>
  <c r="SNZ208" i="38"/>
  <c r="SNY208" i="38"/>
  <c r="SNX208" i="38"/>
  <c r="SNW208" i="38"/>
  <c r="SNV208" i="38"/>
  <c r="SNU208" i="38"/>
  <c r="SNT208" i="38"/>
  <c r="SNS208" i="38"/>
  <c r="SNR208" i="38"/>
  <c r="SNQ208" i="38"/>
  <c r="SNP208" i="38"/>
  <c r="SNO208" i="38"/>
  <c r="SNN208" i="38"/>
  <c r="SNM208" i="38"/>
  <c r="SNL208" i="38"/>
  <c r="SNK208" i="38"/>
  <c r="SNJ208" i="38"/>
  <c r="SNI208" i="38"/>
  <c r="SNH208" i="38"/>
  <c r="SNG208" i="38"/>
  <c r="SNF208" i="38"/>
  <c r="SNE208" i="38"/>
  <c r="SND208" i="38"/>
  <c r="SNC208" i="38"/>
  <c r="SNB208" i="38"/>
  <c r="SNA208" i="38"/>
  <c r="SMZ208" i="38"/>
  <c r="SMY208" i="38"/>
  <c r="SMX208" i="38"/>
  <c r="SMW208" i="38"/>
  <c r="SMV208" i="38"/>
  <c r="SMU208" i="38"/>
  <c r="SMT208" i="38"/>
  <c r="SMS208" i="38"/>
  <c r="SMR208" i="38"/>
  <c r="SMQ208" i="38"/>
  <c r="SMP208" i="38"/>
  <c r="SMO208" i="38"/>
  <c r="SMN208" i="38"/>
  <c r="SMM208" i="38"/>
  <c r="SML208" i="38"/>
  <c r="SMK208" i="38"/>
  <c r="SMJ208" i="38"/>
  <c r="SMI208" i="38"/>
  <c r="SMH208" i="38"/>
  <c r="SMG208" i="38"/>
  <c r="SMF208" i="38"/>
  <c r="SME208" i="38"/>
  <c r="SMD208" i="38"/>
  <c r="SMC208" i="38"/>
  <c r="SMB208" i="38"/>
  <c r="SMA208" i="38"/>
  <c r="SLZ208" i="38"/>
  <c r="SLY208" i="38"/>
  <c r="SLX208" i="38"/>
  <c r="SLW208" i="38"/>
  <c r="SLV208" i="38"/>
  <c r="SLU208" i="38"/>
  <c r="SLT208" i="38"/>
  <c r="SLS208" i="38"/>
  <c r="SLR208" i="38"/>
  <c r="SLQ208" i="38"/>
  <c r="SLP208" i="38"/>
  <c r="SLO208" i="38"/>
  <c r="SLN208" i="38"/>
  <c r="SLM208" i="38"/>
  <c r="SLL208" i="38"/>
  <c r="SLK208" i="38"/>
  <c r="SLJ208" i="38"/>
  <c r="SLI208" i="38"/>
  <c r="SLH208" i="38"/>
  <c r="SLG208" i="38"/>
  <c r="SLF208" i="38"/>
  <c r="SLE208" i="38"/>
  <c r="SLD208" i="38"/>
  <c r="SLC208" i="38"/>
  <c r="SLB208" i="38"/>
  <c r="SLA208" i="38"/>
  <c r="SKZ208" i="38"/>
  <c r="SKY208" i="38"/>
  <c r="SKX208" i="38"/>
  <c r="SKW208" i="38"/>
  <c r="SKV208" i="38"/>
  <c r="SKU208" i="38"/>
  <c r="SKT208" i="38"/>
  <c r="SKS208" i="38"/>
  <c r="SKR208" i="38"/>
  <c r="SKQ208" i="38"/>
  <c r="SKP208" i="38"/>
  <c r="SKO208" i="38"/>
  <c r="SKN208" i="38"/>
  <c r="SKM208" i="38"/>
  <c r="SKL208" i="38"/>
  <c r="SKK208" i="38"/>
  <c r="SKJ208" i="38"/>
  <c r="SKI208" i="38"/>
  <c r="SKH208" i="38"/>
  <c r="SKG208" i="38"/>
  <c r="SKF208" i="38"/>
  <c r="SKE208" i="38"/>
  <c r="SKD208" i="38"/>
  <c r="SKC208" i="38"/>
  <c r="SKB208" i="38"/>
  <c r="SKA208" i="38"/>
  <c r="SJZ208" i="38"/>
  <c r="SJY208" i="38"/>
  <c r="SJX208" i="38"/>
  <c r="SJW208" i="38"/>
  <c r="SJV208" i="38"/>
  <c r="SJU208" i="38"/>
  <c r="SJT208" i="38"/>
  <c r="SJS208" i="38"/>
  <c r="SJR208" i="38"/>
  <c r="SJQ208" i="38"/>
  <c r="SJP208" i="38"/>
  <c r="SJO208" i="38"/>
  <c r="SJN208" i="38"/>
  <c r="SJM208" i="38"/>
  <c r="SJL208" i="38"/>
  <c r="SJK208" i="38"/>
  <c r="SJJ208" i="38"/>
  <c r="SJI208" i="38"/>
  <c r="SJH208" i="38"/>
  <c r="SJG208" i="38"/>
  <c r="SJF208" i="38"/>
  <c r="SJE208" i="38"/>
  <c r="SJD208" i="38"/>
  <c r="SJC208" i="38"/>
  <c r="SJB208" i="38"/>
  <c r="SJA208" i="38"/>
  <c r="SIZ208" i="38"/>
  <c r="SIY208" i="38"/>
  <c r="SIX208" i="38"/>
  <c r="SIW208" i="38"/>
  <c r="SIV208" i="38"/>
  <c r="SIU208" i="38"/>
  <c r="SIT208" i="38"/>
  <c r="SIS208" i="38"/>
  <c r="SIR208" i="38"/>
  <c r="SIQ208" i="38"/>
  <c r="SIP208" i="38"/>
  <c r="SIO208" i="38"/>
  <c r="SIN208" i="38"/>
  <c r="SIM208" i="38"/>
  <c r="SIL208" i="38"/>
  <c r="SIK208" i="38"/>
  <c r="SIJ208" i="38"/>
  <c r="SII208" i="38"/>
  <c r="SIH208" i="38"/>
  <c r="SIG208" i="38"/>
  <c r="SIF208" i="38"/>
  <c r="SIE208" i="38"/>
  <c r="SID208" i="38"/>
  <c r="SIC208" i="38"/>
  <c r="SIB208" i="38"/>
  <c r="SIA208" i="38"/>
  <c r="SHZ208" i="38"/>
  <c r="SHY208" i="38"/>
  <c r="SHX208" i="38"/>
  <c r="SHW208" i="38"/>
  <c r="SHV208" i="38"/>
  <c r="SHU208" i="38"/>
  <c r="SHT208" i="38"/>
  <c r="SHS208" i="38"/>
  <c r="SHR208" i="38"/>
  <c r="SHQ208" i="38"/>
  <c r="SHP208" i="38"/>
  <c r="SHO208" i="38"/>
  <c r="SHN208" i="38"/>
  <c r="SHM208" i="38"/>
  <c r="SHL208" i="38"/>
  <c r="SHK208" i="38"/>
  <c r="SHJ208" i="38"/>
  <c r="SHI208" i="38"/>
  <c r="SHH208" i="38"/>
  <c r="SHG208" i="38"/>
  <c r="SHF208" i="38"/>
  <c r="SHE208" i="38"/>
  <c r="SHD208" i="38"/>
  <c r="SHC208" i="38"/>
  <c r="SHB208" i="38"/>
  <c r="SHA208" i="38"/>
  <c r="SGZ208" i="38"/>
  <c r="SGY208" i="38"/>
  <c r="SGX208" i="38"/>
  <c r="SGW208" i="38"/>
  <c r="SGV208" i="38"/>
  <c r="SGU208" i="38"/>
  <c r="SGT208" i="38"/>
  <c r="SGS208" i="38"/>
  <c r="SGR208" i="38"/>
  <c r="SGQ208" i="38"/>
  <c r="SGP208" i="38"/>
  <c r="SGO208" i="38"/>
  <c r="SGN208" i="38"/>
  <c r="SGM208" i="38"/>
  <c r="SGL208" i="38"/>
  <c r="SGK208" i="38"/>
  <c r="SGJ208" i="38"/>
  <c r="SGI208" i="38"/>
  <c r="SGH208" i="38"/>
  <c r="SGG208" i="38"/>
  <c r="SGF208" i="38"/>
  <c r="SGE208" i="38"/>
  <c r="SGD208" i="38"/>
  <c r="SGC208" i="38"/>
  <c r="SGB208" i="38"/>
  <c r="SGA208" i="38"/>
  <c r="SFZ208" i="38"/>
  <c r="SFY208" i="38"/>
  <c r="SFX208" i="38"/>
  <c r="SFW208" i="38"/>
  <c r="SFV208" i="38"/>
  <c r="SFU208" i="38"/>
  <c r="SFT208" i="38"/>
  <c r="SFS208" i="38"/>
  <c r="SFR208" i="38"/>
  <c r="SFQ208" i="38"/>
  <c r="SFP208" i="38"/>
  <c r="SFO208" i="38"/>
  <c r="SFN208" i="38"/>
  <c r="SFM208" i="38"/>
  <c r="SFL208" i="38"/>
  <c r="SFK208" i="38"/>
  <c r="SFJ208" i="38"/>
  <c r="SFI208" i="38"/>
  <c r="SFH208" i="38"/>
  <c r="SFG208" i="38"/>
  <c r="SFF208" i="38"/>
  <c r="SFE208" i="38"/>
  <c r="SFD208" i="38"/>
  <c r="SFC208" i="38"/>
  <c r="SFB208" i="38"/>
  <c r="SFA208" i="38"/>
  <c r="SEZ208" i="38"/>
  <c r="SEY208" i="38"/>
  <c r="SEX208" i="38"/>
  <c r="SEW208" i="38"/>
  <c r="SEV208" i="38"/>
  <c r="SEU208" i="38"/>
  <c r="SET208" i="38"/>
  <c r="SES208" i="38"/>
  <c r="SER208" i="38"/>
  <c r="SEQ208" i="38"/>
  <c r="SEP208" i="38"/>
  <c r="SEO208" i="38"/>
  <c r="SEN208" i="38"/>
  <c r="SEM208" i="38"/>
  <c r="SEL208" i="38"/>
  <c r="SEK208" i="38"/>
  <c r="SEJ208" i="38"/>
  <c r="SEI208" i="38"/>
  <c r="SEH208" i="38"/>
  <c r="SEG208" i="38"/>
  <c r="SEF208" i="38"/>
  <c r="SEE208" i="38"/>
  <c r="SED208" i="38"/>
  <c r="SEC208" i="38"/>
  <c r="SEB208" i="38"/>
  <c r="SEA208" i="38"/>
  <c r="SDZ208" i="38"/>
  <c r="SDY208" i="38"/>
  <c r="SDX208" i="38"/>
  <c r="SDW208" i="38"/>
  <c r="SDV208" i="38"/>
  <c r="SDU208" i="38"/>
  <c r="SDT208" i="38"/>
  <c r="SDS208" i="38"/>
  <c r="SDR208" i="38"/>
  <c r="SDQ208" i="38"/>
  <c r="SDP208" i="38"/>
  <c r="SDO208" i="38"/>
  <c r="SDN208" i="38"/>
  <c r="SDM208" i="38"/>
  <c r="SDL208" i="38"/>
  <c r="SDK208" i="38"/>
  <c r="SDJ208" i="38"/>
  <c r="SDI208" i="38"/>
  <c r="SDH208" i="38"/>
  <c r="SDG208" i="38"/>
  <c r="SDF208" i="38"/>
  <c r="SDE208" i="38"/>
  <c r="SDD208" i="38"/>
  <c r="SDC208" i="38"/>
  <c r="SDB208" i="38"/>
  <c r="SDA208" i="38"/>
  <c r="SCZ208" i="38"/>
  <c r="SCY208" i="38"/>
  <c r="SCX208" i="38"/>
  <c r="SCW208" i="38"/>
  <c r="SCV208" i="38"/>
  <c r="SCU208" i="38"/>
  <c r="SCT208" i="38"/>
  <c r="SCS208" i="38"/>
  <c r="SCR208" i="38"/>
  <c r="SCQ208" i="38"/>
  <c r="SCP208" i="38"/>
  <c r="SCO208" i="38"/>
  <c r="SCN208" i="38"/>
  <c r="SCM208" i="38"/>
  <c r="SCL208" i="38"/>
  <c r="SCK208" i="38"/>
  <c r="SCJ208" i="38"/>
  <c r="SCI208" i="38"/>
  <c r="SCH208" i="38"/>
  <c r="SCG208" i="38"/>
  <c r="SCF208" i="38"/>
  <c r="SCE208" i="38"/>
  <c r="SCD208" i="38"/>
  <c r="SCC208" i="38"/>
  <c r="SCB208" i="38"/>
  <c r="SCA208" i="38"/>
  <c r="SBZ208" i="38"/>
  <c r="SBY208" i="38"/>
  <c r="SBX208" i="38"/>
  <c r="SBW208" i="38"/>
  <c r="SBV208" i="38"/>
  <c r="SBU208" i="38"/>
  <c r="SBT208" i="38"/>
  <c r="SBS208" i="38"/>
  <c r="SBR208" i="38"/>
  <c r="SBQ208" i="38"/>
  <c r="SBP208" i="38"/>
  <c r="SBO208" i="38"/>
  <c r="SBN208" i="38"/>
  <c r="SBM208" i="38"/>
  <c r="SBL208" i="38"/>
  <c r="SBK208" i="38"/>
  <c r="SBJ208" i="38"/>
  <c r="SBI208" i="38"/>
  <c r="SBH208" i="38"/>
  <c r="SBG208" i="38"/>
  <c r="SBF208" i="38"/>
  <c r="SBE208" i="38"/>
  <c r="SBD208" i="38"/>
  <c r="SBC208" i="38"/>
  <c r="SBB208" i="38"/>
  <c r="SBA208" i="38"/>
  <c r="SAZ208" i="38"/>
  <c r="SAY208" i="38"/>
  <c r="SAX208" i="38"/>
  <c r="SAW208" i="38"/>
  <c r="SAV208" i="38"/>
  <c r="SAU208" i="38"/>
  <c r="SAT208" i="38"/>
  <c r="SAS208" i="38"/>
  <c r="SAR208" i="38"/>
  <c r="SAQ208" i="38"/>
  <c r="SAP208" i="38"/>
  <c r="SAO208" i="38"/>
  <c r="SAN208" i="38"/>
  <c r="SAM208" i="38"/>
  <c r="SAL208" i="38"/>
  <c r="SAK208" i="38"/>
  <c r="SAJ208" i="38"/>
  <c r="SAI208" i="38"/>
  <c r="SAH208" i="38"/>
  <c r="SAG208" i="38"/>
  <c r="SAF208" i="38"/>
  <c r="SAE208" i="38"/>
  <c r="SAD208" i="38"/>
  <c r="SAC208" i="38"/>
  <c r="SAB208" i="38"/>
  <c r="SAA208" i="38"/>
  <c r="RZZ208" i="38"/>
  <c r="RZY208" i="38"/>
  <c r="RZX208" i="38"/>
  <c r="RZW208" i="38"/>
  <c r="RZV208" i="38"/>
  <c r="RZU208" i="38"/>
  <c r="RZT208" i="38"/>
  <c r="RZS208" i="38"/>
  <c r="RZR208" i="38"/>
  <c r="RZQ208" i="38"/>
  <c r="RZP208" i="38"/>
  <c r="RZO208" i="38"/>
  <c r="RZN208" i="38"/>
  <c r="RZM208" i="38"/>
  <c r="RZL208" i="38"/>
  <c r="RZK208" i="38"/>
  <c r="RZJ208" i="38"/>
  <c r="RZI208" i="38"/>
  <c r="RZH208" i="38"/>
  <c r="RZG208" i="38"/>
  <c r="RZF208" i="38"/>
  <c r="RZE208" i="38"/>
  <c r="RZD208" i="38"/>
  <c r="RZC208" i="38"/>
  <c r="RZB208" i="38"/>
  <c r="RZA208" i="38"/>
  <c r="RYZ208" i="38"/>
  <c r="RYY208" i="38"/>
  <c r="RYX208" i="38"/>
  <c r="RYW208" i="38"/>
  <c r="RYV208" i="38"/>
  <c r="RYU208" i="38"/>
  <c r="RYT208" i="38"/>
  <c r="RYS208" i="38"/>
  <c r="RYR208" i="38"/>
  <c r="RYQ208" i="38"/>
  <c r="RYP208" i="38"/>
  <c r="RYO208" i="38"/>
  <c r="RYN208" i="38"/>
  <c r="RYM208" i="38"/>
  <c r="RYL208" i="38"/>
  <c r="RYK208" i="38"/>
  <c r="RYJ208" i="38"/>
  <c r="RYI208" i="38"/>
  <c r="RYH208" i="38"/>
  <c r="RYG208" i="38"/>
  <c r="RYF208" i="38"/>
  <c r="RYE208" i="38"/>
  <c r="RYD208" i="38"/>
  <c r="RYC208" i="38"/>
  <c r="RYB208" i="38"/>
  <c r="RYA208" i="38"/>
  <c r="RXZ208" i="38"/>
  <c r="RXY208" i="38"/>
  <c r="RXX208" i="38"/>
  <c r="RXW208" i="38"/>
  <c r="RXV208" i="38"/>
  <c r="RXU208" i="38"/>
  <c r="RXT208" i="38"/>
  <c r="RXS208" i="38"/>
  <c r="RXR208" i="38"/>
  <c r="RXQ208" i="38"/>
  <c r="RXP208" i="38"/>
  <c r="RXO208" i="38"/>
  <c r="RXN208" i="38"/>
  <c r="RXM208" i="38"/>
  <c r="RXL208" i="38"/>
  <c r="RXK208" i="38"/>
  <c r="RXJ208" i="38"/>
  <c r="RXI208" i="38"/>
  <c r="RXH208" i="38"/>
  <c r="RXG208" i="38"/>
  <c r="RXF208" i="38"/>
  <c r="RXE208" i="38"/>
  <c r="RXD208" i="38"/>
  <c r="RXC208" i="38"/>
  <c r="RXB208" i="38"/>
  <c r="RXA208" i="38"/>
  <c r="RWZ208" i="38"/>
  <c r="RWY208" i="38"/>
  <c r="RWX208" i="38"/>
  <c r="RWW208" i="38"/>
  <c r="RWV208" i="38"/>
  <c r="RWU208" i="38"/>
  <c r="RWT208" i="38"/>
  <c r="RWS208" i="38"/>
  <c r="RWR208" i="38"/>
  <c r="RWQ208" i="38"/>
  <c r="RWP208" i="38"/>
  <c r="RWO208" i="38"/>
  <c r="RWN208" i="38"/>
  <c r="RWM208" i="38"/>
  <c r="RWL208" i="38"/>
  <c r="RWK208" i="38"/>
  <c r="RWJ208" i="38"/>
  <c r="RWI208" i="38"/>
  <c r="RWH208" i="38"/>
  <c r="RWG208" i="38"/>
  <c r="RWF208" i="38"/>
  <c r="RWE208" i="38"/>
  <c r="RWD208" i="38"/>
  <c r="RWC208" i="38"/>
  <c r="RWB208" i="38"/>
  <c r="RWA208" i="38"/>
  <c r="RVZ208" i="38"/>
  <c r="RVY208" i="38"/>
  <c r="RVX208" i="38"/>
  <c r="RVW208" i="38"/>
  <c r="RVV208" i="38"/>
  <c r="RVU208" i="38"/>
  <c r="RVT208" i="38"/>
  <c r="RVS208" i="38"/>
  <c r="RVR208" i="38"/>
  <c r="RVQ208" i="38"/>
  <c r="RVP208" i="38"/>
  <c r="RVO208" i="38"/>
  <c r="RVN208" i="38"/>
  <c r="RVM208" i="38"/>
  <c r="RVL208" i="38"/>
  <c r="RVK208" i="38"/>
  <c r="RVJ208" i="38"/>
  <c r="RVI208" i="38"/>
  <c r="RVH208" i="38"/>
  <c r="RVG208" i="38"/>
  <c r="RVF208" i="38"/>
  <c r="RVE208" i="38"/>
  <c r="RVD208" i="38"/>
  <c r="RVC208" i="38"/>
  <c r="RVB208" i="38"/>
  <c r="RVA208" i="38"/>
  <c r="RUZ208" i="38"/>
  <c r="RUY208" i="38"/>
  <c r="RUX208" i="38"/>
  <c r="RUW208" i="38"/>
  <c r="RUV208" i="38"/>
  <c r="RUU208" i="38"/>
  <c r="RUT208" i="38"/>
  <c r="RUS208" i="38"/>
  <c r="RUR208" i="38"/>
  <c r="RUQ208" i="38"/>
  <c r="RUP208" i="38"/>
  <c r="RUO208" i="38"/>
  <c r="RUN208" i="38"/>
  <c r="RUM208" i="38"/>
  <c r="RUL208" i="38"/>
  <c r="RUK208" i="38"/>
  <c r="RUJ208" i="38"/>
  <c r="RUI208" i="38"/>
  <c r="RUH208" i="38"/>
  <c r="RUG208" i="38"/>
  <c r="RUF208" i="38"/>
  <c r="RUE208" i="38"/>
  <c r="RUD208" i="38"/>
  <c r="RUC208" i="38"/>
  <c r="RUB208" i="38"/>
  <c r="RUA208" i="38"/>
  <c r="RTZ208" i="38"/>
  <c r="RTY208" i="38"/>
  <c r="RTX208" i="38"/>
  <c r="RTW208" i="38"/>
  <c r="RTV208" i="38"/>
  <c r="RTU208" i="38"/>
  <c r="RTT208" i="38"/>
  <c r="RTS208" i="38"/>
  <c r="RTR208" i="38"/>
  <c r="RTQ208" i="38"/>
  <c r="RTP208" i="38"/>
  <c r="RTO208" i="38"/>
  <c r="RTN208" i="38"/>
  <c r="RTM208" i="38"/>
  <c r="RTL208" i="38"/>
  <c r="RTK208" i="38"/>
  <c r="RTJ208" i="38"/>
  <c r="RTI208" i="38"/>
  <c r="RTH208" i="38"/>
  <c r="RTG208" i="38"/>
  <c r="RTF208" i="38"/>
  <c r="RTE208" i="38"/>
  <c r="RTD208" i="38"/>
  <c r="RTC208" i="38"/>
  <c r="RTB208" i="38"/>
  <c r="RTA208" i="38"/>
  <c r="RSZ208" i="38"/>
  <c r="RSY208" i="38"/>
  <c r="RSX208" i="38"/>
  <c r="RSW208" i="38"/>
  <c r="RSV208" i="38"/>
  <c r="RSU208" i="38"/>
  <c r="RST208" i="38"/>
  <c r="RSS208" i="38"/>
  <c r="RSR208" i="38"/>
  <c r="RSQ208" i="38"/>
  <c r="RSP208" i="38"/>
  <c r="RSO208" i="38"/>
  <c r="RSN208" i="38"/>
  <c r="RSM208" i="38"/>
  <c r="RSL208" i="38"/>
  <c r="RSK208" i="38"/>
  <c r="RSJ208" i="38"/>
  <c r="RSI208" i="38"/>
  <c r="RSH208" i="38"/>
  <c r="RSG208" i="38"/>
  <c r="RSF208" i="38"/>
  <c r="RSE208" i="38"/>
  <c r="RSD208" i="38"/>
  <c r="RSC208" i="38"/>
  <c r="RSB208" i="38"/>
  <c r="RSA208" i="38"/>
  <c r="RRZ208" i="38"/>
  <c r="RRY208" i="38"/>
  <c r="RRX208" i="38"/>
  <c r="RRW208" i="38"/>
  <c r="RRV208" i="38"/>
  <c r="RRU208" i="38"/>
  <c r="RRT208" i="38"/>
  <c r="RRS208" i="38"/>
  <c r="RRR208" i="38"/>
  <c r="RRQ208" i="38"/>
  <c r="RRP208" i="38"/>
  <c r="RRO208" i="38"/>
  <c r="RRN208" i="38"/>
  <c r="RRM208" i="38"/>
  <c r="RRL208" i="38"/>
  <c r="RRK208" i="38"/>
  <c r="RRJ208" i="38"/>
  <c r="RRI208" i="38"/>
  <c r="RRH208" i="38"/>
  <c r="RRG208" i="38"/>
  <c r="RRF208" i="38"/>
  <c r="RRE208" i="38"/>
  <c r="RRD208" i="38"/>
  <c r="RRC208" i="38"/>
  <c r="RRB208" i="38"/>
  <c r="RRA208" i="38"/>
  <c r="RQZ208" i="38"/>
  <c r="RQY208" i="38"/>
  <c r="RQX208" i="38"/>
  <c r="RQW208" i="38"/>
  <c r="RQV208" i="38"/>
  <c r="RQU208" i="38"/>
  <c r="RQT208" i="38"/>
  <c r="RQS208" i="38"/>
  <c r="RQR208" i="38"/>
  <c r="RQQ208" i="38"/>
  <c r="RQP208" i="38"/>
  <c r="RQO208" i="38"/>
  <c r="RQN208" i="38"/>
  <c r="RQM208" i="38"/>
  <c r="RQL208" i="38"/>
  <c r="RQK208" i="38"/>
  <c r="RQJ208" i="38"/>
  <c r="RQI208" i="38"/>
  <c r="RQH208" i="38"/>
  <c r="RQG208" i="38"/>
  <c r="RQF208" i="38"/>
  <c r="RQE208" i="38"/>
  <c r="RQD208" i="38"/>
  <c r="RQC208" i="38"/>
  <c r="RQB208" i="38"/>
  <c r="RQA208" i="38"/>
  <c r="RPZ208" i="38"/>
  <c r="RPY208" i="38"/>
  <c r="RPX208" i="38"/>
  <c r="RPW208" i="38"/>
  <c r="RPV208" i="38"/>
  <c r="RPU208" i="38"/>
  <c r="RPT208" i="38"/>
  <c r="RPS208" i="38"/>
  <c r="RPR208" i="38"/>
  <c r="RPQ208" i="38"/>
  <c r="RPP208" i="38"/>
  <c r="RPO208" i="38"/>
  <c r="RPN208" i="38"/>
  <c r="RPM208" i="38"/>
  <c r="RPL208" i="38"/>
  <c r="RPK208" i="38"/>
  <c r="RPJ208" i="38"/>
  <c r="RPI208" i="38"/>
  <c r="RPH208" i="38"/>
  <c r="RPG208" i="38"/>
  <c r="RPF208" i="38"/>
  <c r="RPE208" i="38"/>
  <c r="RPD208" i="38"/>
  <c r="RPC208" i="38"/>
  <c r="RPB208" i="38"/>
  <c r="RPA208" i="38"/>
  <c r="ROZ208" i="38"/>
  <c r="ROY208" i="38"/>
  <c r="ROX208" i="38"/>
  <c r="ROW208" i="38"/>
  <c r="ROV208" i="38"/>
  <c r="ROU208" i="38"/>
  <c r="ROT208" i="38"/>
  <c r="ROS208" i="38"/>
  <c r="ROR208" i="38"/>
  <c r="ROQ208" i="38"/>
  <c r="ROP208" i="38"/>
  <c r="ROO208" i="38"/>
  <c r="RON208" i="38"/>
  <c r="ROM208" i="38"/>
  <c r="ROL208" i="38"/>
  <c r="ROK208" i="38"/>
  <c r="ROJ208" i="38"/>
  <c r="ROI208" i="38"/>
  <c r="ROH208" i="38"/>
  <c r="ROG208" i="38"/>
  <c r="ROF208" i="38"/>
  <c r="ROE208" i="38"/>
  <c r="ROD208" i="38"/>
  <c r="ROC208" i="38"/>
  <c r="ROB208" i="38"/>
  <c r="ROA208" i="38"/>
  <c r="RNZ208" i="38"/>
  <c r="RNY208" i="38"/>
  <c r="RNX208" i="38"/>
  <c r="RNW208" i="38"/>
  <c r="RNV208" i="38"/>
  <c r="RNU208" i="38"/>
  <c r="RNT208" i="38"/>
  <c r="RNS208" i="38"/>
  <c r="RNR208" i="38"/>
  <c r="RNQ208" i="38"/>
  <c r="RNP208" i="38"/>
  <c r="RNO208" i="38"/>
  <c r="RNN208" i="38"/>
  <c r="RNM208" i="38"/>
  <c r="RNL208" i="38"/>
  <c r="RNK208" i="38"/>
  <c r="RNJ208" i="38"/>
  <c r="RNI208" i="38"/>
  <c r="RNH208" i="38"/>
  <c r="RNG208" i="38"/>
  <c r="RNF208" i="38"/>
  <c r="RNE208" i="38"/>
  <c r="RND208" i="38"/>
  <c r="RNC208" i="38"/>
  <c r="RNB208" i="38"/>
  <c r="RNA208" i="38"/>
  <c r="RMZ208" i="38"/>
  <c r="RMY208" i="38"/>
  <c r="RMX208" i="38"/>
  <c r="RMW208" i="38"/>
  <c r="RMV208" i="38"/>
  <c r="RMU208" i="38"/>
  <c r="RMT208" i="38"/>
  <c r="RMS208" i="38"/>
  <c r="RMR208" i="38"/>
  <c r="RMQ208" i="38"/>
  <c r="RMP208" i="38"/>
  <c r="RMO208" i="38"/>
  <c r="RMN208" i="38"/>
  <c r="RMM208" i="38"/>
  <c r="RML208" i="38"/>
  <c r="RMK208" i="38"/>
  <c r="RMJ208" i="38"/>
  <c r="RMI208" i="38"/>
  <c r="RMH208" i="38"/>
  <c r="RMG208" i="38"/>
  <c r="RMF208" i="38"/>
  <c r="RME208" i="38"/>
  <c r="RMD208" i="38"/>
  <c r="RMC208" i="38"/>
  <c r="RMB208" i="38"/>
  <c r="RMA208" i="38"/>
  <c r="RLZ208" i="38"/>
  <c r="RLY208" i="38"/>
  <c r="RLX208" i="38"/>
  <c r="RLW208" i="38"/>
  <c r="RLV208" i="38"/>
  <c r="RLU208" i="38"/>
  <c r="RLT208" i="38"/>
  <c r="RLS208" i="38"/>
  <c r="RLR208" i="38"/>
  <c r="RLQ208" i="38"/>
  <c r="RLP208" i="38"/>
  <c r="RLO208" i="38"/>
  <c r="RLN208" i="38"/>
  <c r="RLM208" i="38"/>
  <c r="RLL208" i="38"/>
  <c r="RLK208" i="38"/>
  <c r="RLJ208" i="38"/>
  <c r="RLI208" i="38"/>
  <c r="RLH208" i="38"/>
  <c r="RLG208" i="38"/>
  <c r="RLF208" i="38"/>
  <c r="RLE208" i="38"/>
  <c r="RLD208" i="38"/>
  <c r="RLC208" i="38"/>
  <c r="RLB208" i="38"/>
  <c r="RLA208" i="38"/>
  <c r="RKZ208" i="38"/>
  <c r="RKY208" i="38"/>
  <c r="RKX208" i="38"/>
  <c r="RKW208" i="38"/>
  <c r="RKV208" i="38"/>
  <c r="RKU208" i="38"/>
  <c r="RKT208" i="38"/>
  <c r="RKS208" i="38"/>
  <c r="RKR208" i="38"/>
  <c r="RKQ208" i="38"/>
  <c r="RKP208" i="38"/>
  <c r="RKO208" i="38"/>
  <c r="RKN208" i="38"/>
  <c r="RKM208" i="38"/>
  <c r="RKL208" i="38"/>
  <c r="RKK208" i="38"/>
  <c r="RKJ208" i="38"/>
  <c r="RKI208" i="38"/>
  <c r="RKH208" i="38"/>
  <c r="RKG208" i="38"/>
  <c r="RKF208" i="38"/>
  <c r="RKE208" i="38"/>
  <c r="RKD208" i="38"/>
  <c r="RKC208" i="38"/>
  <c r="RKB208" i="38"/>
  <c r="RKA208" i="38"/>
  <c r="RJZ208" i="38"/>
  <c r="RJY208" i="38"/>
  <c r="RJX208" i="38"/>
  <c r="RJW208" i="38"/>
  <c r="RJV208" i="38"/>
  <c r="RJU208" i="38"/>
  <c r="RJT208" i="38"/>
  <c r="RJS208" i="38"/>
  <c r="RJR208" i="38"/>
  <c r="RJQ208" i="38"/>
  <c r="RJP208" i="38"/>
  <c r="RJO208" i="38"/>
  <c r="RJN208" i="38"/>
  <c r="RJM208" i="38"/>
  <c r="RJL208" i="38"/>
  <c r="RJK208" i="38"/>
  <c r="RJJ208" i="38"/>
  <c r="RJI208" i="38"/>
  <c r="RJH208" i="38"/>
  <c r="RJG208" i="38"/>
  <c r="RJF208" i="38"/>
  <c r="RJE208" i="38"/>
  <c r="RJD208" i="38"/>
  <c r="RJC208" i="38"/>
  <c r="RJB208" i="38"/>
  <c r="RJA208" i="38"/>
  <c r="RIZ208" i="38"/>
  <c r="RIY208" i="38"/>
  <c r="RIX208" i="38"/>
  <c r="RIW208" i="38"/>
  <c r="RIV208" i="38"/>
  <c r="RIU208" i="38"/>
  <c r="RIT208" i="38"/>
  <c r="RIS208" i="38"/>
  <c r="RIR208" i="38"/>
  <c r="RIQ208" i="38"/>
  <c r="RIP208" i="38"/>
  <c r="RIO208" i="38"/>
  <c r="RIN208" i="38"/>
  <c r="RIM208" i="38"/>
  <c r="RIL208" i="38"/>
  <c r="RIK208" i="38"/>
  <c r="RIJ208" i="38"/>
  <c r="RII208" i="38"/>
  <c r="RIH208" i="38"/>
  <c r="RIG208" i="38"/>
  <c r="RIF208" i="38"/>
  <c r="RIE208" i="38"/>
  <c r="RID208" i="38"/>
  <c r="RIC208" i="38"/>
  <c r="RIB208" i="38"/>
  <c r="RIA208" i="38"/>
  <c r="RHZ208" i="38"/>
  <c r="RHY208" i="38"/>
  <c r="RHX208" i="38"/>
  <c r="RHW208" i="38"/>
  <c r="RHV208" i="38"/>
  <c r="RHU208" i="38"/>
  <c r="RHT208" i="38"/>
  <c r="RHS208" i="38"/>
  <c r="RHR208" i="38"/>
  <c r="RHQ208" i="38"/>
  <c r="RHP208" i="38"/>
  <c r="RHO208" i="38"/>
  <c r="RHN208" i="38"/>
  <c r="RHM208" i="38"/>
  <c r="RHL208" i="38"/>
  <c r="RHK208" i="38"/>
  <c r="RHJ208" i="38"/>
  <c r="RHI208" i="38"/>
  <c r="RHH208" i="38"/>
  <c r="RHG208" i="38"/>
  <c r="RHF208" i="38"/>
  <c r="RHE208" i="38"/>
  <c r="RHD208" i="38"/>
  <c r="RHC208" i="38"/>
  <c r="RHB208" i="38"/>
  <c r="RHA208" i="38"/>
  <c r="RGZ208" i="38"/>
  <c r="RGY208" i="38"/>
  <c r="RGX208" i="38"/>
  <c r="RGW208" i="38"/>
  <c r="RGV208" i="38"/>
  <c r="RGU208" i="38"/>
  <c r="RGT208" i="38"/>
  <c r="RGS208" i="38"/>
  <c r="RGR208" i="38"/>
  <c r="RGQ208" i="38"/>
  <c r="RGP208" i="38"/>
  <c r="RGO208" i="38"/>
  <c r="RGN208" i="38"/>
  <c r="RGM208" i="38"/>
  <c r="RGL208" i="38"/>
  <c r="RGK208" i="38"/>
  <c r="RGJ208" i="38"/>
  <c r="RGI208" i="38"/>
  <c r="RGH208" i="38"/>
  <c r="RGG208" i="38"/>
  <c r="RGF208" i="38"/>
  <c r="RGE208" i="38"/>
  <c r="RGD208" i="38"/>
  <c r="RGC208" i="38"/>
  <c r="RGB208" i="38"/>
  <c r="RGA208" i="38"/>
  <c r="RFZ208" i="38"/>
  <c r="RFY208" i="38"/>
  <c r="RFX208" i="38"/>
  <c r="RFW208" i="38"/>
  <c r="RFV208" i="38"/>
  <c r="RFU208" i="38"/>
  <c r="RFT208" i="38"/>
  <c r="RFS208" i="38"/>
  <c r="RFR208" i="38"/>
  <c r="RFQ208" i="38"/>
  <c r="RFP208" i="38"/>
  <c r="RFO208" i="38"/>
  <c r="RFN208" i="38"/>
  <c r="RFM208" i="38"/>
  <c r="RFL208" i="38"/>
  <c r="RFK208" i="38"/>
  <c r="RFJ208" i="38"/>
  <c r="RFI208" i="38"/>
  <c r="RFH208" i="38"/>
  <c r="RFG208" i="38"/>
  <c r="RFF208" i="38"/>
  <c r="RFE208" i="38"/>
  <c r="RFD208" i="38"/>
  <c r="RFC208" i="38"/>
  <c r="RFB208" i="38"/>
  <c r="RFA208" i="38"/>
  <c r="REZ208" i="38"/>
  <c r="REY208" i="38"/>
  <c r="REX208" i="38"/>
  <c r="REW208" i="38"/>
  <c r="REV208" i="38"/>
  <c r="REU208" i="38"/>
  <c r="RET208" i="38"/>
  <c r="RES208" i="38"/>
  <c r="RER208" i="38"/>
  <c r="REQ208" i="38"/>
  <c r="REP208" i="38"/>
  <c r="REO208" i="38"/>
  <c r="REN208" i="38"/>
  <c r="REM208" i="38"/>
  <c r="REL208" i="38"/>
  <c r="REK208" i="38"/>
  <c r="REJ208" i="38"/>
  <c r="REI208" i="38"/>
  <c r="REH208" i="38"/>
  <c r="REG208" i="38"/>
  <c r="REF208" i="38"/>
  <c r="REE208" i="38"/>
  <c r="RED208" i="38"/>
  <c r="REC208" i="38"/>
  <c r="REB208" i="38"/>
  <c r="REA208" i="38"/>
  <c r="RDZ208" i="38"/>
  <c r="RDY208" i="38"/>
  <c r="RDX208" i="38"/>
  <c r="RDW208" i="38"/>
  <c r="RDV208" i="38"/>
  <c r="RDU208" i="38"/>
  <c r="RDT208" i="38"/>
  <c r="RDS208" i="38"/>
  <c r="RDR208" i="38"/>
  <c r="RDQ208" i="38"/>
  <c r="RDP208" i="38"/>
  <c r="RDO208" i="38"/>
  <c r="RDN208" i="38"/>
  <c r="RDM208" i="38"/>
  <c r="RDL208" i="38"/>
  <c r="RDK208" i="38"/>
  <c r="RDJ208" i="38"/>
  <c r="RDI208" i="38"/>
  <c r="RDH208" i="38"/>
  <c r="RDG208" i="38"/>
  <c r="RDF208" i="38"/>
  <c r="RDE208" i="38"/>
  <c r="RDD208" i="38"/>
  <c r="RDC208" i="38"/>
  <c r="RDB208" i="38"/>
  <c r="RDA208" i="38"/>
  <c r="RCZ208" i="38"/>
  <c r="RCY208" i="38"/>
  <c r="RCX208" i="38"/>
  <c r="RCW208" i="38"/>
  <c r="RCV208" i="38"/>
  <c r="RCU208" i="38"/>
  <c r="RCT208" i="38"/>
  <c r="RCS208" i="38"/>
  <c r="RCR208" i="38"/>
  <c r="RCQ208" i="38"/>
  <c r="RCP208" i="38"/>
  <c r="RCO208" i="38"/>
  <c r="RCN208" i="38"/>
  <c r="RCM208" i="38"/>
  <c r="RCL208" i="38"/>
  <c r="RCK208" i="38"/>
  <c r="RCJ208" i="38"/>
  <c r="RCI208" i="38"/>
  <c r="RCH208" i="38"/>
  <c r="RCG208" i="38"/>
  <c r="RCF208" i="38"/>
  <c r="RCE208" i="38"/>
  <c r="RCD208" i="38"/>
  <c r="RCC208" i="38"/>
  <c r="RCB208" i="38"/>
  <c r="RCA208" i="38"/>
  <c r="RBZ208" i="38"/>
  <c r="RBY208" i="38"/>
  <c r="RBX208" i="38"/>
  <c r="RBW208" i="38"/>
  <c r="RBV208" i="38"/>
  <c r="RBU208" i="38"/>
  <c r="RBT208" i="38"/>
  <c r="RBS208" i="38"/>
  <c r="RBR208" i="38"/>
  <c r="RBQ208" i="38"/>
  <c r="RBP208" i="38"/>
  <c r="RBO208" i="38"/>
  <c r="RBN208" i="38"/>
  <c r="RBM208" i="38"/>
  <c r="RBL208" i="38"/>
  <c r="RBK208" i="38"/>
  <c r="RBJ208" i="38"/>
  <c r="RBI208" i="38"/>
  <c r="RBH208" i="38"/>
  <c r="RBG208" i="38"/>
  <c r="RBF208" i="38"/>
  <c r="RBE208" i="38"/>
  <c r="RBD208" i="38"/>
  <c r="RBC208" i="38"/>
  <c r="RBB208" i="38"/>
  <c r="RBA208" i="38"/>
  <c r="RAZ208" i="38"/>
  <c r="RAY208" i="38"/>
  <c r="RAX208" i="38"/>
  <c r="RAW208" i="38"/>
  <c r="RAV208" i="38"/>
  <c r="RAU208" i="38"/>
  <c r="RAT208" i="38"/>
  <c r="RAS208" i="38"/>
  <c r="RAR208" i="38"/>
  <c r="RAQ208" i="38"/>
  <c r="RAP208" i="38"/>
  <c r="RAO208" i="38"/>
  <c r="RAN208" i="38"/>
  <c r="RAM208" i="38"/>
  <c r="RAL208" i="38"/>
  <c r="RAK208" i="38"/>
  <c r="RAJ208" i="38"/>
  <c r="RAI208" i="38"/>
  <c r="RAH208" i="38"/>
  <c r="RAG208" i="38"/>
  <c r="RAF208" i="38"/>
  <c r="RAE208" i="38"/>
  <c r="RAD208" i="38"/>
  <c r="RAC208" i="38"/>
  <c r="RAB208" i="38"/>
  <c r="RAA208" i="38"/>
  <c r="QZZ208" i="38"/>
  <c r="QZY208" i="38"/>
  <c r="QZX208" i="38"/>
  <c r="QZW208" i="38"/>
  <c r="QZV208" i="38"/>
  <c r="QZU208" i="38"/>
  <c r="QZT208" i="38"/>
  <c r="QZS208" i="38"/>
  <c r="QZR208" i="38"/>
  <c r="QZQ208" i="38"/>
  <c r="QZP208" i="38"/>
  <c r="QZO208" i="38"/>
  <c r="QZN208" i="38"/>
  <c r="QZM208" i="38"/>
  <c r="QZL208" i="38"/>
  <c r="QZK208" i="38"/>
  <c r="QZJ208" i="38"/>
  <c r="QZI208" i="38"/>
  <c r="QZH208" i="38"/>
  <c r="QZG208" i="38"/>
  <c r="QZF208" i="38"/>
  <c r="QZE208" i="38"/>
  <c r="QZD208" i="38"/>
  <c r="QZC208" i="38"/>
  <c r="QZB208" i="38"/>
  <c r="QZA208" i="38"/>
  <c r="QYZ208" i="38"/>
  <c r="QYY208" i="38"/>
  <c r="QYX208" i="38"/>
  <c r="QYW208" i="38"/>
  <c r="QYV208" i="38"/>
  <c r="QYU208" i="38"/>
  <c r="QYT208" i="38"/>
  <c r="QYS208" i="38"/>
  <c r="QYR208" i="38"/>
  <c r="QYQ208" i="38"/>
  <c r="QYP208" i="38"/>
  <c r="QYO208" i="38"/>
  <c r="QYN208" i="38"/>
  <c r="QYM208" i="38"/>
  <c r="QYL208" i="38"/>
  <c r="QYK208" i="38"/>
  <c r="QYJ208" i="38"/>
  <c r="QYI208" i="38"/>
  <c r="QYH208" i="38"/>
  <c r="QYG208" i="38"/>
  <c r="QYF208" i="38"/>
  <c r="QYE208" i="38"/>
  <c r="QYD208" i="38"/>
  <c r="QYC208" i="38"/>
  <c r="QYB208" i="38"/>
  <c r="QYA208" i="38"/>
  <c r="QXZ208" i="38"/>
  <c r="QXY208" i="38"/>
  <c r="QXX208" i="38"/>
  <c r="QXW208" i="38"/>
  <c r="QXV208" i="38"/>
  <c r="QXU208" i="38"/>
  <c r="QXT208" i="38"/>
  <c r="QXS208" i="38"/>
  <c r="QXR208" i="38"/>
  <c r="QXQ208" i="38"/>
  <c r="QXP208" i="38"/>
  <c r="QXO208" i="38"/>
  <c r="QXN208" i="38"/>
  <c r="QXM208" i="38"/>
  <c r="QXL208" i="38"/>
  <c r="QXK208" i="38"/>
  <c r="QXJ208" i="38"/>
  <c r="QXI208" i="38"/>
  <c r="QXH208" i="38"/>
  <c r="QXG208" i="38"/>
  <c r="QXF208" i="38"/>
  <c r="QXE208" i="38"/>
  <c r="QXD208" i="38"/>
  <c r="QXC208" i="38"/>
  <c r="QXB208" i="38"/>
  <c r="QXA208" i="38"/>
  <c r="QWZ208" i="38"/>
  <c r="QWY208" i="38"/>
  <c r="QWX208" i="38"/>
  <c r="QWW208" i="38"/>
  <c r="QWV208" i="38"/>
  <c r="QWU208" i="38"/>
  <c r="QWT208" i="38"/>
  <c r="QWS208" i="38"/>
  <c r="QWR208" i="38"/>
  <c r="QWQ208" i="38"/>
  <c r="QWP208" i="38"/>
  <c r="QWO208" i="38"/>
  <c r="QWN208" i="38"/>
  <c r="QWM208" i="38"/>
  <c r="QWL208" i="38"/>
  <c r="QWK208" i="38"/>
  <c r="QWJ208" i="38"/>
  <c r="QWI208" i="38"/>
  <c r="QWH208" i="38"/>
  <c r="QWG208" i="38"/>
  <c r="QWF208" i="38"/>
  <c r="QWE208" i="38"/>
  <c r="QWD208" i="38"/>
  <c r="QWC208" i="38"/>
  <c r="QWB208" i="38"/>
  <c r="QWA208" i="38"/>
  <c r="QVZ208" i="38"/>
  <c r="QVY208" i="38"/>
  <c r="QVX208" i="38"/>
  <c r="QVW208" i="38"/>
  <c r="QVV208" i="38"/>
  <c r="QVU208" i="38"/>
  <c r="QVT208" i="38"/>
  <c r="QVS208" i="38"/>
  <c r="QVR208" i="38"/>
  <c r="QVQ208" i="38"/>
  <c r="QVP208" i="38"/>
  <c r="QVO208" i="38"/>
  <c r="QVN208" i="38"/>
  <c r="QVM208" i="38"/>
  <c r="QVL208" i="38"/>
  <c r="QVK208" i="38"/>
  <c r="QVJ208" i="38"/>
  <c r="QVI208" i="38"/>
  <c r="QVH208" i="38"/>
  <c r="QVG208" i="38"/>
  <c r="QVF208" i="38"/>
  <c r="QVE208" i="38"/>
  <c r="QVD208" i="38"/>
  <c r="QVC208" i="38"/>
  <c r="QVB208" i="38"/>
  <c r="QVA208" i="38"/>
  <c r="QUZ208" i="38"/>
  <c r="QUY208" i="38"/>
  <c r="QUX208" i="38"/>
  <c r="QUW208" i="38"/>
  <c r="QUV208" i="38"/>
  <c r="QUU208" i="38"/>
  <c r="QUT208" i="38"/>
  <c r="QUS208" i="38"/>
  <c r="QUR208" i="38"/>
  <c r="QUQ208" i="38"/>
  <c r="QUP208" i="38"/>
  <c r="QUO208" i="38"/>
  <c r="QUN208" i="38"/>
  <c r="QUM208" i="38"/>
  <c r="QUL208" i="38"/>
  <c r="QUK208" i="38"/>
  <c r="QUJ208" i="38"/>
  <c r="QUI208" i="38"/>
  <c r="QUH208" i="38"/>
  <c r="QUG208" i="38"/>
  <c r="QUF208" i="38"/>
  <c r="QUE208" i="38"/>
  <c r="QUD208" i="38"/>
  <c r="QUC208" i="38"/>
  <c r="QUB208" i="38"/>
  <c r="QUA208" i="38"/>
  <c r="QTZ208" i="38"/>
  <c r="QTY208" i="38"/>
  <c r="QTX208" i="38"/>
  <c r="QTW208" i="38"/>
  <c r="QTV208" i="38"/>
  <c r="QTU208" i="38"/>
  <c r="QTT208" i="38"/>
  <c r="QTS208" i="38"/>
  <c r="QTR208" i="38"/>
  <c r="QTQ208" i="38"/>
  <c r="QTP208" i="38"/>
  <c r="QTO208" i="38"/>
  <c r="QTN208" i="38"/>
  <c r="QTM208" i="38"/>
  <c r="QTL208" i="38"/>
  <c r="QTK208" i="38"/>
  <c r="QTJ208" i="38"/>
  <c r="QTI208" i="38"/>
  <c r="QTH208" i="38"/>
  <c r="QTG208" i="38"/>
  <c r="QTF208" i="38"/>
  <c r="QTE208" i="38"/>
  <c r="QTD208" i="38"/>
  <c r="QTC208" i="38"/>
  <c r="QTB208" i="38"/>
  <c r="QTA208" i="38"/>
  <c r="QSZ208" i="38"/>
  <c r="QSY208" i="38"/>
  <c r="QSX208" i="38"/>
  <c r="QSW208" i="38"/>
  <c r="QSV208" i="38"/>
  <c r="QSU208" i="38"/>
  <c r="QST208" i="38"/>
  <c r="QSS208" i="38"/>
  <c r="QSR208" i="38"/>
  <c r="QSQ208" i="38"/>
  <c r="QSP208" i="38"/>
  <c r="QSO208" i="38"/>
  <c r="QSN208" i="38"/>
  <c r="QSM208" i="38"/>
  <c r="QSL208" i="38"/>
  <c r="QSK208" i="38"/>
  <c r="QSJ208" i="38"/>
  <c r="QSI208" i="38"/>
  <c r="QSH208" i="38"/>
  <c r="QSG208" i="38"/>
  <c r="QSF208" i="38"/>
  <c r="QSE208" i="38"/>
  <c r="QSD208" i="38"/>
  <c r="QSC208" i="38"/>
  <c r="QSB208" i="38"/>
  <c r="QSA208" i="38"/>
  <c r="QRZ208" i="38"/>
  <c r="QRY208" i="38"/>
  <c r="QRX208" i="38"/>
  <c r="QRW208" i="38"/>
  <c r="QRV208" i="38"/>
  <c r="QRU208" i="38"/>
  <c r="QRT208" i="38"/>
  <c r="QRS208" i="38"/>
  <c r="QRR208" i="38"/>
  <c r="QRQ208" i="38"/>
  <c r="QRP208" i="38"/>
  <c r="QRO208" i="38"/>
  <c r="QRN208" i="38"/>
  <c r="QRM208" i="38"/>
  <c r="QRL208" i="38"/>
  <c r="QRK208" i="38"/>
  <c r="QRJ208" i="38"/>
  <c r="QRI208" i="38"/>
  <c r="QRH208" i="38"/>
  <c r="QRG208" i="38"/>
  <c r="QRF208" i="38"/>
  <c r="QRE208" i="38"/>
  <c r="QRD208" i="38"/>
  <c r="QRC208" i="38"/>
  <c r="QRB208" i="38"/>
  <c r="QRA208" i="38"/>
  <c r="QQZ208" i="38"/>
  <c r="QQY208" i="38"/>
  <c r="QQX208" i="38"/>
  <c r="QQW208" i="38"/>
  <c r="QQV208" i="38"/>
  <c r="QQU208" i="38"/>
  <c r="QQT208" i="38"/>
  <c r="QQS208" i="38"/>
  <c r="QQR208" i="38"/>
  <c r="QQQ208" i="38"/>
  <c r="QQP208" i="38"/>
  <c r="QQO208" i="38"/>
  <c r="QQN208" i="38"/>
  <c r="QQM208" i="38"/>
  <c r="QQL208" i="38"/>
  <c r="QQK208" i="38"/>
  <c r="QQJ208" i="38"/>
  <c r="QQI208" i="38"/>
  <c r="QQH208" i="38"/>
  <c r="QQG208" i="38"/>
  <c r="QQF208" i="38"/>
  <c r="QQE208" i="38"/>
  <c r="QQD208" i="38"/>
  <c r="QQC208" i="38"/>
  <c r="QQB208" i="38"/>
  <c r="QQA208" i="38"/>
  <c r="QPZ208" i="38"/>
  <c r="QPY208" i="38"/>
  <c r="QPX208" i="38"/>
  <c r="QPW208" i="38"/>
  <c r="QPV208" i="38"/>
  <c r="QPU208" i="38"/>
  <c r="QPT208" i="38"/>
  <c r="QPS208" i="38"/>
  <c r="QPR208" i="38"/>
  <c r="QPQ208" i="38"/>
  <c r="QPP208" i="38"/>
  <c r="QPO208" i="38"/>
  <c r="QPN208" i="38"/>
  <c r="QPM208" i="38"/>
  <c r="QPL208" i="38"/>
  <c r="QPK208" i="38"/>
  <c r="QPJ208" i="38"/>
  <c r="QPI208" i="38"/>
  <c r="QPH208" i="38"/>
  <c r="QPG208" i="38"/>
  <c r="QPF208" i="38"/>
  <c r="QPE208" i="38"/>
  <c r="QPD208" i="38"/>
  <c r="QPC208" i="38"/>
  <c r="QPB208" i="38"/>
  <c r="QPA208" i="38"/>
  <c r="QOZ208" i="38"/>
  <c r="QOY208" i="38"/>
  <c r="QOX208" i="38"/>
  <c r="QOW208" i="38"/>
  <c r="QOV208" i="38"/>
  <c r="QOU208" i="38"/>
  <c r="QOT208" i="38"/>
  <c r="QOS208" i="38"/>
  <c r="QOR208" i="38"/>
  <c r="QOQ208" i="38"/>
  <c r="QOP208" i="38"/>
  <c r="QOO208" i="38"/>
  <c r="QON208" i="38"/>
  <c r="QOM208" i="38"/>
  <c r="QOL208" i="38"/>
  <c r="QOK208" i="38"/>
  <c r="QOJ208" i="38"/>
  <c r="QOI208" i="38"/>
  <c r="QOH208" i="38"/>
  <c r="QOG208" i="38"/>
  <c r="QOF208" i="38"/>
  <c r="QOE208" i="38"/>
  <c r="QOD208" i="38"/>
  <c r="QOC208" i="38"/>
  <c r="QOB208" i="38"/>
  <c r="QOA208" i="38"/>
  <c r="QNZ208" i="38"/>
  <c r="QNY208" i="38"/>
  <c r="QNX208" i="38"/>
  <c r="QNW208" i="38"/>
  <c r="QNV208" i="38"/>
  <c r="QNU208" i="38"/>
  <c r="QNT208" i="38"/>
  <c r="QNS208" i="38"/>
  <c r="QNR208" i="38"/>
  <c r="QNQ208" i="38"/>
  <c r="QNP208" i="38"/>
  <c r="QNO208" i="38"/>
  <c r="QNN208" i="38"/>
  <c r="QNM208" i="38"/>
  <c r="QNL208" i="38"/>
  <c r="QNK208" i="38"/>
  <c r="QNJ208" i="38"/>
  <c r="QNI208" i="38"/>
  <c r="QNH208" i="38"/>
  <c r="QNG208" i="38"/>
  <c r="QNF208" i="38"/>
  <c r="QNE208" i="38"/>
  <c r="QND208" i="38"/>
  <c r="QNC208" i="38"/>
  <c r="QNB208" i="38"/>
  <c r="QNA208" i="38"/>
  <c r="QMZ208" i="38"/>
  <c r="QMY208" i="38"/>
  <c r="QMX208" i="38"/>
  <c r="QMW208" i="38"/>
  <c r="QMV208" i="38"/>
  <c r="QMU208" i="38"/>
  <c r="QMT208" i="38"/>
  <c r="QMS208" i="38"/>
  <c r="QMR208" i="38"/>
  <c r="QMQ208" i="38"/>
  <c r="QMP208" i="38"/>
  <c r="QMO208" i="38"/>
  <c r="QMN208" i="38"/>
  <c r="QMM208" i="38"/>
  <c r="QML208" i="38"/>
  <c r="QMK208" i="38"/>
  <c r="QMJ208" i="38"/>
  <c r="QMI208" i="38"/>
  <c r="QMH208" i="38"/>
  <c r="QMG208" i="38"/>
  <c r="QMF208" i="38"/>
  <c r="QME208" i="38"/>
  <c r="QMD208" i="38"/>
  <c r="QMC208" i="38"/>
  <c r="QMB208" i="38"/>
  <c r="QMA208" i="38"/>
  <c r="QLZ208" i="38"/>
  <c r="QLY208" i="38"/>
  <c r="QLX208" i="38"/>
  <c r="QLW208" i="38"/>
  <c r="QLV208" i="38"/>
  <c r="QLU208" i="38"/>
  <c r="QLT208" i="38"/>
  <c r="QLS208" i="38"/>
  <c r="QLR208" i="38"/>
  <c r="QLQ208" i="38"/>
  <c r="QLP208" i="38"/>
  <c r="QLO208" i="38"/>
  <c r="QLN208" i="38"/>
  <c r="QLM208" i="38"/>
  <c r="QLL208" i="38"/>
  <c r="QLK208" i="38"/>
  <c r="QLJ208" i="38"/>
  <c r="QLI208" i="38"/>
  <c r="QLH208" i="38"/>
  <c r="QLG208" i="38"/>
  <c r="QLF208" i="38"/>
  <c r="QLE208" i="38"/>
  <c r="QLD208" i="38"/>
  <c r="QLC208" i="38"/>
  <c r="QLB208" i="38"/>
  <c r="QLA208" i="38"/>
  <c r="QKZ208" i="38"/>
  <c r="QKY208" i="38"/>
  <c r="QKX208" i="38"/>
  <c r="QKW208" i="38"/>
  <c r="QKV208" i="38"/>
  <c r="QKU208" i="38"/>
  <c r="QKT208" i="38"/>
  <c r="QKS208" i="38"/>
  <c r="QKR208" i="38"/>
  <c r="QKQ208" i="38"/>
  <c r="QKP208" i="38"/>
  <c r="QKO208" i="38"/>
  <c r="QKN208" i="38"/>
  <c r="QKM208" i="38"/>
  <c r="QKL208" i="38"/>
  <c r="QKK208" i="38"/>
  <c r="QKJ208" i="38"/>
  <c r="QKI208" i="38"/>
  <c r="QKH208" i="38"/>
  <c r="QKG208" i="38"/>
  <c r="QKF208" i="38"/>
  <c r="QKE208" i="38"/>
  <c r="QKD208" i="38"/>
  <c r="QKC208" i="38"/>
  <c r="QKB208" i="38"/>
  <c r="QKA208" i="38"/>
  <c r="QJZ208" i="38"/>
  <c r="QJY208" i="38"/>
  <c r="QJX208" i="38"/>
  <c r="QJW208" i="38"/>
  <c r="QJV208" i="38"/>
  <c r="QJU208" i="38"/>
  <c r="QJT208" i="38"/>
  <c r="QJS208" i="38"/>
  <c r="QJR208" i="38"/>
  <c r="QJQ208" i="38"/>
  <c r="QJP208" i="38"/>
  <c r="QJO208" i="38"/>
  <c r="QJN208" i="38"/>
  <c r="QJM208" i="38"/>
  <c r="QJL208" i="38"/>
  <c r="QJK208" i="38"/>
  <c r="QJJ208" i="38"/>
  <c r="QJI208" i="38"/>
  <c r="QJH208" i="38"/>
  <c r="QJG208" i="38"/>
  <c r="QJF208" i="38"/>
  <c r="QJE208" i="38"/>
  <c r="QJD208" i="38"/>
  <c r="QJC208" i="38"/>
  <c r="QJB208" i="38"/>
  <c r="QJA208" i="38"/>
  <c r="QIZ208" i="38"/>
  <c r="QIY208" i="38"/>
  <c r="QIX208" i="38"/>
  <c r="QIW208" i="38"/>
  <c r="QIV208" i="38"/>
  <c r="QIU208" i="38"/>
  <c r="QIT208" i="38"/>
  <c r="QIS208" i="38"/>
  <c r="QIR208" i="38"/>
  <c r="QIQ208" i="38"/>
  <c r="QIP208" i="38"/>
  <c r="QIO208" i="38"/>
  <c r="QIN208" i="38"/>
  <c r="QIM208" i="38"/>
  <c r="QIL208" i="38"/>
  <c r="QIK208" i="38"/>
  <c r="QIJ208" i="38"/>
  <c r="QII208" i="38"/>
  <c r="QIH208" i="38"/>
  <c r="QIG208" i="38"/>
  <c r="QIF208" i="38"/>
  <c r="QIE208" i="38"/>
  <c r="QID208" i="38"/>
  <c r="QIC208" i="38"/>
  <c r="QIB208" i="38"/>
  <c r="QIA208" i="38"/>
  <c r="QHZ208" i="38"/>
  <c r="QHY208" i="38"/>
  <c r="QHX208" i="38"/>
  <c r="QHW208" i="38"/>
  <c r="QHV208" i="38"/>
  <c r="QHU208" i="38"/>
  <c r="QHT208" i="38"/>
  <c r="QHS208" i="38"/>
  <c r="QHR208" i="38"/>
  <c r="QHQ208" i="38"/>
  <c r="QHP208" i="38"/>
  <c r="QHO208" i="38"/>
  <c r="QHN208" i="38"/>
  <c r="QHM208" i="38"/>
  <c r="QHL208" i="38"/>
  <c r="QHK208" i="38"/>
  <c r="QHJ208" i="38"/>
  <c r="QHI208" i="38"/>
  <c r="QHH208" i="38"/>
  <c r="QHG208" i="38"/>
  <c r="QHF208" i="38"/>
  <c r="QHE208" i="38"/>
  <c r="QHD208" i="38"/>
  <c r="QHC208" i="38"/>
  <c r="QHB208" i="38"/>
  <c r="QHA208" i="38"/>
  <c r="QGZ208" i="38"/>
  <c r="QGY208" i="38"/>
  <c r="QGX208" i="38"/>
  <c r="QGW208" i="38"/>
  <c r="QGV208" i="38"/>
  <c r="QGU208" i="38"/>
  <c r="QGT208" i="38"/>
  <c r="QGS208" i="38"/>
  <c r="QGR208" i="38"/>
  <c r="QGQ208" i="38"/>
  <c r="QGP208" i="38"/>
  <c r="QGO208" i="38"/>
  <c r="QGN208" i="38"/>
  <c r="QGM208" i="38"/>
  <c r="QGL208" i="38"/>
  <c r="QGK208" i="38"/>
  <c r="QGJ208" i="38"/>
  <c r="QGI208" i="38"/>
  <c r="QGH208" i="38"/>
  <c r="QGG208" i="38"/>
  <c r="QGF208" i="38"/>
  <c r="QGE208" i="38"/>
  <c r="QGD208" i="38"/>
  <c r="QGC208" i="38"/>
  <c r="QGB208" i="38"/>
  <c r="QGA208" i="38"/>
  <c r="QFZ208" i="38"/>
  <c r="QFY208" i="38"/>
  <c r="QFX208" i="38"/>
  <c r="QFW208" i="38"/>
  <c r="QFV208" i="38"/>
  <c r="QFU208" i="38"/>
  <c r="QFT208" i="38"/>
  <c r="QFS208" i="38"/>
  <c r="QFR208" i="38"/>
  <c r="QFQ208" i="38"/>
  <c r="QFP208" i="38"/>
  <c r="QFO208" i="38"/>
  <c r="QFN208" i="38"/>
  <c r="QFM208" i="38"/>
  <c r="QFL208" i="38"/>
  <c r="QFK208" i="38"/>
  <c r="QFJ208" i="38"/>
  <c r="QFI208" i="38"/>
  <c r="QFH208" i="38"/>
  <c r="QFG208" i="38"/>
  <c r="QFF208" i="38"/>
  <c r="QFE208" i="38"/>
  <c r="QFD208" i="38"/>
  <c r="QFC208" i="38"/>
  <c r="QFB208" i="38"/>
  <c r="QFA208" i="38"/>
  <c r="QEZ208" i="38"/>
  <c r="QEY208" i="38"/>
  <c r="QEX208" i="38"/>
  <c r="QEW208" i="38"/>
  <c r="QEV208" i="38"/>
  <c r="QEU208" i="38"/>
  <c r="QET208" i="38"/>
  <c r="QES208" i="38"/>
  <c r="QER208" i="38"/>
  <c r="QEQ208" i="38"/>
  <c r="QEP208" i="38"/>
  <c r="QEO208" i="38"/>
  <c r="QEN208" i="38"/>
  <c r="QEM208" i="38"/>
  <c r="QEL208" i="38"/>
  <c r="QEK208" i="38"/>
  <c r="QEJ208" i="38"/>
  <c r="QEI208" i="38"/>
  <c r="QEH208" i="38"/>
  <c r="QEG208" i="38"/>
  <c r="QEF208" i="38"/>
  <c r="QEE208" i="38"/>
  <c r="QED208" i="38"/>
  <c r="QEC208" i="38"/>
  <c r="QEB208" i="38"/>
  <c r="QEA208" i="38"/>
  <c r="QDZ208" i="38"/>
  <c r="QDY208" i="38"/>
  <c r="QDX208" i="38"/>
  <c r="QDW208" i="38"/>
  <c r="QDV208" i="38"/>
  <c r="QDU208" i="38"/>
  <c r="QDT208" i="38"/>
  <c r="QDS208" i="38"/>
  <c r="QDR208" i="38"/>
  <c r="QDQ208" i="38"/>
  <c r="QDP208" i="38"/>
  <c r="QDO208" i="38"/>
  <c r="QDN208" i="38"/>
  <c r="QDM208" i="38"/>
  <c r="QDL208" i="38"/>
  <c r="QDK208" i="38"/>
  <c r="QDJ208" i="38"/>
  <c r="QDI208" i="38"/>
  <c r="QDH208" i="38"/>
  <c r="QDG208" i="38"/>
  <c r="QDF208" i="38"/>
  <c r="QDE208" i="38"/>
  <c r="QDD208" i="38"/>
  <c r="QDC208" i="38"/>
  <c r="QDB208" i="38"/>
  <c r="QDA208" i="38"/>
  <c r="QCZ208" i="38"/>
  <c r="QCY208" i="38"/>
  <c r="QCX208" i="38"/>
  <c r="QCW208" i="38"/>
  <c r="QCV208" i="38"/>
  <c r="QCU208" i="38"/>
  <c r="QCT208" i="38"/>
  <c r="QCS208" i="38"/>
  <c r="QCR208" i="38"/>
  <c r="QCQ208" i="38"/>
  <c r="QCP208" i="38"/>
  <c r="QCO208" i="38"/>
  <c r="QCN208" i="38"/>
  <c r="QCM208" i="38"/>
  <c r="QCL208" i="38"/>
  <c r="QCK208" i="38"/>
  <c r="QCJ208" i="38"/>
  <c r="QCI208" i="38"/>
  <c r="QCH208" i="38"/>
  <c r="QCG208" i="38"/>
  <c r="QCF208" i="38"/>
  <c r="QCE208" i="38"/>
  <c r="QCD208" i="38"/>
  <c r="QCC208" i="38"/>
  <c r="QCB208" i="38"/>
  <c r="QCA208" i="38"/>
  <c r="QBZ208" i="38"/>
  <c r="QBY208" i="38"/>
  <c r="QBX208" i="38"/>
  <c r="QBW208" i="38"/>
  <c r="QBV208" i="38"/>
  <c r="QBU208" i="38"/>
  <c r="QBT208" i="38"/>
  <c r="QBS208" i="38"/>
  <c r="QBR208" i="38"/>
  <c r="QBQ208" i="38"/>
  <c r="QBP208" i="38"/>
  <c r="QBO208" i="38"/>
  <c r="QBN208" i="38"/>
  <c r="QBM208" i="38"/>
  <c r="QBL208" i="38"/>
  <c r="QBK208" i="38"/>
  <c r="QBJ208" i="38"/>
  <c r="QBI208" i="38"/>
  <c r="QBH208" i="38"/>
  <c r="QBG208" i="38"/>
  <c r="QBF208" i="38"/>
  <c r="QBE208" i="38"/>
  <c r="QBD208" i="38"/>
  <c r="QBC208" i="38"/>
  <c r="QBB208" i="38"/>
  <c r="QBA208" i="38"/>
  <c r="QAZ208" i="38"/>
  <c r="QAY208" i="38"/>
  <c r="QAX208" i="38"/>
  <c r="QAW208" i="38"/>
  <c r="QAV208" i="38"/>
  <c r="QAU208" i="38"/>
  <c r="QAT208" i="38"/>
  <c r="QAS208" i="38"/>
  <c r="QAR208" i="38"/>
  <c r="QAQ208" i="38"/>
  <c r="QAP208" i="38"/>
  <c r="QAO208" i="38"/>
  <c r="QAN208" i="38"/>
  <c r="QAM208" i="38"/>
  <c r="QAL208" i="38"/>
  <c r="QAK208" i="38"/>
  <c r="QAJ208" i="38"/>
  <c r="QAI208" i="38"/>
  <c r="QAH208" i="38"/>
  <c r="QAG208" i="38"/>
  <c r="QAF208" i="38"/>
  <c r="QAE208" i="38"/>
  <c r="QAD208" i="38"/>
  <c r="QAC208" i="38"/>
  <c r="QAB208" i="38"/>
  <c r="QAA208" i="38"/>
  <c r="PZZ208" i="38"/>
  <c r="PZY208" i="38"/>
  <c r="PZX208" i="38"/>
  <c r="PZW208" i="38"/>
  <c r="PZV208" i="38"/>
  <c r="PZU208" i="38"/>
  <c r="PZT208" i="38"/>
  <c r="PZS208" i="38"/>
  <c r="PZR208" i="38"/>
  <c r="PZQ208" i="38"/>
  <c r="PZP208" i="38"/>
  <c r="PZO208" i="38"/>
  <c r="PZN208" i="38"/>
  <c r="PZM208" i="38"/>
  <c r="PZL208" i="38"/>
  <c r="PZK208" i="38"/>
  <c r="PZJ208" i="38"/>
  <c r="PZI208" i="38"/>
  <c r="PZH208" i="38"/>
  <c r="PZG208" i="38"/>
  <c r="PZF208" i="38"/>
  <c r="PZE208" i="38"/>
  <c r="PZD208" i="38"/>
  <c r="PZC208" i="38"/>
  <c r="PZB208" i="38"/>
  <c r="PZA208" i="38"/>
  <c r="PYZ208" i="38"/>
  <c r="PYY208" i="38"/>
  <c r="PYX208" i="38"/>
  <c r="PYW208" i="38"/>
  <c r="PYV208" i="38"/>
  <c r="PYU208" i="38"/>
  <c r="PYT208" i="38"/>
  <c r="PYS208" i="38"/>
  <c r="PYR208" i="38"/>
  <c r="PYQ208" i="38"/>
  <c r="PYP208" i="38"/>
  <c r="PYO208" i="38"/>
  <c r="PYN208" i="38"/>
  <c r="PYM208" i="38"/>
  <c r="PYL208" i="38"/>
  <c r="PYK208" i="38"/>
  <c r="PYJ208" i="38"/>
  <c r="PYI208" i="38"/>
  <c r="PYH208" i="38"/>
  <c r="PYG208" i="38"/>
  <c r="PYF208" i="38"/>
  <c r="PYE208" i="38"/>
  <c r="PYD208" i="38"/>
  <c r="PYC208" i="38"/>
  <c r="PYB208" i="38"/>
  <c r="PYA208" i="38"/>
  <c r="PXZ208" i="38"/>
  <c r="PXY208" i="38"/>
  <c r="PXX208" i="38"/>
  <c r="PXW208" i="38"/>
  <c r="PXV208" i="38"/>
  <c r="PXU208" i="38"/>
  <c r="PXT208" i="38"/>
  <c r="PXS208" i="38"/>
  <c r="PXR208" i="38"/>
  <c r="PXQ208" i="38"/>
  <c r="PXP208" i="38"/>
  <c r="PXO208" i="38"/>
  <c r="PXN208" i="38"/>
  <c r="PXM208" i="38"/>
  <c r="PXL208" i="38"/>
  <c r="PXK208" i="38"/>
  <c r="PXJ208" i="38"/>
  <c r="PXI208" i="38"/>
  <c r="PXH208" i="38"/>
  <c r="PXG208" i="38"/>
  <c r="PXF208" i="38"/>
  <c r="PXE208" i="38"/>
  <c r="PXD208" i="38"/>
  <c r="PXC208" i="38"/>
  <c r="PXB208" i="38"/>
  <c r="PXA208" i="38"/>
  <c r="PWZ208" i="38"/>
  <c r="PWY208" i="38"/>
  <c r="PWX208" i="38"/>
  <c r="PWW208" i="38"/>
  <c r="PWV208" i="38"/>
  <c r="PWU208" i="38"/>
  <c r="PWT208" i="38"/>
  <c r="PWS208" i="38"/>
  <c r="PWR208" i="38"/>
  <c r="PWQ208" i="38"/>
  <c r="PWP208" i="38"/>
  <c r="PWO208" i="38"/>
  <c r="PWN208" i="38"/>
  <c r="PWM208" i="38"/>
  <c r="PWL208" i="38"/>
  <c r="PWK208" i="38"/>
  <c r="PWJ208" i="38"/>
  <c r="PWI208" i="38"/>
  <c r="PWH208" i="38"/>
  <c r="PWG208" i="38"/>
  <c r="PWF208" i="38"/>
  <c r="PWE208" i="38"/>
  <c r="PWD208" i="38"/>
  <c r="PWC208" i="38"/>
  <c r="PWB208" i="38"/>
  <c r="PWA208" i="38"/>
  <c r="PVZ208" i="38"/>
  <c r="PVY208" i="38"/>
  <c r="PVX208" i="38"/>
  <c r="PVW208" i="38"/>
  <c r="PVV208" i="38"/>
  <c r="PVU208" i="38"/>
  <c r="PVT208" i="38"/>
  <c r="PVS208" i="38"/>
  <c r="PVR208" i="38"/>
  <c r="PVQ208" i="38"/>
  <c r="PVP208" i="38"/>
  <c r="PVO208" i="38"/>
  <c r="PVN208" i="38"/>
  <c r="PVM208" i="38"/>
  <c r="PVL208" i="38"/>
  <c r="PVK208" i="38"/>
  <c r="PVJ208" i="38"/>
  <c r="PVI208" i="38"/>
  <c r="PVH208" i="38"/>
  <c r="PVG208" i="38"/>
  <c r="PVF208" i="38"/>
  <c r="PVE208" i="38"/>
  <c r="PVD208" i="38"/>
  <c r="PVC208" i="38"/>
  <c r="PVB208" i="38"/>
  <c r="PVA208" i="38"/>
  <c r="PUZ208" i="38"/>
  <c r="PUY208" i="38"/>
  <c r="PUX208" i="38"/>
  <c r="PUW208" i="38"/>
  <c r="PUV208" i="38"/>
  <c r="PUU208" i="38"/>
  <c r="PUT208" i="38"/>
  <c r="PUS208" i="38"/>
  <c r="PUR208" i="38"/>
  <c r="PUQ208" i="38"/>
  <c r="PUP208" i="38"/>
  <c r="PUO208" i="38"/>
  <c r="PUN208" i="38"/>
  <c r="PUM208" i="38"/>
  <c r="PUL208" i="38"/>
  <c r="PUK208" i="38"/>
  <c r="PUJ208" i="38"/>
  <c r="PUI208" i="38"/>
  <c r="PUH208" i="38"/>
  <c r="PUG208" i="38"/>
  <c r="PUF208" i="38"/>
  <c r="PUE208" i="38"/>
  <c r="PUD208" i="38"/>
  <c r="PUC208" i="38"/>
  <c r="PUB208" i="38"/>
  <c r="PUA208" i="38"/>
  <c r="PTZ208" i="38"/>
  <c r="PTY208" i="38"/>
  <c r="PTX208" i="38"/>
  <c r="PTW208" i="38"/>
  <c r="PTV208" i="38"/>
  <c r="PTU208" i="38"/>
  <c r="PTT208" i="38"/>
  <c r="PTS208" i="38"/>
  <c r="PTR208" i="38"/>
  <c r="PTQ208" i="38"/>
  <c r="PTP208" i="38"/>
  <c r="PTO208" i="38"/>
  <c r="PTN208" i="38"/>
  <c r="PTM208" i="38"/>
  <c r="PTL208" i="38"/>
  <c r="PTK208" i="38"/>
  <c r="PTJ208" i="38"/>
  <c r="PTI208" i="38"/>
  <c r="PTH208" i="38"/>
  <c r="PTG208" i="38"/>
  <c r="PTF208" i="38"/>
  <c r="PTE208" i="38"/>
  <c r="PTD208" i="38"/>
  <c r="PTC208" i="38"/>
  <c r="PTB208" i="38"/>
  <c r="PTA208" i="38"/>
  <c r="PSZ208" i="38"/>
  <c r="PSY208" i="38"/>
  <c r="PSX208" i="38"/>
  <c r="PSW208" i="38"/>
  <c r="PSV208" i="38"/>
  <c r="PSU208" i="38"/>
  <c r="PST208" i="38"/>
  <c r="PSS208" i="38"/>
  <c r="PSR208" i="38"/>
  <c r="PSQ208" i="38"/>
  <c r="PSP208" i="38"/>
  <c r="PSO208" i="38"/>
  <c r="PSN208" i="38"/>
  <c r="PSM208" i="38"/>
  <c r="PSL208" i="38"/>
  <c r="PSK208" i="38"/>
  <c r="PSJ208" i="38"/>
  <c r="PSI208" i="38"/>
  <c r="PSH208" i="38"/>
  <c r="PSG208" i="38"/>
  <c r="PSF208" i="38"/>
  <c r="PSE208" i="38"/>
  <c r="PSD208" i="38"/>
  <c r="PSC208" i="38"/>
  <c r="PSB208" i="38"/>
  <c r="PSA208" i="38"/>
  <c r="PRZ208" i="38"/>
  <c r="PRY208" i="38"/>
  <c r="PRX208" i="38"/>
  <c r="PRW208" i="38"/>
  <c r="PRV208" i="38"/>
  <c r="PRU208" i="38"/>
  <c r="PRT208" i="38"/>
  <c r="PRS208" i="38"/>
  <c r="PRR208" i="38"/>
  <c r="PRQ208" i="38"/>
  <c r="PRP208" i="38"/>
  <c r="PRO208" i="38"/>
  <c r="PRN208" i="38"/>
  <c r="PRM208" i="38"/>
  <c r="PRL208" i="38"/>
  <c r="PRK208" i="38"/>
  <c r="PRJ208" i="38"/>
  <c r="PRI208" i="38"/>
  <c r="PRH208" i="38"/>
  <c r="PRG208" i="38"/>
  <c r="PRF208" i="38"/>
  <c r="PRE208" i="38"/>
  <c r="PRD208" i="38"/>
  <c r="PRC208" i="38"/>
  <c r="PRB208" i="38"/>
  <c r="PRA208" i="38"/>
  <c r="PQZ208" i="38"/>
  <c r="PQY208" i="38"/>
  <c r="PQX208" i="38"/>
  <c r="PQW208" i="38"/>
  <c r="PQV208" i="38"/>
  <c r="PQU208" i="38"/>
  <c r="PQT208" i="38"/>
  <c r="PQS208" i="38"/>
  <c r="PQR208" i="38"/>
  <c r="PQQ208" i="38"/>
  <c r="PQP208" i="38"/>
  <c r="PQO208" i="38"/>
  <c r="PQN208" i="38"/>
  <c r="PQM208" i="38"/>
  <c r="PQL208" i="38"/>
  <c r="PQK208" i="38"/>
  <c r="PQJ208" i="38"/>
  <c r="PQI208" i="38"/>
  <c r="PQH208" i="38"/>
  <c r="PQG208" i="38"/>
  <c r="PQF208" i="38"/>
  <c r="PQE208" i="38"/>
  <c r="PQD208" i="38"/>
  <c r="PQC208" i="38"/>
  <c r="PQB208" i="38"/>
  <c r="PQA208" i="38"/>
  <c r="PPZ208" i="38"/>
  <c r="PPY208" i="38"/>
  <c r="PPX208" i="38"/>
  <c r="PPW208" i="38"/>
  <c r="PPV208" i="38"/>
  <c r="PPU208" i="38"/>
  <c r="PPT208" i="38"/>
  <c r="PPS208" i="38"/>
  <c r="PPR208" i="38"/>
  <c r="PPQ208" i="38"/>
  <c r="PPP208" i="38"/>
  <c r="PPO208" i="38"/>
  <c r="PPN208" i="38"/>
  <c r="PPM208" i="38"/>
  <c r="PPL208" i="38"/>
  <c r="PPK208" i="38"/>
  <c r="PPJ208" i="38"/>
  <c r="PPI208" i="38"/>
  <c r="PPH208" i="38"/>
  <c r="PPG208" i="38"/>
  <c r="PPF208" i="38"/>
  <c r="PPE208" i="38"/>
  <c r="PPD208" i="38"/>
  <c r="PPC208" i="38"/>
  <c r="PPB208" i="38"/>
  <c r="PPA208" i="38"/>
  <c r="POZ208" i="38"/>
  <c r="POY208" i="38"/>
  <c r="POX208" i="38"/>
  <c r="POW208" i="38"/>
  <c r="POV208" i="38"/>
  <c r="POU208" i="38"/>
  <c r="POT208" i="38"/>
  <c r="POS208" i="38"/>
  <c r="POR208" i="38"/>
  <c r="POQ208" i="38"/>
  <c r="POP208" i="38"/>
  <c r="POO208" i="38"/>
  <c r="PON208" i="38"/>
  <c r="POM208" i="38"/>
  <c r="POL208" i="38"/>
  <c r="POK208" i="38"/>
  <c r="POJ208" i="38"/>
  <c r="POI208" i="38"/>
  <c r="POH208" i="38"/>
  <c r="POG208" i="38"/>
  <c r="POF208" i="38"/>
  <c r="POE208" i="38"/>
  <c r="POD208" i="38"/>
  <c r="POC208" i="38"/>
  <c r="POB208" i="38"/>
  <c r="POA208" i="38"/>
  <c r="PNZ208" i="38"/>
  <c r="PNY208" i="38"/>
  <c r="PNX208" i="38"/>
  <c r="PNW208" i="38"/>
  <c r="PNV208" i="38"/>
  <c r="PNU208" i="38"/>
  <c r="PNT208" i="38"/>
  <c r="PNS208" i="38"/>
  <c r="PNR208" i="38"/>
  <c r="PNQ208" i="38"/>
  <c r="PNP208" i="38"/>
  <c r="PNO208" i="38"/>
  <c r="PNN208" i="38"/>
  <c r="PNM208" i="38"/>
  <c r="PNL208" i="38"/>
  <c r="PNK208" i="38"/>
  <c r="PNJ208" i="38"/>
  <c r="PNI208" i="38"/>
  <c r="PNH208" i="38"/>
  <c r="PNG208" i="38"/>
  <c r="PNF208" i="38"/>
  <c r="PNE208" i="38"/>
  <c r="PND208" i="38"/>
  <c r="PNC208" i="38"/>
  <c r="PNB208" i="38"/>
  <c r="PNA208" i="38"/>
  <c r="PMZ208" i="38"/>
  <c r="PMY208" i="38"/>
  <c r="PMX208" i="38"/>
  <c r="PMW208" i="38"/>
  <c r="PMV208" i="38"/>
  <c r="PMU208" i="38"/>
  <c r="PMT208" i="38"/>
  <c r="PMS208" i="38"/>
  <c r="PMR208" i="38"/>
  <c r="PMQ208" i="38"/>
  <c r="PMP208" i="38"/>
  <c r="PMO208" i="38"/>
  <c r="PMN208" i="38"/>
  <c r="PMM208" i="38"/>
  <c r="PML208" i="38"/>
  <c r="PMK208" i="38"/>
  <c r="PMJ208" i="38"/>
  <c r="PMI208" i="38"/>
  <c r="PMH208" i="38"/>
  <c r="PMG208" i="38"/>
  <c r="PMF208" i="38"/>
  <c r="PME208" i="38"/>
  <c r="PMD208" i="38"/>
  <c r="PMC208" i="38"/>
  <c r="PMB208" i="38"/>
  <c r="PMA208" i="38"/>
  <c r="PLZ208" i="38"/>
  <c r="PLY208" i="38"/>
  <c r="PLX208" i="38"/>
  <c r="PLW208" i="38"/>
  <c r="PLV208" i="38"/>
  <c r="PLU208" i="38"/>
  <c r="PLT208" i="38"/>
  <c r="PLS208" i="38"/>
  <c r="PLR208" i="38"/>
  <c r="PLQ208" i="38"/>
  <c r="PLP208" i="38"/>
  <c r="PLO208" i="38"/>
  <c r="PLN208" i="38"/>
  <c r="PLM208" i="38"/>
  <c r="PLL208" i="38"/>
  <c r="PLK208" i="38"/>
  <c r="PLJ208" i="38"/>
  <c r="PLI208" i="38"/>
  <c r="PLH208" i="38"/>
  <c r="PLG208" i="38"/>
  <c r="PLF208" i="38"/>
  <c r="PLE208" i="38"/>
  <c r="PLD208" i="38"/>
  <c r="PLC208" i="38"/>
  <c r="PLB208" i="38"/>
  <c r="PLA208" i="38"/>
  <c r="PKZ208" i="38"/>
  <c r="PKY208" i="38"/>
  <c r="PKX208" i="38"/>
  <c r="PKW208" i="38"/>
  <c r="PKV208" i="38"/>
  <c r="PKU208" i="38"/>
  <c r="PKT208" i="38"/>
  <c r="PKS208" i="38"/>
  <c r="PKR208" i="38"/>
  <c r="PKQ208" i="38"/>
  <c r="PKP208" i="38"/>
  <c r="PKO208" i="38"/>
  <c r="PKN208" i="38"/>
  <c r="PKM208" i="38"/>
  <c r="PKL208" i="38"/>
  <c r="PKK208" i="38"/>
  <c r="PKJ208" i="38"/>
  <c r="PKI208" i="38"/>
  <c r="PKH208" i="38"/>
  <c r="PKG208" i="38"/>
  <c r="PKF208" i="38"/>
  <c r="PKE208" i="38"/>
  <c r="PKD208" i="38"/>
  <c r="PKC208" i="38"/>
  <c r="PKB208" i="38"/>
  <c r="PKA208" i="38"/>
  <c r="PJZ208" i="38"/>
  <c r="PJY208" i="38"/>
  <c r="PJX208" i="38"/>
  <c r="PJW208" i="38"/>
  <c r="PJV208" i="38"/>
  <c r="PJU208" i="38"/>
  <c r="PJT208" i="38"/>
  <c r="PJS208" i="38"/>
  <c r="PJR208" i="38"/>
  <c r="PJQ208" i="38"/>
  <c r="PJP208" i="38"/>
  <c r="PJO208" i="38"/>
  <c r="PJN208" i="38"/>
  <c r="PJM208" i="38"/>
  <c r="PJL208" i="38"/>
  <c r="PJK208" i="38"/>
  <c r="PJJ208" i="38"/>
  <c r="PJI208" i="38"/>
  <c r="PJH208" i="38"/>
  <c r="PJG208" i="38"/>
  <c r="PJF208" i="38"/>
  <c r="PJE208" i="38"/>
  <c r="PJD208" i="38"/>
  <c r="PJC208" i="38"/>
  <c r="PJB208" i="38"/>
  <c r="PJA208" i="38"/>
  <c r="PIZ208" i="38"/>
  <c r="PIY208" i="38"/>
  <c r="PIX208" i="38"/>
  <c r="PIW208" i="38"/>
  <c r="PIV208" i="38"/>
  <c r="PIU208" i="38"/>
  <c r="PIT208" i="38"/>
  <c r="PIS208" i="38"/>
  <c r="PIR208" i="38"/>
  <c r="PIQ208" i="38"/>
  <c r="PIP208" i="38"/>
  <c r="PIO208" i="38"/>
  <c r="PIN208" i="38"/>
  <c r="PIM208" i="38"/>
  <c r="PIL208" i="38"/>
  <c r="PIK208" i="38"/>
  <c r="PIJ208" i="38"/>
  <c r="PII208" i="38"/>
  <c r="PIH208" i="38"/>
  <c r="PIG208" i="38"/>
  <c r="PIF208" i="38"/>
  <c r="PIE208" i="38"/>
  <c r="PID208" i="38"/>
  <c r="PIC208" i="38"/>
  <c r="PIB208" i="38"/>
  <c r="PIA208" i="38"/>
  <c r="PHZ208" i="38"/>
  <c r="PHY208" i="38"/>
  <c r="PHX208" i="38"/>
  <c r="PHW208" i="38"/>
  <c r="PHV208" i="38"/>
  <c r="PHU208" i="38"/>
  <c r="PHT208" i="38"/>
  <c r="PHS208" i="38"/>
  <c r="PHR208" i="38"/>
  <c r="PHQ208" i="38"/>
  <c r="PHP208" i="38"/>
  <c r="PHO208" i="38"/>
  <c r="PHN208" i="38"/>
  <c r="PHM208" i="38"/>
  <c r="PHL208" i="38"/>
  <c r="PHK208" i="38"/>
  <c r="PHJ208" i="38"/>
  <c r="PHI208" i="38"/>
  <c r="PHH208" i="38"/>
  <c r="PHG208" i="38"/>
  <c r="PHF208" i="38"/>
  <c r="PHE208" i="38"/>
  <c r="PHD208" i="38"/>
  <c r="PHC208" i="38"/>
  <c r="PHB208" i="38"/>
  <c r="PHA208" i="38"/>
  <c r="PGZ208" i="38"/>
  <c r="PGY208" i="38"/>
  <c r="PGX208" i="38"/>
  <c r="PGW208" i="38"/>
  <c r="PGV208" i="38"/>
  <c r="PGU208" i="38"/>
  <c r="PGT208" i="38"/>
  <c r="PGS208" i="38"/>
  <c r="PGR208" i="38"/>
  <c r="PGQ208" i="38"/>
  <c r="PGP208" i="38"/>
  <c r="PGO208" i="38"/>
  <c r="PGN208" i="38"/>
  <c r="PGM208" i="38"/>
  <c r="PGL208" i="38"/>
  <c r="PGK208" i="38"/>
  <c r="PGJ208" i="38"/>
  <c r="PGI208" i="38"/>
  <c r="PGH208" i="38"/>
  <c r="PGG208" i="38"/>
  <c r="PGF208" i="38"/>
  <c r="PGE208" i="38"/>
  <c r="PGD208" i="38"/>
  <c r="PGC208" i="38"/>
  <c r="PGB208" i="38"/>
  <c r="PGA208" i="38"/>
  <c r="PFZ208" i="38"/>
  <c r="PFY208" i="38"/>
  <c r="PFX208" i="38"/>
  <c r="PFW208" i="38"/>
  <c r="PFV208" i="38"/>
  <c r="PFU208" i="38"/>
  <c r="PFT208" i="38"/>
  <c r="PFS208" i="38"/>
  <c r="PFR208" i="38"/>
  <c r="PFQ208" i="38"/>
  <c r="PFP208" i="38"/>
  <c r="PFO208" i="38"/>
  <c r="PFN208" i="38"/>
  <c r="PFM208" i="38"/>
  <c r="PFL208" i="38"/>
  <c r="PFK208" i="38"/>
  <c r="PFJ208" i="38"/>
  <c r="PFI208" i="38"/>
  <c r="PFH208" i="38"/>
  <c r="PFG208" i="38"/>
  <c r="PFF208" i="38"/>
  <c r="PFE208" i="38"/>
  <c r="PFD208" i="38"/>
  <c r="PFC208" i="38"/>
  <c r="PFB208" i="38"/>
  <c r="PFA208" i="38"/>
  <c r="PEZ208" i="38"/>
  <c r="PEY208" i="38"/>
  <c r="PEX208" i="38"/>
  <c r="PEW208" i="38"/>
  <c r="PEV208" i="38"/>
  <c r="PEU208" i="38"/>
  <c r="PET208" i="38"/>
  <c r="PES208" i="38"/>
  <c r="PER208" i="38"/>
  <c r="PEQ208" i="38"/>
  <c r="PEP208" i="38"/>
  <c r="PEO208" i="38"/>
  <c r="PEN208" i="38"/>
  <c r="PEM208" i="38"/>
  <c r="PEL208" i="38"/>
  <c r="PEK208" i="38"/>
  <c r="PEJ208" i="38"/>
  <c r="PEI208" i="38"/>
  <c r="PEH208" i="38"/>
  <c r="PEG208" i="38"/>
  <c r="PEF208" i="38"/>
  <c r="PEE208" i="38"/>
  <c r="PED208" i="38"/>
  <c r="PEC208" i="38"/>
  <c r="PEB208" i="38"/>
  <c r="PEA208" i="38"/>
  <c r="PDZ208" i="38"/>
  <c r="PDY208" i="38"/>
  <c r="PDX208" i="38"/>
  <c r="PDW208" i="38"/>
  <c r="PDV208" i="38"/>
  <c r="PDU208" i="38"/>
  <c r="PDT208" i="38"/>
  <c r="PDS208" i="38"/>
  <c r="PDR208" i="38"/>
  <c r="PDQ208" i="38"/>
  <c r="PDP208" i="38"/>
  <c r="PDO208" i="38"/>
  <c r="PDN208" i="38"/>
  <c r="PDM208" i="38"/>
  <c r="PDL208" i="38"/>
  <c r="PDK208" i="38"/>
  <c r="PDJ208" i="38"/>
  <c r="PDI208" i="38"/>
  <c r="PDH208" i="38"/>
  <c r="PDG208" i="38"/>
  <c r="PDF208" i="38"/>
  <c r="PDE208" i="38"/>
  <c r="PDD208" i="38"/>
  <c r="PDC208" i="38"/>
  <c r="PDB208" i="38"/>
  <c r="PDA208" i="38"/>
  <c r="PCZ208" i="38"/>
  <c r="PCY208" i="38"/>
  <c r="PCX208" i="38"/>
  <c r="PCW208" i="38"/>
  <c r="PCV208" i="38"/>
  <c r="PCU208" i="38"/>
  <c r="PCT208" i="38"/>
  <c r="PCS208" i="38"/>
  <c r="PCR208" i="38"/>
  <c r="PCQ208" i="38"/>
  <c r="PCP208" i="38"/>
  <c r="PCO208" i="38"/>
  <c r="PCN208" i="38"/>
  <c r="PCM208" i="38"/>
  <c r="PCL208" i="38"/>
  <c r="PCK208" i="38"/>
  <c r="PCJ208" i="38"/>
  <c r="PCI208" i="38"/>
  <c r="PCH208" i="38"/>
  <c r="PCG208" i="38"/>
  <c r="PCF208" i="38"/>
  <c r="PCE208" i="38"/>
  <c r="PCD208" i="38"/>
  <c r="PCC208" i="38"/>
  <c r="PCB208" i="38"/>
  <c r="PCA208" i="38"/>
  <c r="PBZ208" i="38"/>
  <c r="PBY208" i="38"/>
  <c r="PBX208" i="38"/>
  <c r="PBW208" i="38"/>
  <c r="PBV208" i="38"/>
  <c r="PBU208" i="38"/>
  <c r="PBT208" i="38"/>
  <c r="PBS208" i="38"/>
  <c r="PBR208" i="38"/>
  <c r="PBQ208" i="38"/>
  <c r="PBP208" i="38"/>
  <c r="PBO208" i="38"/>
  <c r="PBN208" i="38"/>
  <c r="PBM208" i="38"/>
  <c r="PBL208" i="38"/>
  <c r="PBK208" i="38"/>
  <c r="PBJ208" i="38"/>
  <c r="PBI208" i="38"/>
  <c r="PBH208" i="38"/>
  <c r="PBG208" i="38"/>
  <c r="PBF208" i="38"/>
  <c r="PBE208" i="38"/>
  <c r="PBD208" i="38"/>
  <c r="PBC208" i="38"/>
  <c r="PBB208" i="38"/>
  <c r="PBA208" i="38"/>
  <c r="PAZ208" i="38"/>
  <c r="PAY208" i="38"/>
  <c r="PAX208" i="38"/>
  <c r="PAW208" i="38"/>
  <c r="PAV208" i="38"/>
  <c r="PAU208" i="38"/>
  <c r="PAT208" i="38"/>
  <c r="PAS208" i="38"/>
  <c r="PAR208" i="38"/>
  <c r="PAQ208" i="38"/>
  <c r="PAP208" i="38"/>
  <c r="PAO208" i="38"/>
  <c r="PAN208" i="38"/>
  <c r="PAM208" i="38"/>
  <c r="PAL208" i="38"/>
  <c r="PAK208" i="38"/>
  <c r="PAJ208" i="38"/>
  <c r="PAI208" i="38"/>
  <c r="PAH208" i="38"/>
  <c r="PAG208" i="38"/>
  <c r="PAF208" i="38"/>
  <c r="PAE208" i="38"/>
  <c r="PAD208" i="38"/>
  <c r="PAC208" i="38"/>
  <c r="PAB208" i="38"/>
  <c r="PAA208" i="38"/>
  <c r="OZZ208" i="38"/>
  <c r="OZY208" i="38"/>
  <c r="OZX208" i="38"/>
  <c r="OZW208" i="38"/>
  <c r="OZV208" i="38"/>
  <c r="OZU208" i="38"/>
  <c r="OZT208" i="38"/>
  <c r="OZS208" i="38"/>
  <c r="OZR208" i="38"/>
  <c r="OZQ208" i="38"/>
  <c r="OZP208" i="38"/>
  <c r="OZO208" i="38"/>
  <c r="OZN208" i="38"/>
  <c r="OZM208" i="38"/>
  <c r="OZL208" i="38"/>
  <c r="OZK208" i="38"/>
  <c r="OZJ208" i="38"/>
  <c r="OZI208" i="38"/>
  <c r="OZH208" i="38"/>
  <c r="OZG208" i="38"/>
  <c r="OZF208" i="38"/>
  <c r="OZE208" i="38"/>
  <c r="OZD208" i="38"/>
  <c r="OZC208" i="38"/>
  <c r="OZB208" i="38"/>
  <c r="OZA208" i="38"/>
  <c r="OYZ208" i="38"/>
  <c r="OYY208" i="38"/>
  <c r="OYX208" i="38"/>
  <c r="OYW208" i="38"/>
  <c r="OYV208" i="38"/>
  <c r="OYU208" i="38"/>
  <c r="OYT208" i="38"/>
  <c r="OYS208" i="38"/>
  <c r="OYR208" i="38"/>
  <c r="OYQ208" i="38"/>
  <c r="OYP208" i="38"/>
  <c r="OYO208" i="38"/>
  <c r="OYN208" i="38"/>
  <c r="OYM208" i="38"/>
  <c r="OYL208" i="38"/>
  <c r="OYK208" i="38"/>
  <c r="OYJ208" i="38"/>
  <c r="OYI208" i="38"/>
  <c r="OYH208" i="38"/>
  <c r="OYG208" i="38"/>
  <c r="OYF208" i="38"/>
  <c r="OYE208" i="38"/>
  <c r="OYD208" i="38"/>
  <c r="OYC208" i="38"/>
  <c r="OYB208" i="38"/>
  <c r="OYA208" i="38"/>
  <c r="OXZ208" i="38"/>
  <c r="OXY208" i="38"/>
  <c r="OXX208" i="38"/>
  <c r="OXW208" i="38"/>
  <c r="OXV208" i="38"/>
  <c r="OXU208" i="38"/>
  <c r="OXT208" i="38"/>
  <c r="OXS208" i="38"/>
  <c r="OXR208" i="38"/>
  <c r="OXQ208" i="38"/>
  <c r="OXP208" i="38"/>
  <c r="OXO208" i="38"/>
  <c r="OXN208" i="38"/>
  <c r="OXM208" i="38"/>
  <c r="OXL208" i="38"/>
  <c r="OXK208" i="38"/>
  <c r="OXJ208" i="38"/>
  <c r="OXI208" i="38"/>
  <c r="OXH208" i="38"/>
  <c r="OXG208" i="38"/>
  <c r="OXF208" i="38"/>
  <c r="OXE208" i="38"/>
  <c r="OXD208" i="38"/>
  <c r="OXC208" i="38"/>
  <c r="OXB208" i="38"/>
  <c r="OXA208" i="38"/>
  <c r="OWZ208" i="38"/>
  <c r="OWY208" i="38"/>
  <c r="OWX208" i="38"/>
  <c r="OWW208" i="38"/>
  <c r="OWV208" i="38"/>
  <c r="OWU208" i="38"/>
  <c r="OWT208" i="38"/>
  <c r="OWS208" i="38"/>
  <c r="OWR208" i="38"/>
  <c r="OWQ208" i="38"/>
  <c r="OWP208" i="38"/>
  <c r="OWO208" i="38"/>
  <c r="OWN208" i="38"/>
  <c r="OWM208" i="38"/>
  <c r="OWL208" i="38"/>
  <c r="OWK208" i="38"/>
  <c r="OWJ208" i="38"/>
  <c r="OWI208" i="38"/>
  <c r="OWH208" i="38"/>
  <c r="OWG208" i="38"/>
  <c r="OWF208" i="38"/>
  <c r="OWE208" i="38"/>
  <c r="OWD208" i="38"/>
  <c r="OWC208" i="38"/>
  <c r="OWB208" i="38"/>
  <c r="OWA208" i="38"/>
  <c r="OVZ208" i="38"/>
  <c r="OVY208" i="38"/>
  <c r="OVX208" i="38"/>
  <c r="OVW208" i="38"/>
  <c r="OVV208" i="38"/>
  <c r="OVU208" i="38"/>
  <c r="OVT208" i="38"/>
  <c r="OVS208" i="38"/>
  <c r="OVR208" i="38"/>
  <c r="OVQ208" i="38"/>
  <c r="OVP208" i="38"/>
  <c r="OVO208" i="38"/>
  <c r="OVN208" i="38"/>
  <c r="OVM208" i="38"/>
  <c r="OVL208" i="38"/>
  <c r="OVK208" i="38"/>
  <c r="OVJ208" i="38"/>
  <c r="OVI208" i="38"/>
  <c r="OVH208" i="38"/>
  <c r="OVG208" i="38"/>
  <c r="OVF208" i="38"/>
  <c r="OVE208" i="38"/>
  <c r="OVD208" i="38"/>
  <c r="OVC208" i="38"/>
  <c r="OVB208" i="38"/>
  <c r="OVA208" i="38"/>
  <c r="OUZ208" i="38"/>
  <c r="OUY208" i="38"/>
  <c r="OUX208" i="38"/>
  <c r="OUW208" i="38"/>
  <c r="OUV208" i="38"/>
  <c r="OUU208" i="38"/>
  <c r="OUT208" i="38"/>
  <c r="OUS208" i="38"/>
  <c r="OUR208" i="38"/>
  <c r="OUQ208" i="38"/>
  <c r="OUP208" i="38"/>
  <c r="OUO208" i="38"/>
  <c r="OUN208" i="38"/>
  <c r="OUM208" i="38"/>
  <c r="OUL208" i="38"/>
  <c r="OUK208" i="38"/>
  <c r="OUJ208" i="38"/>
  <c r="OUI208" i="38"/>
  <c r="OUH208" i="38"/>
  <c r="OUG208" i="38"/>
  <c r="OUF208" i="38"/>
  <c r="OUE208" i="38"/>
  <c r="OUD208" i="38"/>
  <c r="OUC208" i="38"/>
  <c r="OUB208" i="38"/>
  <c r="OUA208" i="38"/>
  <c r="OTZ208" i="38"/>
  <c r="OTY208" i="38"/>
  <c r="OTX208" i="38"/>
  <c r="OTW208" i="38"/>
  <c r="OTV208" i="38"/>
  <c r="OTU208" i="38"/>
  <c r="OTT208" i="38"/>
  <c r="OTS208" i="38"/>
  <c r="OTR208" i="38"/>
  <c r="OTQ208" i="38"/>
  <c r="OTP208" i="38"/>
  <c r="OTO208" i="38"/>
  <c r="OTN208" i="38"/>
  <c r="OTM208" i="38"/>
  <c r="OTL208" i="38"/>
  <c r="OTK208" i="38"/>
  <c r="OTJ208" i="38"/>
  <c r="OTI208" i="38"/>
  <c r="OTH208" i="38"/>
  <c r="OTG208" i="38"/>
  <c r="OTF208" i="38"/>
  <c r="OTE208" i="38"/>
  <c r="OTD208" i="38"/>
  <c r="OTC208" i="38"/>
  <c r="OTB208" i="38"/>
  <c r="OTA208" i="38"/>
  <c r="OSZ208" i="38"/>
  <c r="OSY208" i="38"/>
  <c r="OSX208" i="38"/>
  <c r="OSW208" i="38"/>
  <c r="OSV208" i="38"/>
  <c r="OSU208" i="38"/>
  <c r="OST208" i="38"/>
  <c r="OSS208" i="38"/>
  <c r="OSR208" i="38"/>
  <c r="OSQ208" i="38"/>
  <c r="OSP208" i="38"/>
  <c r="OSO208" i="38"/>
  <c r="OSN208" i="38"/>
  <c r="OSM208" i="38"/>
  <c r="OSL208" i="38"/>
  <c r="OSK208" i="38"/>
  <c r="OSJ208" i="38"/>
  <c r="OSI208" i="38"/>
  <c r="OSH208" i="38"/>
  <c r="OSG208" i="38"/>
  <c r="OSF208" i="38"/>
  <c r="OSE208" i="38"/>
  <c r="OSD208" i="38"/>
  <c r="OSC208" i="38"/>
  <c r="OSB208" i="38"/>
  <c r="OSA208" i="38"/>
  <c r="ORZ208" i="38"/>
  <c r="ORY208" i="38"/>
  <c r="ORX208" i="38"/>
  <c r="ORW208" i="38"/>
  <c r="ORV208" i="38"/>
  <c r="ORU208" i="38"/>
  <c r="ORT208" i="38"/>
  <c r="ORS208" i="38"/>
  <c r="ORR208" i="38"/>
  <c r="ORQ208" i="38"/>
  <c r="ORP208" i="38"/>
  <c r="ORO208" i="38"/>
  <c r="ORN208" i="38"/>
  <c r="ORM208" i="38"/>
  <c r="ORL208" i="38"/>
  <c r="ORK208" i="38"/>
  <c r="ORJ208" i="38"/>
  <c r="ORI208" i="38"/>
  <c r="ORH208" i="38"/>
  <c r="ORG208" i="38"/>
  <c r="ORF208" i="38"/>
  <c r="ORE208" i="38"/>
  <c r="ORD208" i="38"/>
  <c r="ORC208" i="38"/>
  <c r="ORB208" i="38"/>
  <c r="ORA208" i="38"/>
  <c r="OQZ208" i="38"/>
  <c r="OQY208" i="38"/>
  <c r="OQX208" i="38"/>
  <c r="OQW208" i="38"/>
  <c r="OQV208" i="38"/>
  <c r="OQU208" i="38"/>
  <c r="OQT208" i="38"/>
  <c r="OQS208" i="38"/>
  <c r="OQR208" i="38"/>
  <c r="OQQ208" i="38"/>
  <c r="OQP208" i="38"/>
  <c r="OQO208" i="38"/>
  <c r="OQN208" i="38"/>
  <c r="OQM208" i="38"/>
  <c r="OQL208" i="38"/>
  <c r="OQK208" i="38"/>
  <c r="OQJ208" i="38"/>
  <c r="OQI208" i="38"/>
  <c r="OQH208" i="38"/>
  <c r="OQG208" i="38"/>
  <c r="OQF208" i="38"/>
  <c r="OQE208" i="38"/>
  <c r="OQD208" i="38"/>
  <c r="OQC208" i="38"/>
  <c r="OQB208" i="38"/>
  <c r="OQA208" i="38"/>
  <c r="OPZ208" i="38"/>
  <c r="OPY208" i="38"/>
  <c r="OPX208" i="38"/>
  <c r="OPW208" i="38"/>
  <c r="OPV208" i="38"/>
  <c r="OPU208" i="38"/>
  <c r="OPT208" i="38"/>
  <c r="OPS208" i="38"/>
  <c r="OPR208" i="38"/>
  <c r="OPQ208" i="38"/>
  <c r="OPP208" i="38"/>
  <c r="OPO208" i="38"/>
  <c r="OPN208" i="38"/>
  <c r="OPM208" i="38"/>
  <c r="OPL208" i="38"/>
  <c r="OPK208" i="38"/>
  <c r="OPJ208" i="38"/>
  <c r="OPI208" i="38"/>
  <c r="OPH208" i="38"/>
  <c r="OPG208" i="38"/>
  <c r="OPF208" i="38"/>
  <c r="OPE208" i="38"/>
  <c r="OPD208" i="38"/>
  <c r="OPC208" i="38"/>
  <c r="OPB208" i="38"/>
  <c r="OPA208" i="38"/>
  <c r="OOZ208" i="38"/>
  <c r="OOY208" i="38"/>
  <c r="OOX208" i="38"/>
  <c r="OOW208" i="38"/>
  <c r="OOV208" i="38"/>
  <c r="OOU208" i="38"/>
  <c r="OOT208" i="38"/>
  <c r="OOS208" i="38"/>
  <c r="OOR208" i="38"/>
  <c r="OOQ208" i="38"/>
  <c r="OOP208" i="38"/>
  <c r="OOO208" i="38"/>
  <c r="OON208" i="38"/>
  <c r="OOM208" i="38"/>
  <c r="OOL208" i="38"/>
  <c r="OOK208" i="38"/>
  <c r="OOJ208" i="38"/>
  <c r="OOI208" i="38"/>
  <c r="OOH208" i="38"/>
  <c r="OOG208" i="38"/>
  <c r="OOF208" i="38"/>
  <c r="OOE208" i="38"/>
  <c r="OOD208" i="38"/>
  <c r="OOC208" i="38"/>
  <c r="OOB208" i="38"/>
  <c r="OOA208" i="38"/>
  <c r="ONZ208" i="38"/>
  <c r="ONY208" i="38"/>
  <c r="ONX208" i="38"/>
  <c r="ONW208" i="38"/>
  <c r="ONV208" i="38"/>
  <c r="ONU208" i="38"/>
  <c r="ONT208" i="38"/>
  <c r="ONS208" i="38"/>
  <c r="ONR208" i="38"/>
  <c r="ONQ208" i="38"/>
  <c r="ONP208" i="38"/>
  <c r="ONO208" i="38"/>
  <c r="ONN208" i="38"/>
  <c r="ONM208" i="38"/>
  <c r="ONL208" i="38"/>
  <c r="ONK208" i="38"/>
  <c r="ONJ208" i="38"/>
  <c r="ONI208" i="38"/>
  <c r="ONH208" i="38"/>
  <c r="ONG208" i="38"/>
  <c r="ONF208" i="38"/>
  <c r="ONE208" i="38"/>
  <c r="OND208" i="38"/>
  <c r="ONC208" i="38"/>
  <c r="ONB208" i="38"/>
  <c r="ONA208" i="38"/>
  <c r="OMZ208" i="38"/>
  <c r="OMY208" i="38"/>
  <c r="OMX208" i="38"/>
  <c r="OMW208" i="38"/>
  <c r="OMV208" i="38"/>
  <c r="OMU208" i="38"/>
  <c r="OMT208" i="38"/>
  <c r="OMS208" i="38"/>
  <c r="OMR208" i="38"/>
  <c r="OMQ208" i="38"/>
  <c r="OMP208" i="38"/>
  <c r="OMO208" i="38"/>
  <c r="OMN208" i="38"/>
  <c r="OMM208" i="38"/>
  <c r="OML208" i="38"/>
  <c r="OMK208" i="38"/>
  <c r="OMJ208" i="38"/>
  <c r="OMI208" i="38"/>
  <c r="OMH208" i="38"/>
  <c r="OMG208" i="38"/>
  <c r="OMF208" i="38"/>
  <c r="OME208" i="38"/>
  <c r="OMD208" i="38"/>
  <c r="OMC208" i="38"/>
  <c r="OMB208" i="38"/>
  <c r="OMA208" i="38"/>
  <c r="OLZ208" i="38"/>
  <c r="OLY208" i="38"/>
  <c r="OLX208" i="38"/>
  <c r="OLW208" i="38"/>
  <c r="OLV208" i="38"/>
  <c r="OLU208" i="38"/>
  <c r="OLT208" i="38"/>
  <c r="OLS208" i="38"/>
  <c r="OLR208" i="38"/>
  <c r="OLQ208" i="38"/>
  <c r="OLP208" i="38"/>
  <c r="OLO208" i="38"/>
  <c r="OLN208" i="38"/>
  <c r="OLM208" i="38"/>
  <c r="OLL208" i="38"/>
  <c r="OLK208" i="38"/>
  <c r="OLJ208" i="38"/>
  <c r="OLI208" i="38"/>
  <c r="OLH208" i="38"/>
  <c r="OLG208" i="38"/>
  <c r="OLF208" i="38"/>
  <c r="OLE208" i="38"/>
  <c r="OLD208" i="38"/>
  <c r="OLC208" i="38"/>
  <c r="OLB208" i="38"/>
  <c r="OLA208" i="38"/>
  <c r="OKZ208" i="38"/>
  <c r="OKY208" i="38"/>
  <c r="OKX208" i="38"/>
  <c r="OKW208" i="38"/>
  <c r="OKV208" i="38"/>
  <c r="OKU208" i="38"/>
  <c r="OKT208" i="38"/>
  <c r="OKS208" i="38"/>
  <c r="OKR208" i="38"/>
  <c r="OKQ208" i="38"/>
  <c r="OKP208" i="38"/>
  <c r="OKO208" i="38"/>
  <c r="OKN208" i="38"/>
  <c r="OKM208" i="38"/>
  <c r="OKL208" i="38"/>
  <c r="OKK208" i="38"/>
  <c r="OKJ208" i="38"/>
  <c r="OKI208" i="38"/>
  <c r="OKH208" i="38"/>
  <c r="OKG208" i="38"/>
  <c r="OKF208" i="38"/>
  <c r="OKE208" i="38"/>
  <c r="OKD208" i="38"/>
  <c r="OKC208" i="38"/>
  <c r="OKB208" i="38"/>
  <c r="OKA208" i="38"/>
  <c r="OJZ208" i="38"/>
  <c r="OJY208" i="38"/>
  <c r="OJX208" i="38"/>
  <c r="OJW208" i="38"/>
  <c r="OJV208" i="38"/>
  <c r="OJU208" i="38"/>
  <c r="OJT208" i="38"/>
  <c r="OJS208" i="38"/>
  <c r="OJR208" i="38"/>
  <c r="OJQ208" i="38"/>
  <c r="OJP208" i="38"/>
  <c r="OJO208" i="38"/>
  <c r="OJN208" i="38"/>
  <c r="OJM208" i="38"/>
  <c r="OJL208" i="38"/>
  <c r="OJK208" i="38"/>
  <c r="OJJ208" i="38"/>
  <c r="OJI208" i="38"/>
  <c r="OJH208" i="38"/>
  <c r="OJG208" i="38"/>
  <c r="OJF208" i="38"/>
  <c r="OJE208" i="38"/>
  <c r="OJD208" i="38"/>
  <c r="OJC208" i="38"/>
  <c r="OJB208" i="38"/>
  <c r="OJA208" i="38"/>
  <c r="OIZ208" i="38"/>
  <c r="OIY208" i="38"/>
  <c r="OIX208" i="38"/>
  <c r="OIW208" i="38"/>
  <c r="OIV208" i="38"/>
  <c r="OIU208" i="38"/>
  <c r="OIT208" i="38"/>
  <c r="OIS208" i="38"/>
  <c r="OIR208" i="38"/>
  <c r="OIQ208" i="38"/>
  <c r="OIP208" i="38"/>
  <c r="OIO208" i="38"/>
  <c r="OIN208" i="38"/>
  <c r="OIM208" i="38"/>
  <c r="OIL208" i="38"/>
  <c r="OIK208" i="38"/>
  <c r="OIJ208" i="38"/>
  <c r="OII208" i="38"/>
  <c r="OIH208" i="38"/>
  <c r="OIG208" i="38"/>
  <c r="OIF208" i="38"/>
  <c r="OIE208" i="38"/>
  <c r="OID208" i="38"/>
  <c r="OIC208" i="38"/>
  <c r="OIB208" i="38"/>
  <c r="OIA208" i="38"/>
  <c r="OHZ208" i="38"/>
  <c r="OHY208" i="38"/>
  <c r="OHX208" i="38"/>
  <c r="OHW208" i="38"/>
  <c r="OHV208" i="38"/>
  <c r="OHU208" i="38"/>
  <c r="OHT208" i="38"/>
  <c r="OHS208" i="38"/>
  <c r="OHR208" i="38"/>
  <c r="OHQ208" i="38"/>
  <c r="OHP208" i="38"/>
  <c r="OHO208" i="38"/>
  <c r="OHN208" i="38"/>
  <c r="OHM208" i="38"/>
  <c r="OHL208" i="38"/>
  <c r="OHK208" i="38"/>
  <c r="OHJ208" i="38"/>
  <c r="OHI208" i="38"/>
  <c r="OHH208" i="38"/>
  <c r="OHG208" i="38"/>
  <c r="OHF208" i="38"/>
  <c r="OHE208" i="38"/>
  <c r="OHD208" i="38"/>
  <c r="OHC208" i="38"/>
  <c r="OHB208" i="38"/>
  <c r="OHA208" i="38"/>
  <c r="OGZ208" i="38"/>
  <c r="OGY208" i="38"/>
  <c r="OGX208" i="38"/>
  <c r="OGW208" i="38"/>
  <c r="OGV208" i="38"/>
  <c r="OGU208" i="38"/>
  <c r="OGT208" i="38"/>
  <c r="OGS208" i="38"/>
  <c r="OGR208" i="38"/>
  <c r="OGQ208" i="38"/>
  <c r="OGP208" i="38"/>
  <c r="OGO208" i="38"/>
  <c r="OGN208" i="38"/>
  <c r="OGM208" i="38"/>
  <c r="OGL208" i="38"/>
  <c r="OGK208" i="38"/>
  <c r="OGJ208" i="38"/>
  <c r="OGI208" i="38"/>
  <c r="OGH208" i="38"/>
  <c r="OGG208" i="38"/>
  <c r="OGF208" i="38"/>
  <c r="OGE208" i="38"/>
  <c r="OGD208" i="38"/>
  <c r="OGC208" i="38"/>
  <c r="OGB208" i="38"/>
  <c r="OGA208" i="38"/>
  <c r="OFZ208" i="38"/>
  <c r="OFY208" i="38"/>
  <c r="OFX208" i="38"/>
  <c r="OFW208" i="38"/>
  <c r="OFV208" i="38"/>
  <c r="OFU208" i="38"/>
  <c r="OFT208" i="38"/>
  <c r="OFS208" i="38"/>
  <c r="OFR208" i="38"/>
  <c r="OFQ208" i="38"/>
  <c r="OFP208" i="38"/>
  <c r="OFO208" i="38"/>
  <c r="OFN208" i="38"/>
  <c r="OFM208" i="38"/>
  <c r="OFL208" i="38"/>
  <c r="OFK208" i="38"/>
  <c r="OFJ208" i="38"/>
  <c r="OFI208" i="38"/>
  <c r="OFH208" i="38"/>
  <c r="OFG208" i="38"/>
  <c r="OFF208" i="38"/>
  <c r="OFE208" i="38"/>
  <c r="OFD208" i="38"/>
  <c r="OFC208" i="38"/>
  <c r="OFB208" i="38"/>
  <c r="OFA208" i="38"/>
  <c r="OEZ208" i="38"/>
  <c r="OEY208" i="38"/>
  <c r="OEX208" i="38"/>
  <c r="OEW208" i="38"/>
  <c r="OEV208" i="38"/>
  <c r="OEU208" i="38"/>
  <c r="OET208" i="38"/>
  <c r="OES208" i="38"/>
  <c r="OER208" i="38"/>
  <c r="OEQ208" i="38"/>
  <c r="OEP208" i="38"/>
  <c r="OEO208" i="38"/>
  <c r="OEN208" i="38"/>
  <c r="OEM208" i="38"/>
  <c r="OEL208" i="38"/>
  <c r="OEK208" i="38"/>
  <c r="OEJ208" i="38"/>
  <c r="OEI208" i="38"/>
  <c r="OEH208" i="38"/>
  <c r="OEG208" i="38"/>
  <c r="OEF208" i="38"/>
  <c r="OEE208" i="38"/>
  <c r="OED208" i="38"/>
  <c r="OEC208" i="38"/>
  <c r="OEB208" i="38"/>
  <c r="OEA208" i="38"/>
  <c r="ODZ208" i="38"/>
  <c r="ODY208" i="38"/>
  <c r="ODX208" i="38"/>
  <c r="ODW208" i="38"/>
  <c r="ODV208" i="38"/>
  <c r="ODU208" i="38"/>
  <c r="ODT208" i="38"/>
  <c r="ODS208" i="38"/>
  <c r="ODR208" i="38"/>
  <c r="ODQ208" i="38"/>
  <c r="ODP208" i="38"/>
  <c r="ODO208" i="38"/>
  <c r="ODN208" i="38"/>
  <c r="ODM208" i="38"/>
  <c r="ODL208" i="38"/>
  <c r="ODK208" i="38"/>
  <c r="ODJ208" i="38"/>
  <c r="ODI208" i="38"/>
  <c r="ODH208" i="38"/>
  <c r="ODG208" i="38"/>
  <c r="ODF208" i="38"/>
  <c r="ODE208" i="38"/>
  <c r="ODD208" i="38"/>
  <c r="ODC208" i="38"/>
  <c r="ODB208" i="38"/>
  <c r="ODA208" i="38"/>
  <c r="OCZ208" i="38"/>
  <c r="OCY208" i="38"/>
  <c r="OCX208" i="38"/>
  <c r="OCW208" i="38"/>
  <c r="OCV208" i="38"/>
  <c r="OCU208" i="38"/>
  <c r="OCT208" i="38"/>
  <c r="OCS208" i="38"/>
  <c r="OCR208" i="38"/>
  <c r="OCQ208" i="38"/>
  <c r="OCP208" i="38"/>
  <c r="OCO208" i="38"/>
  <c r="OCN208" i="38"/>
  <c r="OCM208" i="38"/>
  <c r="OCL208" i="38"/>
  <c r="OCK208" i="38"/>
  <c r="OCJ208" i="38"/>
  <c r="OCI208" i="38"/>
  <c r="OCH208" i="38"/>
  <c r="OCG208" i="38"/>
  <c r="OCF208" i="38"/>
  <c r="OCE208" i="38"/>
  <c r="OCD208" i="38"/>
  <c r="OCC208" i="38"/>
  <c r="OCB208" i="38"/>
  <c r="OCA208" i="38"/>
  <c r="OBZ208" i="38"/>
  <c r="OBY208" i="38"/>
  <c r="OBX208" i="38"/>
  <c r="OBW208" i="38"/>
  <c r="OBV208" i="38"/>
  <c r="OBU208" i="38"/>
  <c r="OBT208" i="38"/>
  <c r="OBS208" i="38"/>
  <c r="OBR208" i="38"/>
  <c r="OBQ208" i="38"/>
  <c r="OBP208" i="38"/>
  <c r="OBO208" i="38"/>
  <c r="OBN208" i="38"/>
  <c r="OBM208" i="38"/>
  <c r="OBL208" i="38"/>
  <c r="OBK208" i="38"/>
  <c r="OBJ208" i="38"/>
  <c r="OBI208" i="38"/>
  <c r="OBH208" i="38"/>
  <c r="OBG208" i="38"/>
  <c r="OBF208" i="38"/>
  <c r="OBE208" i="38"/>
  <c r="OBD208" i="38"/>
  <c r="OBC208" i="38"/>
  <c r="OBB208" i="38"/>
  <c r="OBA208" i="38"/>
  <c r="OAZ208" i="38"/>
  <c r="OAY208" i="38"/>
  <c r="OAX208" i="38"/>
  <c r="OAW208" i="38"/>
  <c r="OAV208" i="38"/>
  <c r="OAU208" i="38"/>
  <c r="OAT208" i="38"/>
  <c r="OAS208" i="38"/>
  <c r="OAR208" i="38"/>
  <c r="OAQ208" i="38"/>
  <c r="OAP208" i="38"/>
  <c r="OAO208" i="38"/>
  <c r="OAN208" i="38"/>
  <c r="OAM208" i="38"/>
  <c r="OAL208" i="38"/>
  <c r="OAK208" i="38"/>
  <c r="OAJ208" i="38"/>
  <c r="OAI208" i="38"/>
  <c r="OAH208" i="38"/>
  <c r="OAG208" i="38"/>
  <c r="OAF208" i="38"/>
  <c r="OAE208" i="38"/>
  <c r="OAD208" i="38"/>
  <c r="OAC208" i="38"/>
  <c r="OAB208" i="38"/>
  <c r="OAA208" i="38"/>
  <c r="NZZ208" i="38"/>
  <c r="NZY208" i="38"/>
  <c r="NZX208" i="38"/>
  <c r="NZW208" i="38"/>
  <c r="NZV208" i="38"/>
  <c r="NZU208" i="38"/>
  <c r="NZT208" i="38"/>
  <c r="NZS208" i="38"/>
  <c r="NZR208" i="38"/>
  <c r="NZQ208" i="38"/>
  <c r="NZP208" i="38"/>
  <c r="NZO208" i="38"/>
  <c r="NZN208" i="38"/>
  <c r="NZM208" i="38"/>
  <c r="NZL208" i="38"/>
  <c r="NZK208" i="38"/>
  <c r="NZJ208" i="38"/>
  <c r="NZI208" i="38"/>
  <c r="NZH208" i="38"/>
  <c r="NZG208" i="38"/>
  <c r="NZF208" i="38"/>
  <c r="NZE208" i="38"/>
  <c r="NZD208" i="38"/>
  <c r="NZC208" i="38"/>
  <c r="NZB208" i="38"/>
  <c r="NZA208" i="38"/>
  <c r="NYZ208" i="38"/>
  <c r="NYY208" i="38"/>
  <c r="NYX208" i="38"/>
  <c r="NYW208" i="38"/>
  <c r="NYV208" i="38"/>
  <c r="NYU208" i="38"/>
  <c r="NYT208" i="38"/>
  <c r="NYS208" i="38"/>
  <c r="NYR208" i="38"/>
  <c r="NYQ208" i="38"/>
  <c r="NYP208" i="38"/>
  <c r="NYO208" i="38"/>
  <c r="NYN208" i="38"/>
  <c r="NYM208" i="38"/>
  <c r="NYL208" i="38"/>
  <c r="NYK208" i="38"/>
  <c r="NYJ208" i="38"/>
  <c r="NYI208" i="38"/>
  <c r="NYH208" i="38"/>
  <c r="NYG208" i="38"/>
  <c r="NYF208" i="38"/>
  <c r="NYE208" i="38"/>
  <c r="NYD208" i="38"/>
  <c r="NYC208" i="38"/>
  <c r="NYB208" i="38"/>
  <c r="NYA208" i="38"/>
  <c r="NXZ208" i="38"/>
  <c r="NXY208" i="38"/>
  <c r="NXX208" i="38"/>
  <c r="NXW208" i="38"/>
  <c r="NXV208" i="38"/>
  <c r="NXU208" i="38"/>
  <c r="NXT208" i="38"/>
  <c r="NXS208" i="38"/>
  <c r="NXR208" i="38"/>
  <c r="NXQ208" i="38"/>
  <c r="NXP208" i="38"/>
  <c r="NXO208" i="38"/>
  <c r="NXN208" i="38"/>
  <c r="NXM208" i="38"/>
  <c r="NXL208" i="38"/>
  <c r="NXK208" i="38"/>
  <c r="NXJ208" i="38"/>
  <c r="NXI208" i="38"/>
  <c r="NXH208" i="38"/>
  <c r="NXG208" i="38"/>
  <c r="NXF208" i="38"/>
  <c r="NXE208" i="38"/>
  <c r="NXD208" i="38"/>
  <c r="NXC208" i="38"/>
  <c r="NXB208" i="38"/>
  <c r="NXA208" i="38"/>
  <c r="NWZ208" i="38"/>
  <c r="NWY208" i="38"/>
  <c r="NWX208" i="38"/>
  <c r="NWW208" i="38"/>
  <c r="NWV208" i="38"/>
  <c r="NWU208" i="38"/>
  <c r="NWT208" i="38"/>
  <c r="NWS208" i="38"/>
  <c r="NWR208" i="38"/>
  <c r="NWQ208" i="38"/>
  <c r="NWP208" i="38"/>
  <c r="NWO208" i="38"/>
  <c r="NWN208" i="38"/>
  <c r="NWM208" i="38"/>
  <c r="NWL208" i="38"/>
  <c r="NWK208" i="38"/>
  <c r="NWJ208" i="38"/>
  <c r="NWI208" i="38"/>
  <c r="NWH208" i="38"/>
  <c r="NWG208" i="38"/>
  <c r="NWF208" i="38"/>
  <c r="NWE208" i="38"/>
  <c r="NWD208" i="38"/>
  <c r="NWC208" i="38"/>
  <c r="NWB208" i="38"/>
  <c r="NWA208" i="38"/>
  <c r="NVZ208" i="38"/>
  <c r="NVY208" i="38"/>
  <c r="NVX208" i="38"/>
  <c r="NVW208" i="38"/>
  <c r="NVV208" i="38"/>
  <c r="NVU208" i="38"/>
  <c r="NVT208" i="38"/>
  <c r="NVS208" i="38"/>
  <c r="NVR208" i="38"/>
  <c r="NVQ208" i="38"/>
  <c r="NVP208" i="38"/>
  <c r="NVO208" i="38"/>
  <c r="NVN208" i="38"/>
  <c r="NVM208" i="38"/>
  <c r="NVL208" i="38"/>
  <c r="NVK208" i="38"/>
  <c r="NVJ208" i="38"/>
  <c r="NVI208" i="38"/>
  <c r="NVH208" i="38"/>
  <c r="NVG208" i="38"/>
  <c r="NVF208" i="38"/>
  <c r="NVE208" i="38"/>
  <c r="NVD208" i="38"/>
  <c r="NVC208" i="38"/>
  <c r="NVB208" i="38"/>
  <c r="NVA208" i="38"/>
  <c r="NUZ208" i="38"/>
  <c r="NUY208" i="38"/>
  <c r="NUX208" i="38"/>
  <c r="NUW208" i="38"/>
  <c r="NUV208" i="38"/>
  <c r="NUU208" i="38"/>
  <c r="NUT208" i="38"/>
  <c r="NUS208" i="38"/>
  <c r="NUR208" i="38"/>
  <c r="NUQ208" i="38"/>
  <c r="NUP208" i="38"/>
  <c r="NUO208" i="38"/>
  <c r="NUN208" i="38"/>
  <c r="NUM208" i="38"/>
  <c r="NUL208" i="38"/>
  <c r="NUK208" i="38"/>
  <c r="NUJ208" i="38"/>
  <c r="NUI208" i="38"/>
  <c r="NUH208" i="38"/>
  <c r="NUG208" i="38"/>
  <c r="NUF208" i="38"/>
  <c r="NUE208" i="38"/>
  <c r="NUD208" i="38"/>
  <c r="NUC208" i="38"/>
  <c r="NUB208" i="38"/>
  <c r="NUA208" i="38"/>
  <c r="NTZ208" i="38"/>
  <c r="NTY208" i="38"/>
  <c r="NTX208" i="38"/>
  <c r="NTW208" i="38"/>
  <c r="NTV208" i="38"/>
  <c r="NTU208" i="38"/>
  <c r="NTT208" i="38"/>
  <c r="NTS208" i="38"/>
  <c r="NTR208" i="38"/>
  <c r="NTQ208" i="38"/>
  <c r="NTP208" i="38"/>
  <c r="NTO208" i="38"/>
  <c r="NTN208" i="38"/>
  <c r="NTM208" i="38"/>
  <c r="NTL208" i="38"/>
  <c r="NTK208" i="38"/>
  <c r="NTJ208" i="38"/>
  <c r="NTI208" i="38"/>
  <c r="NTH208" i="38"/>
  <c r="NTG208" i="38"/>
  <c r="NTF208" i="38"/>
  <c r="NTE208" i="38"/>
  <c r="NTD208" i="38"/>
  <c r="NTC208" i="38"/>
  <c r="NTB208" i="38"/>
  <c r="NTA208" i="38"/>
  <c r="NSZ208" i="38"/>
  <c r="NSY208" i="38"/>
  <c r="NSX208" i="38"/>
  <c r="NSW208" i="38"/>
  <c r="NSV208" i="38"/>
  <c r="NSU208" i="38"/>
  <c r="NST208" i="38"/>
  <c r="NSS208" i="38"/>
  <c r="NSR208" i="38"/>
  <c r="NSQ208" i="38"/>
  <c r="NSP208" i="38"/>
  <c r="NSO208" i="38"/>
  <c r="NSN208" i="38"/>
  <c r="NSM208" i="38"/>
  <c r="NSL208" i="38"/>
  <c r="NSK208" i="38"/>
  <c r="NSJ208" i="38"/>
  <c r="NSI208" i="38"/>
  <c r="NSH208" i="38"/>
  <c r="NSG208" i="38"/>
  <c r="NSF208" i="38"/>
  <c r="NSE208" i="38"/>
  <c r="NSD208" i="38"/>
  <c r="NSC208" i="38"/>
  <c r="NSB208" i="38"/>
  <c r="NSA208" i="38"/>
  <c r="NRZ208" i="38"/>
  <c r="NRY208" i="38"/>
  <c r="NRX208" i="38"/>
  <c r="NRW208" i="38"/>
  <c r="NRV208" i="38"/>
  <c r="NRU208" i="38"/>
  <c r="NRT208" i="38"/>
  <c r="NRS208" i="38"/>
  <c r="NRR208" i="38"/>
  <c r="NRQ208" i="38"/>
  <c r="NRP208" i="38"/>
  <c r="NRO208" i="38"/>
  <c r="NRN208" i="38"/>
  <c r="NRM208" i="38"/>
  <c r="NRL208" i="38"/>
  <c r="NRK208" i="38"/>
  <c r="NRJ208" i="38"/>
  <c r="NRI208" i="38"/>
  <c r="NRH208" i="38"/>
  <c r="NRG208" i="38"/>
  <c r="NRF208" i="38"/>
  <c r="NRE208" i="38"/>
  <c r="NRD208" i="38"/>
  <c r="NRC208" i="38"/>
  <c r="NRB208" i="38"/>
  <c r="NRA208" i="38"/>
  <c r="NQZ208" i="38"/>
  <c r="NQY208" i="38"/>
  <c r="NQX208" i="38"/>
  <c r="NQW208" i="38"/>
  <c r="NQV208" i="38"/>
  <c r="NQU208" i="38"/>
  <c r="NQT208" i="38"/>
  <c r="NQS208" i="38"/>
  <c r="NQR208" i="38"/>
  <c r="NQQ208" i="38"/>
  <c r="NQP208" i="38"/>
  <c r="NQO208" i="38"/>
  <c r="NQN208" i="38"/>
  <c r="NQM208" i="38"/>
  <c r="NQL208" i="38"/>
  <c r="NQK208" i="38"/>
  <c r="NQJ208" i="38"/>
  <c r="NQI208" i="38"/>
  <c r="NQH208" i="38"/>
  <c r="NQG208" i="38"/>
  <c r="NQF208" i="38"/>
  <c r="NQE208" i="38"/>
  <c r="NQD208" i="38"/>
  <c r="NQC208" i="38"/>
  <c r="NQB208" i="38"/>
  <c r="NQA208" i="38"/>
  <c r="NPZ208" i="38"/>
  <c r="NPY208" i="38"/>
  <c r="NPX208" i="38"/>
  <c r="NPW208" i="38"/>
  <c r="NPV208" i="38"/>
  <c r="NPU208" i="38"/>
  <c r="NPT208" i="38"/>
  <c r="NPS208" i="38"/>
  <c r="NPR208" i="38"/>
  <c r="NPQ208" i="38"/>
  <c r="NPP208" i="38"/>
  <c r="NPO208" i="38"/>
  <c r="NPN208" i="38"/>
  <c r="NPM208" i="38"/>
  <c r="NPL208" i="38"/>
  <c r="NPK208" i="38"/>
  <c r="NPJ208" i="38"/>
  <c r="NPI208" i="38"/>
  <c r="NPH208" i="38"/>
  <c r="NPG208" i="38"/>
  <c r="NPF208" i="38"/>
  <c r="NPE208" i="38"/>
  <c r="NPD208" i="38"/>
  <c r="NPC208" i="38"/>
  <c r="NPB208" i="38"/>
  <c r="NPA208" i="38"/>
  <c r="NOZ208" i="38"/>
  <c r="NOY208" i="38"/>
  <c r="NOX208" i="38"/>
  <c r="NOW208" i="38"/>
  <c r="NOV208" i="38"/>
  <c r="NOU208" i="38"/>
  <c r="NOT208" i="38"/>
  <c r="NOS208" i="38"/>
  <c r="NOR208" i="38"/>
  <c r="NOQ208" i="38"/>
  <c r="NOP208" i="38"/>
  <c r="NOO208" i="38"/>
  <c r="NON208" i="38"/>
  <c r="NOM208" i="38"/>
  <c r="NOL208" i="38"/>
  <c r="NOK208" i="38"/>
  <c r="NOJ208" i="38"/>
  <c r="NOI208" i="38"/>
  <c r="NOH208" i="38"/>
  <c r="NOG208" i="38"/>
  <c r="NOF208" i="38"/>
  <c r="NOE208" i="38"/>
  <c r="NOD208" i="38"/>
  <c r="NOC208" i="38"/>
  <c r="NOB208" i="38"/>
  <c r="NOA208" i="38"/>
  <c r="NNZ208" i="38"/>
  <c r="NNY208" i="38"/>
  <c r="NNX208" i="38"/>
  <c r="NNW208" i="38"/>
  <c r="NNV208" i="38"/>
  <c r="NNU208" i="38"/>
  <c r="NNT208" i="38"/>
  <c r="NNS208" i="38"/>
  <c r="NNR208" i="38"/>
  <c r="NNQ208" i="38"/>
  <c r="NNP208" i="38"/>
  <c r="NNO208" i="38"/>
  <c r="NNN208" i="38"/>
  <c r="NNM208" i="38"/>
  <c r="NNL208" i="38"/>
  <c r="NNK208" i="38"/>
  <c r="NNJ208" i="38"/>
  <c r="NNI208" i="38"/>
  <c r="NNH208" i="38"/>
  <c r="NNG208" i="38"/>
  <c r="NNF208" i="38"/>
  <c r="NNE208" i="38"/>
  <c r="NND208" i="38"/>
  <c r="NNC208" i="38"/>
  <c r="NNB208" i="38"/>
  <c r="NNA208" i="38"/>
  <c r="NMZ208" i="38"/>
  <c r="NMY208" i="38"/>
  <c r="NMX208" i="38"/>
  <c r="NMW208" i="38"/>
  <c r="NMV208" i="38"/>
  <c r="NMU208" i="38"/>
  <c r="NMT208" i="38"/>
  <c r="NMS208" i="38"/>
  <c r="NMR208" i="38"/>
  <c r="NMQ208" i="38"/>
  <c r="NMP208" i="38"/>
  <c r="NMO208" i="38"/>
  <c r="NMN208" i="38"/>
  <c r="NMM208" i="38"/>
  <c r="NML208" i="38"/>
  <c r="NMK208" i="38"/>
  <c r="NMJ208" i="38"/>
  <c r="NMI208" i="38"/>
  <c r="NMH208" i="38"/>
  <c r="NMG208" i="38"/>
  <c r="NMF208" i="38"/>
  <c r="NME208" i="38"/>
  <c r="NMD208" i="38"/>
  <c r="NMC208" i="38"/>
  <c r="NMB208" i="38"/>
  <c r="NMA208" i="38"/>
  <c r="NLZ208" i="38"/>
  <c r="NLY208" i="38"/>
  <c r="NLX208" i="38"/>
  <c r="NLW208" i="38"/>
  <c r="NLV208" i="38"/>
  <c r="NLU208" i="38"/>
  <c r="NLT208" i="38"/>
  <c r="NLS208" i="38"/>
  <c r="NLR208" i="38"/>
  <c r="NLQ208" i="38"/>
  <c r="NLP208" i="38"/>
  <c r="NLO208" i="38"/>
  <c r="NLN208" i="38"/>
  <c r="NLM208" i="38"/>
  <c r="NLL208" i="38"/>
  <c r="NLK208" i="38"/>
  <c r="NLJ208" i="38"/>
  <c r="NLI208" i="38"/>
  <c r="NLH208" i="38"/>
  <c r="NLG208" i="38"/>
  <c r="NLF208" i="38"/>
  <c r="NLE208" i="38"/>
  <c r="NLD208" i="38"/>
  <c r="NLC208" i="38"/>
  <c r="NLB208" i="38"/>
  <c r="NLA208" i="38"/>
  <c r="NKZ208" i="38"/>
  <c r="NKY208" i="38"/>
  <c r="NKX208" i="38"/>
  <c r="NKW208" i="38"/>
  <c r="NKV208" i="38"/>
  <c r="NKU208" i="38"/>
  <c r="NKT208" i="38"/>
  <c r="NKS208" i="38"/>
  <c r="NKR208" i="38"/>
  <c r="NKQ208" i="38"/>
  <c r="NKP208" i="38"/>
  <c r="NKO208" i="38"/>
  <c r="NKN208" i="38"/>
  <c r="NKM208" i="38"/>
  <c r="NKL208" i="38"/>
  <c r="NKK208" i="38"/>
  <c r="NKJ208" i="38"/>
  <c r="NKI208" i="38"/>
  <c r="NKH208" i="38"/>
  <c r="NKG208" i="38"/>
  <c r="NKF208" i="38"/>
  <c r="NKE208" i="38"/>
  <c r="NKD208" i="38"/>
  <c r="NKC208" i="38"/>
  <c r="NKB208" i="38"/>
  <c r="NKA208" i="38"/>
  <c r="NJZ208" i="38"/>
  <c r="NJY208" i="38"/>
  <c r="NJX208" i="38"/>
  <c r="NJW208" i="38"/>
  <c r="NJV208" i="38"/>
  <c r="NJU208" i="38"/>
  <c r="NJT208" i="38"/>
  <c r="NJS208" i="38"/>
  <c r="NJR208" i="38"/>
  <c r="NJQ208" i="38"/>
  <c r="NJP208" i="38"/>
  <c r="NJO208" i="38"/>
  <c r="NJN208" i="38"/>
  <c r="NJM208" i="38"/>
  <c r="NJL208" i="38"/>
  <c r="NJK208" i="38"/>
  <c r="NJJ208" i="38"/>
  <c r="NJI208" i="38"/>
  <c r="NJH208" i="38"/>
  <c r="NJG208" i="38"/>
  <c r="NJF208" i="38"/>
  <c r="NJE208" i="38"/>
  <c r="NJD208" i="38"/>
  <c r="NJC208" i="38"/>
  <c r="NJB208" i="38"/>
  <c r="NJA208" i="38"/>
  <c r="NIZ208" i="38"/>
  <c r="NIY208" i="38"/>
  <c r="NIX208" i="38"/>
  <c r="NIW208" i="38"/>
  <c r="NIV208" i="38"/>
  <c r="NIU208" i="38"/>
  <c r="NIT208" i="38"/>
  <c r="NIS208" i="38"/>
  <c r="NIR208" i="38"/>
  <c r="NIQ208" i="38"/>
  <c r="NIP208" i="38"/>
  <c r="NIO208" i="38"/>
  <c r="NIN208" i="38"/>
  <c r="NIM208" i="38"/>
  <c r="NIL208" i="38"/>
  <c r="NIK208" i="38"/>
  <c r="NIJ208" i="38"/>
  <c r="NII208" i="38"/>
  <c r="NIH208" i="38"/>
  <c r="NIG208" i="38"/>
  <c r="NIF208" i="38"/>
  <c r="NIE208" i="38"/>
  <c r="NID208" i="38"/>
  <c r="NIC208" i="38"/>
  <c r="NIB208" i="38"/>
  <c r="NIA208" i="38"/>
  <c r="NHZ208" i="38"/>
  <c r="NHY208" i="38"/>
  <c r="NHX208" i="38"/>
  <c r="NHW208" i="38"/>
  <c r="NHV208" i="38"/>
  <c r="NHU208" i="38"/>
  <c r="NHT208" i="38"/>
  <c r="NHS208" i="38"/>
  <c r="NHR208" i="38"/>
  <c r="NHQ208" i="38"/>
  <c r="NHP208" i="38"/>
  <c r="NHO208" i="38"/>
  <c r="NHN208" i="38"/>
  <c r="NHM208" i="38"/>
  <c r="NHL208" i="38"/>
  <c r="NHK208" i="38"/>
  <c r="NHJ208" i="38"/>
  <c r="NHI208" i="38"/>
  <c r="NHH208" i="38"/>
  <c r="NHG208" i="38"/>
  <c r="NHF208" i="38"/>
  <c r="NHE208" i="38"/>
  <c r="NHD208" i="38"/>
  <c r="NHC208" i="38"/>
  <c r="NHB208" i="38"/>
  <c r="NHA208" i="38"/>
  <c r="NGZ208" i="38"/>
  <c r="NGY208" i="38"/>
  <c r="NGX208" i="38"/>
  <c r="NGW208" i="38"/>
  <c r="NGV208" i="38"/>
  <c r="NGU208" i="38"/>
  <c r="NGT208" i="38"/>
  <c r="NGS208" i="38"/>
  <c r="NGR208" i="38"/>
  <c r="NGQ208" i="38"/>
  <c r="NGP208" i="38"/>
  <c r="NGO208" i="38"/>
  <c r="NGN208" i="38"/>
  <c r="NGM208" i="38"/>
  <c r="NGL208" i="38"/>
  <c r="NGK208" i="38"/>
  <c r="NGJ208" i="38"/>
  <c r="NGI208" i="38"/>
  <c r="NGH208" i="38"/>
  <c r="NGG208" i="38"/>
  <c r="NGF208" i="38"/>
  <c r="NGE208" i="38"/>
  <c r="NGD208" i="38"/>
  <c r="NGC208" i="38"/>
  <c r="NGB208" i="38"/>
  <c r="NGA208" i="38"/>
  <c r="NFZ208" i="38"/>
  <c r="NFY208" i="38"/>
  <c r="NFX208" i="38"/>
  <c r="NFW208" i="38"/>
  <c r="NFV208" i="38"/>
  <c r="NFU208" i="38"/>
  <c r="NFT208" i="38"/>
  <c r="NFS208" i="38"/>
  <c r="NFR208" i="38"/>
  <c r="NFQ208" i="38"/>
  <c r="NFP208" i="38"/>
  <c r="NFO208" i="38"/>
  <c r="NFN208" i="38"/>
  <c r="NFM208" i="38"/>
  <c r="NFL208" i="38"/>
  <c r="NFK208" i="38"/>
  <c r="NFJ208" i="38"/>
  <c r="NFI208" i="38"/>
  <c r="NFH208" i="38"/>
  <c r="NFG208" i="38"/>
  <c r="NFF208" i="38"/>
  <c r="NFE208" i="38"/>
  <c r="NFD208" i="38"/>
  <c r="NFC208" i="38"/>
  <c r="NFB208" i="38"/>
  <c r="NFA208" i="38"/>
  <c r="NEZ208" i="38"/>
  <c r="NEY208" i="38"/>
  <c r="NEX208" i="38"/>
  <c r="NEW208" i="38"/>
  <c r="NEV208" i="38"/>
  <c r="NEU208" i="38"/>
  <c r="NET208" i="38"/>
  <c r="NES208" i="38"/>
  <c r="NER208" i="38"/>
  <c r="NEQ208" i="38"/>
  <c r="NEP208" i="38"/>
  <c r="NEO208" i="38"/>
  <c r="NEN208" i="38"/>
  <c r="NEM208" i="38"/>
  <c r="NEL208" i="38"/>
  <c r="NEK208" i="38"/>
  <c r="NEJ208" i="38"/>
  <c r="NEI208" i="38"/>
  <c r="NEH208" i="38"/>
  <c r="NEG208" i="38"/>
  <c r="NEF208" i="38"/>
  <c r="NEE208" i="38"/>
  <c r="NED208" i="38"/>
  <c r="NEC208" i="38"/>
  <c r="NEB208" i="38"/>
  <c r="NEA208" i="38"/>
  <c r="NDZ208" i="38"/>
  <c r="NDY208" i="38"/>
  <c r="NDX208" i="38"/>
  <c r="NDW208" i="38"/>
  <c r="NDV208" i="38"/>
  <c r="NDU208" i="38"/>
  <c r="NDT208" i="38"/>
  <c r="NDS208" i="38"/>
  <c r="NDR208" i="38"/>
  <c r="NDQ208" i="38"/>
  <c r="NDP208" i="38"/>
  <c r="NDO208" i="38"/>
  <c r="NDN208" i="38"/>
  <c r="NDM208" i="38"/>
  <c r="NDL208" i="38"/>
  <c r="NDK208" i="38"/>
  <c r="NDJ208" i="38"/>
  <c r="NDI208" i="38"/>
  <c r="NDH208" i="38"/>
  <c r="NDG208" i="38"/>
  <c r="NDF208" i="38"/>
  <c r="NDE208" i="38"/>
  <c r="NDD208" i="38"/>
  <c r="NDC208" i="38"/>
  <c r="NDB208" i="38"/>
  <c r="NDA208" i="38"/>
  <c r="NCZ208" i="38"/>
  <c r="NCY208" i="38"/>
  <c r="NCX208" i="38"/>
  <c r="NCW208" i="38"/>
  <c r="NCV208" i="38"/>
  <c r="NCU208" i="38"/>
  <c r="NCT208" i="38"/>
  <c r="NCS208" i="38"/>
  <c r="NCR208" i="38"/>
  <c r="NCQ208" i="38"/>
  <c r="NCP208" i="38"/>
  <c r="NCO208" i="38"/>
  <c r="NCN208" i="38"/>
  <c r="NCM208" i="38"/>
  <c r="NCL208" i="38"/>
  <c r="NCK208" i="38"/>
  <c r="NCJ208" i="38"/>
  <c r="NCI208" i="38"/>
  <c r="NCH208" i="38"/>
  <c r="NCG208" i="38"/>
  <c r="NCF208" i="38"/>
  <c r="NCE208" i="38"/>
  <c r="NCD208" i="38"/>
  <c r="NCC208" i="38"/>
  <c r="NCB208" i="38"/>
  <c r="NCA208" i="38"/>
  <c r="NBZ208" i="38"/>
  <c r="NBY208" i="38"/>
  <c r="NBX208" i="38"/>
  <c r="NBW208" i="38"/>
  <c r="NBV208" i="38"/>
  <c r="NBU208" i="38"/>
  <c r="NBT208" i="38"/>
  <c r="NBS208" i="38"/>
  <c r="NBR208" i="38"/>
  <c r="NBQ208" i="38"/>
  <c r="NBP208" i="38"/>
  <c r="NBO208" i="38"/>
  <c r="NBN208" i="38"/>
  <c r="NBM208" i="38"/>
  <c r="NBL208" i="38"/>
  <c r="NBK208" i="38"/>
  <c r="NBJ208" i="38"/>
  <c r="NBI208" i="38"/>
  <c r="NBH208" i="38"/>
  <c r="NBG208" i="38"/>
  <c r="NBF208" i="38"/>
  <c r="NBE208" i="38"/>
  <c r="NBD208" i="38"/>
  <c r="NBC208" i="38"/>
  <c r="NBB208" i="38"/>
  <c r="NBA208" i="38"/>
  <c r="NAZ208" i="38"/>
  <c r="NAY208" i="38"/>
  <c r="NAX208" i="38"/>
  <c r="NAW208" i="38"/>
  <c r="NAV208" i="38"/>
  <c r="NAU208" i="38"/>
  <c r="NAT208" i="38"/>
  <c r="NAS208" i="38"/>
  <c r="NAR208" i="38"/>
  <c r="NAQ208" i="38"/>
  <c r="NAP208" i="38"/>
  <c r="NAO208" i="38"/>
  <c r="NAN208" i="38"/>
  <c r="NAM208" i="38"/>
  <c r="NAL208" i="38"/>
  <c r="NAK208" i="38"/>
  <c r="NAJ208" i="38"/>
  <c r="NAI208" i="38"/>
  <c r="NAH208" i="38"/>
  <c r="NAG208" i="38"/>
  <c r="NAF208" i="38"/>
  <c r="NAE208" i="38"/>
  <c r="NAD208" i="38"/>
  <c r="NAC208" i="38"/>
  <c r="NAB208" i="38"/>
  <c r="NAA208" i="38"/>
  <c r="MZZ208" i="38"/>
  <c r="MZY208" i="38"/>
  <c r="MZX208" i="38"/>
  <c r="MZW208" i="38"/>
  <c r="MZV208" i="38"/>
  <c r="MZU208" i="38"/>
  <c r="MZT208" i="38"/>
  <c r="MZS208" i="38"/>
  <c r="MZR208" i="38"/>
  <c r="MZQ208" i="38"/>
  <c r="MZP208" i="38"/>
  <c r="MZO208" i="38"/>
  <c r="MZN208" i="38"/>
  <c r="MZM208" i="38"/>
  <c r="MZL208" i="38"/>
  <c r="MZK208" i="38"/>
  <c r="MZJ208" i="38"/>
  <c r="MZI208" i="38"/>
  <c r="MZH208" i="38"/>
  <c r="MZG208" i="38"/>
  <c r="MZF208" i="38"/>
  <c r="MZE208" i="38"/>
  <c r="MZD208" i="38"/>
  <c r="MZC208" i="38"/>
  <c r="MZB208" i="38"/>
  <c r="MZA208" i="38"/>
  <c r="MYZ208" i="38"/>
  <c r="MYY208" i="38"/>
  <c r="MYX208" i="38"/>
  <c r="MYW208" i="38"/>
  <c r="MYV208" i="38"/>
  <c r="MYU208" i="38"/>
  <c r="MYT208" i="38"/>
  <c r="MYS208" i="38"/>
  <c r="MYR208" i="38"/>
  <c r="MYQ208" i="38"/>
  <c r="MYP208" i="38"/>
  <c r="MYO208" i="38"/>
  <c r="MYN208" i="38"/>
  <c r="MYM208" i="38"/>
  <c r="MYL208" i="38"/>
  <c r="MYK208" i="38"/>
  <c r="MYJ208" i="38"/>
  <c r="MYI208" i="38"/>
  <c r="MYH208" i="38"/>
  <c r="MYG208" i="38"/>
  <c r="MYF208" i="38"/>
  <c r="MYE208" i="38"/>
  <c r="MYD208" i="38"/>
  <c r="MYC208" i="38"/>
  <c r="MYB208" i="38"/>
  <c r="MYA208" i="38"/>
  <c r="MXZ208" i="38"/>
  <c r="MXY208" i="38"/>
  <c r="MXX208" i="38"/>
  <c r="MXW208" i="38"/>
  <c r="MXV208" i="38"/>
  <c r="MXU208" i="38"/>
  <c r="MXT208" i="38"/>
  <c r="MXS208" i="38"/>
  <c r="MXR208" i="38"/>
  <c r="MXQ208" i="38"/>
  <c r="MXP208" i="38"/>
  <c r="MXO208" i="38"/>
  <c r="MXN208" i="38"/>
  <c r="MXM208" i="38"/>
  <c r="MXL208" i="38"/>
  <c r="MXK208" i="38"/>
  <c r="MXJ208" i="38"/>
  <c r="MXI208" i="38"/>
  <c r="MXH208" i="38"/>
  <c r="MXG208" i="38"/>
  <c r="MXF208" i="38"/>
  <c r="MXE208" i="38"/>
  <c r="MXD208" i="38"/>
  <c r="MXC208" i="38"/>
  <c r="MXB208" i="38"/>
  <c r="MXA208" i="38"/>
  <c r="MWZ208" i="38"/>
  <c r="MWY208" i="38"/>
  <c r="MWX208" i="38"/>
  <c r="MWW208" i="38"/>
  <c r="MWV208" i="38"/>
  <c r="MWU208" i="38"/>
  <c r="MWT208" i="38"/>
  <c r="MWS208" i="38"/>
  <c r="MWR208" i="38"/>
  <c r="MWQ208" i="38"/>
  <c r="MWP208" i="38"/>
  <c r="MWO208" i="38"/>
  <c r="MWN208" i="38"/>
  <c r="MWM208" i="38"/>
  <c r="MWL208" i="38"/>
  <c r="MWK208" i="38"/>
  <c r="MWJ208" i="38"/>
  <c r="MWI208" i="38"/>
  <c r="MWH208" i="38"/>
  <c r="MWG208" i="38"/>
  <c r="MWF208" i="38"/>
  <c r="MWE208" i="38"/>
  <c r="MWD208" i="38"/>
  <c r="MWC208" i="38"/>
  <c r="MWB208" i="38"/>
  <c r="MWA208" i="38"/>
  <c r="MVZ208" i="38"/>
  <c r="MVY208" i="38"/>
  <c r="MVX208" i="38"/>
  <c r="MVW208" i="38"/>
  <c r="MVV208" i="38"/>
  <c r="MVU208" i="38"/>
  <c r="MVT208" i="38"/>
  <c r="MVS208" i="38"/>
  <c r="MVR208" i="38"/>
  <c r="MVQ208" i="38"/>
  <c r="MVP208" i="38"/>
  <c r="MVO208" i="38"/>
  <c r="MVN208" i="38"/>
  <c r="MVM208" i="38"/>
  <c r="MVL208" i="38"/>
  <c r="MVK208" i="38"/>
  <c r="MVJ208" i="38"/>
  <c r="MVI208" i="38"/>
  <c r="MVH208" i="38"/>
  <c r="MVG208" i="38"/>
  <c r="MVF208" i="38"/>
  <c r="MVE208" i="38"/>
  <c r="MVD208" i="38"/>
  <c r="MVC208" i="38"/>
  <c r="MVB208" i="38"/>
  <c r="MVA208" i="38"/>
  <c r="MUZ208" i="38"/>
  <c r="MUY208" i="38"/>
  <c r="MUX208" i="38"/>
  <c r="MUW208" i="38"/>
  <c r="MUV208" i="38"/>
  <c r="MUU208" i="38"/>
  <c r="MUT208" i="38"/>
  <c r="MUS208" i="38"/>
  <c r="MUR208" i="38"/>
  <c r="MUQ208" i="38"/>
  <c r="MUP208" i="38"/>
  <c r="MUO208" i="38"/>
  <c r="MUN208" i="38"/>
  <c r="MUM208" i="38"/>
  <c r="MUL208" i="38"/>
  <c r="MUK208" i="38"/>
  <c r="MUJ208" i="38"/>
  <c r="MUI208" i="38"/>
  <c r="MUH208" i="38"/>
  <c r="MUG208" i="38"/>
  <c r="MUF208" i="38"/>
  <c r="MUE208" i="38"/>
  <c r="MUD208" i="38"/>
  <c r="MUC208" i="38"/>
  <c r="MUB208" i="38"/>
  <c r="MUA208" i="38"/>
  <c r="MTZ208" i="38"/>
  <c r="MTY208" i="38"/>
  <c r="MTX208" i="38"/>
  <c r="MTW208" i="38"/>
  <c r="MTV208" i="38"/>
  <c r="MTU208" i="38"/>
  <c r="MTT208" i="38"/>
  <c r="MTS208" i="38"/>
  <c r="MTR208" i="38"/>
  <c r="MTQ208" i="38"/>
  <c r="MTP208" i="38"/>
  <c r="MTO208" i="38"/>
  <c r="MTN208" i="38"/>
  <c r="MTM208" i="38"/>
  <c r="MTL208" i="38"/>
  <c r="MTK208" i="38"/>
  <c r="MTJ208" i="38"/>
  <c r="MTI208" i="38"/>
  <c r="MTH208" i="38"/>
  <c r="MTG208" i="38"/>
  <c r="MTF208" i="38"/>
  <c r="MTE208" i="38"/>
  <c r="MTD208" i="38"/>
  <c r="MTC208" i="38"/>
  <c r="MTB208" i="38"/>
  <c r="MTA208" i="38"/>
  <c r="MSZ208" i="38"/>
  <c r="MSY208" i="38"/>
  <c r="MSX208" i="38"/>
  <c r="MSW208" i="38"/>
  <c r="MSV208" i="38"/>
  <c r="MSU208" i="38"/>
  <c r="MST208" i="38"/>
  <c r="MSS208" i="38"/>
  <c r="MSR208" i="38"/>
  <c r="MSQ208" i="38"/>
  <c r="MSP208" i="38"/>
  <c r="MSO208" i="38"/>
  <c r="MSN208" i="38"/>
  <c r="MSM208" i="38"/>
  <c r="MSL208" i="38"/>
  <c r="MSK208" i="38"/>
  <c r="MSJ208" i="38"/>
  <c r="MSI208" i="38"/>
  <c r="MSH208" i="38"/>
  <c r="MSG208" i="38"/>
  <c r="MSF208" i="38"/>
  <c r="MSE208" i="38"/>
  <c r="MSD208" i="38"/>
  <c r="MSC208" i="38"/>
  <c r="MSB208" i="38"/>
  <c r="MSA208" i="38"/>
  <c r="MRZ208" i="38"/>
  <c r="MRY208" i="38"/>
  <c r="MRX208" i="38"/>
  <c r="MRW208" i="38"/>
  <c r="MRV208" i="38"/>
  <c r="MRU208" i="38"/>
  <c r="MRT208" i="38"/>
  <c r="MRS208" i="38"/>
  <c r="MRR208" i="38"/>
  <c r="MRQ208" i="38"/>
  <c r="MRP208" i="38"/>
  <c r="MRO208" i="38"/>
  <c r="MRN208" i="38"/>
  <c r="MRM208" i="38"/>
  <c r="MRL208" i="38"/>
  <c r="MRK208" i="38"/>
  <c r="MRJ208" i="38"/>
  <c r="MRI208" i="38"/>
  <c r="MRH208" i="38"/>
  <c r="MRG208" i="38"/>
  <c r="MRF208" i="38"/>
  <c r="MRE208" i="38"/>
  <c r="MRD208" i="38"/>
  <c r="MRC208" i="38"/>
  <c r="MRB208" i="38"/>
  <c r="MRA208" i="38"/>
  <c r="MQZ208" i="38"/>
  <c r="MQY208" i="38"/>
  <c r="MQX208" i="38"/>
  <c r="MQW208" i="38"/>
  <c r="MQV208" i="38"/>
  <c r="MQU208" i="38"/>
  <c r="MQT208" i="38"/>
  <c r="MQS208" i="38"/>
  <c r="MQR208" i="38"/>
  <c r="MQQ208" i="38"/>
  <c r="MQP208" i="38"/>
  <c r="MQO208" i="38"/>
  <c r="MQN208" i="38"/>
  <c r="MQM208" i="38"/>
  <c r="MQL208" i="38"/>
  <c r="MQK208" i="38"/>
  <c r="MQJ208" i="38"/>
  <c r="MQI208" i="38"/>
  <c r="MQH208" i="38"/>
  <c r="MQG208" i="38"/>
  <c r="MQF208" i="38"/>
  <c r="MQE208" i="38"/>
  <c r="MQD208" i="38"/>
  <c r="MQC208" i="38"/>
  <c r="MQB208" i="38"/>
  <c r="MQA208" i="38"/>
  <c r="MPZ208" i="38"/>
  <c r="MPY208" i="38"/>
  <c r="MPX208" i="38"/>
  <c r="MPW208" i="38"/>
  <c r="MPV208" i="38"/>
  <c r="MPU208" i="38"/>
  <c r="MPT208" i="38"/>
  <c r="MPS208" i="38"/>
  <c r="MPR208" i="38"/>
  <c r="MPQ208" i="38"/>
  <c r="MPP208" i="38"/>
  <c r="MPO208" i="38"/>
  <c r="MPN208" i="38"/>
  <c r="MPM208" i="38"/>
  <c r="MPL208" i="38"/>
  <c r="MPK208" i="38"/>
  <c r="MPJ208" i="38"/>
  <c r="MPI208" i="38"/>
  <c r="MPH208" i="38"/>
  <c r="MPG208" i="38"/>
  <c r="MPF208" i="38"/>
  <c r="MPE208" i="38"/>
  <c r="MPD208" i="38"/>
  <c r="MPC208" i="38"/>
  <c r="MPB208" i="38"/>
  <c r="MPA208" i="38"/>
  <c r="MOZ208" i="38"/>
  <c r="MOY208" i="38"/>
  <c r="MOX208" i="38"/>
  <c r="MOW208" i="38"/>
  <c r="MOV208" i="38"/>
  <c r="MOU208" i="38"/>
  <c r="MOT208" i="38"/>
  <c r="MOS208" i="38"/>
  <c r="MOR208" i="38"/>
  <c r="MOQ208" i="38"/>
  <c r="MOP208" i="38"/>
  <c r="MOO208" i="38"/>
  <c r="MON208" i="38"/>
  <c r="MOM208" i="38"/>
  <c r="MOL208" i="38"/>
  <c r="MOK208" i="38"/>
  <c r="MOJ208" i="38"/>
  <c r="MOI208" i="38"/>
  <c r="MOH208" i="38"/>
  <c r="MOG208" i="38"/>
  <c r="MOF208" i="38"/>
  <c r="MOE208" i="38"/>
  <c r="MOD208" i="38"/>
  <c r="MOC208" i="38"/>
  <c r="MOB208" i="38"/>
  <c r="MOA208" i="38"/>
  <c r="MNZ208" i="38"/>
  <c r="MNY208" i="38"/>
  <c r="MNX208" i="38"/>
  <c r="MNW208" i="38"/>
  <c r="MNV208" i="38"/>
  <c r="MNU208" i="38"/>
  <c r="MNT208" i="38"/>
  <c r="MNS208" i="38"/>
  <c r="MNR208" i="38"/>
  <c r="MNQ208" i="38"/>
  <c r="MNP208" i="38"/>
  <c r="MNO208" i="38"/>
  <c r="MNN208" i="38"/>
  <c r="MNM208" i="38"/>
  <c r="MNL208" i="38"/>
  <c r="MNK208" i="38"/>
  <c r="MNJ208" i="38"/>
  <c r="MNI208" i="38"/>
  <c r="MNH208" i="38"/>
  <c r="MNG208" i="38"/>
  <c r="MNF208" i="38"/>
  <c r="MNE208" i="38"/>
  <c r="MND208" i="38"/>
  <c r="MNC208" i="38"/>
  <c r="MNB208" i="38"/>
  <c r="MNA208" i="38"/>
  <c r="MMZ208" i="38"/>
  <c r="MMY208" i="38"/>
  <c r="MMX208" i="38"/>
  <c r="MMW208" i="38"/>
  <c r="MMV208" i="38"/>
  <c r="MMU208" i="38"/>
  <c r="MMT208" i="38"/>
  <c r="MMS208" i="38"/>
  <c r="MMR208" i="38"/>
  <c r="MMQ208" i="38"/>
  <c r="MMP208" i="38"/>
  <c r="MMO208" i="38"/>
  <c r="MMN208" i="38"/>
  <c r="MMM208" i="38"/>
  <c r="MML208" i="38"/>
  <c r="MMK208" i="38"/>
  <c r="MMJ208" i="38"/>
  <c r="MMI208" i="38"/>
  <c r="MMH208" i="38"/>
  <c r="MMG208" i="38"/>
  <c r="MMF208" i="38"/>
  <c r="MME208" i="38"/>
  <c r="MMD208" i="38"/>
  <c r="MMC208" i="38"/>
  <c r="MMB208" i="38"/>
  <c r="MMA208" i="38"/>
  <c r="MLZ208" i="38"/>
  <c r="MLY208" i="38"/>
  <c r="MLX208" i="38"/>
  <c r="MLW208" i="38"/>
  <c r="MLV208" i="38"/>
  <c r="MLU208" i="38"/>
  <c r="MLT208" i="38"/>
  <c r="MLS208" i="38"/>
  <c r="MLR208" i="38"/>
  <c r="MLQ208" i="38"/>
  <c r="MLP208" i="38"/>
  <c r="MLO208" i="38"/>
  <c r="MLN208" i="38"/>
  <c r="MLM208" i="38"/>
  <c r="MLL208" i="38"/>
  <c r="MLK208" i="38"/>
  <c r="MLJ208" i="38"/>
  <c r="MLI208" i="38"/>
  <c r="MLH208" i="38"/>
  <c r="MLG208" i="38"/>
  <c r="MLF208" i="38"/>
  <c r="MLE208" i="38"/>
  <c r="MLD208" i="38"/>
  <c r="MLC208" i="38"/>
  <c r="MLB208" i="38"/>
  <c r="MLA208" i="38"/>
  <c r="MKZ208" i="38"/>
  <c r="MKY208" i="38"/>
  <c r="MKX208" i="38"/>
  <c r="MKW208" i="38"/>
  <c r="MKV208" i="38"/>
  <c r="MKU208" i="38"/>
  <c r="MKT208" i="38"/>
  <c r="MKS208" i="38"/>
  <c r="MKR208" i="38"/>
  <c r="MKQ208" i="38"/>
  <c r="MKP208" i="38"/>
  <c r="MKO208" i="38"/>
  <c r="MKN208" i="38"/>
  <c r="MKM208" i="38"/>
  <c r="MKL208" i="38"/>
  <c r="MKK208" i="38"/>
  <c r="MKJ208" i="38"/>
  <c r="MKI208" i="38"/>
  <c r="MKH208" i="38"/>
  <c r="MKG208" i="38"/>
  <c r="MKF208" i="38"/>
  <c r="MKE208" i="38"/>
  <c r="MKD208" i="38"/>
  <c r="MKC208" i="38"/>
  <c r="MKB208" i="38"/>
  <c r="MKA208" i="38"/>
  <c r="MJZ208" i="38"/>
  <c r="MJY208" i="38"/>
  <c r="MJX208" i="38"/>
  <c r="MJW208" i="38"/>
  <c r="MJV208" i="38"/>
  <c r="MJU208" i="38"/>
  <c r="MJT208" i="38"/>
  <c r="MJS208" i="38"/>
  <c r="MJR208" i="38"/>
  <c r="MJQ208" i="38"/>
  <c r="MJP208" i="38"/>
  <c r="MJO208" i="38"/>
  <c r="MJN208" i="38"/>
  <c r="MJM208" i="38"/>
  <c r="MJL208" i="38"/>
  <c r="MJK208" i="38"/>
  <c r="MJJ208" i="38"/>
  <c r="MJI208" i="38"/>
  <c r="MJH208" i="38"/>
  <c r="MJG208" i="38"/>
  <c r="MJF208" i="38"/>
  <c r="MJE208" i="38"/>
  <c r="MJD208" i="38"/>
  <c r="MJC208" i="38"/>
  <c r="MJB208" i="38"/>
  <c r="MJA208" i="38"/>
  <c r="MIZ208" i="38"/>
  <c r="MIY208" i="38"/>
  <c r="MIX208" i="38"/>
  <c r="MIW208" i="38"/>
  <c r="MIV208" i="38"/>
  <c r="MIU208" i="38"/>
  <c r="MIT208" i="38"/>
  <c r="MIS208" i="38"/>
  <c r="MIR208" i="38"/>
  <c r="MIQ208" i="38"/>
  <c r="MIP208" i="38"/>
  <c r="MIO208" i="38"/>
  <c r="MIN208" i="38"/>
  <c r="MIM208" i="38"/>
  <c r="MIL208" i="38"/>
  <c r="MIK208" i="38"/>
  <c r="MIJ208" i="38"/>
  <c r="MII208" i="38"/>
  <c r="MIH208" i="38"/>
  <c r="MIG208" i="38"/>
  <c r="MIF208" i="38"/>
  <c r="MIE208" i="38"/>
  <c r="MID208" i="38"/>
  <c r="MIC208" i="38"/>
  <c r="MIB208" i="38"/>
  <c r="MIA208" i="38"/>
  <c r="MHZ208" i="38"/>
  <c r="MHY208" i="38"/>
  <c r="MHX208" i="38"/>
  <c r="MHW208" i="38"/>
  <c r="MHV208" i="38"/>
  <c r="MHU208" i="38"/>
  <c r="MHT208" i="38"/>
  <c r="MHS208" i="38"/>
  <c r="MHR208" i="38"/>
  <c r="MHQ208" i="38"/>
  <c r="MHP208" i="38"/>
  <c r="MHO208" i="38"/>
  <c r="MHN208" i="38"/>
  <c r="MHM208" i="38"/>
  <c r="MHL208" i="38"/>
  <c r="MHK208" i="38"/>
  <c r="MHJ208" i="38"/>
  <c r="MHI208" i="38"/>
  <c r="MHH208" i="38"/>
  <c r="MHG208" i="38"/>
  <c r="MHF208" i="38"/>
  <c r="MHE208" i="38"/>
  <c r="MHD208" i="38"/>
  <c r="MHC208" i="38"/>
  <c r="MHB208" i="38"/>
  <c r="MHA208" i="38"/>
  <c r="MGZ208" i="38"/>
  <c r="MGY208" i="38"/>
  <c r="MGX208" i="38"/>
  <c r="MGW208" i="38"/>
  <c r="MGV208" i="38"/>
  <c r="MGU208" i="38"/>
  <c r="MGT208" i="38"/>
  <c r="MGS208" i="38"/>
  <c r="MGR208" i="38"/>
  <c r="MGQ208" i="38"/>
  <c r="MGP208" i="38"/>
  <c r="MGO208" i="38"/>
  <c r="MGN208" i="38"/>
  <c r="MGM208" i="38"/>
  <c r="MGL208" i="38"/>
  <c r="MGK208" i="38"/>
  <c r="MGJ208" i="38"/>
  <c r="MGI208" i="38"/>
  <c r="MGH208" i="38"/>
  <c r="MGG208" i="38"/>
  <c r="MGF208" i="38"/>
  <c r="MGE208" i="38"/>
  <c r="MGD208" i="38"/>
  <c r="MGC208" i="38"/>
  <c r="MGB208" i="38"/>
  <c r="MGA208" i="38"/>
  <c r="MFZ208" i="38"/>
  <c r="MFY208" i="38"/>
  <c r="MFX208" i="38"/>
  <c r="MFW208" i="38"/>
  <c r="MFV208" i="38"/>
  <c r="MFU208" i="38"/>
  <c r="MFT208" i="38"/>
  <c r="MFS208" i="38"/>
  <c r="MFR208" i="38"/>
  <c r="MFQ208" i="38"/>
  <c r="MFP208" i="38"/>
  <c r="MFO208" i="38"/>
  <c r="MFN208" i="38"/>
  <c r="MFM208" i="38"/>
  <c r="MFL208" i="38"/>
  <c r="MFK208" i="38"/>
  <c r="MFJ208" i="38"/>
  <c r="MFI208" i="38"/>
  <c r="MFH208" i="38"/>
  <c r="MFG208" i="38"/>
  <c r="MFF208" i="38"/>
  <c r="MFE208" i="38"/>
  <c r="MFD208" i="38"/>
  <c r="MFC208" i="38"/>
  <c r="MFB208" i="38"/>
  <c r="MFA208" i="38"/>
  <c r="MEZ208" i="38"/>
  <c r="MEY208" i="38"/>
  <c r="MEX208" i="38"/>
  <c r="MEW208" i="38"/>
  <c r="MEV208" i="38"/>
  <c r="MEU208" i="38"/>
  <c r="MET208" i="38"/>
  <c r="MES208" i="38"/>
  <c r="MER208" i="38"/>
  <c r="MEQ208" i="38"/>
  <c r="MEP208" i="38"/>
  <c r="MEO208" i="38"/>
  <c r="MEN208" i="38"/>
  <c r="MEM208" i="38"/>
  <c r="MEL208" i="38"/>
  <c r="MEK208" i="38"/>
  <c r="MEJ208" i="38"/>
  <c r="MEI208" i="38"/>
  <c r="MEH208" i="38"/>
  <c r="MEG208" i="38"/>
  <c r="MEF208" i="38"/>
  <c r="MEE208" i="38"/>
  <c r="MED208" i="38"/>
  <c r="MEC208" i="38"/>
  <c r="MEB208" i="38"/>
  <c r="MEA208" i="38"/>
  <c r="MDZ208" i="38"/>
  <c r="MDY208" i="38"/>
  <c r="MDX208" i="38"/>
  <c r="MDW208" i="38"/>
  <c r="MDV208" i="38"/>
  <c r="MDU208" i="38"/>
  <c r="MDT208" i="38"/>
  <c r="MDS208" i="38"/>
  <c r="MDR208" i="38"/>
  <c r="MDQ208" i="38"/>
  <c r="MDP208" i="38"/>
  <c r="MDO208" i="38"/>
  <c r="MDN208" i="38"/>
  <c r="MDM208" i="38"/>
  <c r="MDL208" i="38"/>
  <c r="MDK208" i="38"/>
  <c r="MDJ208" i="38"/>
  <c r="MDI208" i="38"/>
  <c r="MDH208" i="38"/>
  <c r="MDG208" i="38"/>
  <c r="MDF208" i="38"/>
  <c r="MDE208" i="38"/>
  <c r="MDD208" i="38"/>
  <c r="MDC208" i="38"/>
  <c r="MDB208" i="38"/>
  <c r="MDA208" i="38"/>
  <c r="MCZ208" i="38"/>
  <c r="MCY208" i="38"/>
  <c r="MCX208" i="38"/>
  <c r="MCW208" i="38"/>
  <c r="MCV208" i="38"/>
  <c r="MCU208" i="38"/>
  <c r="MCT208" i="38"/>
  <c r="MCS208" i="38"/>
  <c r="MCR208" i="38"/>
  <c r="MCQ208" i="38"/>
  <c r="MCP208" i="38"/>
  <c r="MCO208" i="38"/>
  <c r="MCN208" i="38"/>
  <c r="MCM208" i="38"/>
  <c r="MCL208" i="38"/>
  <c r="MCK208" i="38"/>
  <c r="MCJ208" i="38"/>
  <c r="MCI208" i="38"/>
  <c r="MCH208" i="38"/>
  <c r="MCG208" i="38"/>
  <c r="MCF208" i="38"/>
  <c r="MCE208" i="38"/>
  <c r="MCD208" i="38"/>
  <c r="MCC208" i="38"/>
  <c r="MCB208" i="38"/>
  <c r="MCA208" i="38"/>
  <c r="MBZ208" i="38"/>
  <c r="MBY208" i="38"/>
  <c r="MBX208" i="38"/>
  <c r="MBW208" i="38"/>
  <c r="MBV208" i="38"/>
  <c r="MBU208" i="38"/>
  <c r="MBT208" i="38"/>
  <c r="MBS208" i="38"/>
  <c r="MBR208" i="38"/>
  <c r="MBQ208" i="38"/>
  <c r="MBP208" i="38"/>
  <c r="MBO208" i="38"/>
  <c r="MBN208" i="38"/>
  <c r="MBM208" i="38"/>
  <c r="MBL208" i="38"/>
  <c r="MBK208" i="38"/>
  <c r="MBJ208" i="38"/>
  <c r="MBI208" i="38"/>
  <c r="MBH208" i="38"/>
  <c r="MBG208" i="38"/>
  <c r="MBF208" i="38"/>
  <c r="MBE208" i="38"/>
  <c r="MBD208" i="38"/>
  <c r="MBC208" i="38"/>
  <c r="MBB208" i="38"/>
  <c r="MBA208" i="38"/>
  <c r="MAZ208" i="38"/>
  <c r="MAY208" i="38"/>
  <c r="MAX208" i="38"/>
  <c r="MAW208" i="38"/>
  <c r="MAV208" i="38"/>
  <c r="MAU208" i="38"/>
  <c r="MAT208" i="38"/>
  <c r="MAS208" i="38"/>
  <c r="MAR208" i="38"/>
  <c r="MAQ208" i="38"/>
  <c r="MAP208" i="38"/>
  <c r="MAO208" i="38"/>
  <c r="MAN208" i="38"/>
  <c r="MAM208" i="38"/>
  <c r="MAL208" i="38"/>
  <c r="MAK208" i="38"/>
  <c r="MAJ208" i="38"/>
  <c r="MAI208" i="38"/>
  <c r="MAH208" i="38"/>
  <c r="MAG208" i="38"/>
  <c r="MAF208" i="38"/>
  <c r="MAE208" i="38"/>
  <c r="MAD208" i="38"/>
  <c r="MAC208" i="38"/>
  <c r="MAB208" i="38"/>
  <c r="MAA208" i="38"/>
  <c r="LZZ208" i="38"/>
  <c r="LZY208" i="38"/>
  <c r="LZX208" i="38"/>
  <c r="LZW208" i="38"/>
  <c r="LZV208" i="38"/>
  <c r="LZU208" i="38"/>
  <c r="LZT208" i="38"/>
  <c r="LZS208" i="38"/>
  <c r="LZR208" i="38"/>
  <c r="LZQ208" i="38"/>
  <c r="LZP208" i="38"/>
  <c r="LZO208" i="38"/>
  <c r="LZN208" i="38"/>
  <c r="LZM208" i="38"/>
  <c r="LZL208" i="38"/>
  <c r="LZK208" i="38"/>
  <c r="LZJ208" i="38"/>
  <c r="LZI208" i="38"/>
  <c r="LZH208" i="38"/>
  <c r="LZG208" i="38"/>
  <c r="LZF208" i="38"/>
  <c r="LZE208" i="38"/>
  <c r="LZD208" i="38"/>
  <c r="LZC208" i="38"/>
  <c r="LZB208" i="38"/>
  <c r="LZA208" i="38"/>
  <c r="LYZ208" i="38"/>
  <c r="LYY208" i="38"/>
  <c r="LYX208" i="38"/>
  <c r="LYW208" i="38"/>
  <c r="LYV208" i="38"/>
  <c r="LYU208" i="38"/>
  <c r="LYT208" i="38"/>
  <c r="LYS208" i="38"/>
  <c r="LYR208" i="38"/>
  <c r="LYQ208" i="38"/>
  <c r="LYP208" i="38"/>
  <c r="LYO208" i="38"/>
  <c r="LYN208" i="38"/>
  <c r="LYM208" i="38"/>
  <c r="LYL208" i="38"/>
  <c r="LYK208" i="38"/>
  <c r="LYJ208" i="38"/>
  <c r="LYI208" i="38"/>
  <c r="LYH208" i="38"/>
  <c r="LYG208" i="38"/>
  <c r="LYF208" i="38"/>
  <c r="LYE208" i="38"/>
  <c r="LYD208" i="38"/>
  <c r="LYC208" i="38"/>
  <c r="LYB208" i="38"/>
  <c r="LYA208" i="38"/>
  <c r="LXZ208" i="38"/>
  <c r="LXY208" i="38"/>
  <c r="LXX208" i="38"/>
  <c r="LXW208" i="38"/>
  <c r="LXV208" i="38"/>
  <c r="LXU208" i="38"/>
  <c r="LXT208" i="38"/>
  <c r="LXS208" i="38"/>
  <c r="LXR208" i="38"/>
  <c r="LXQ208" i="38"/>
  <c r="LXP208" i="38"/>
  <c r="LXO208" i="38"/>
  <c r="LXN208" i="38"/>
  <c r="LXM208" i="38"/>
  <c r="LXL208" i="38"/>
  <c r="LXK208" i="38"/>
  <c r="LXJ208" i="38"/>
  <c r="LXI208" i="38"/>
  <c r="LXH208" i="38"/>
  <c r="LXG208" i="38"/>
  <c r="LXF208" i="38"/>
  <c r="LXE208" i="38"/>
  <c r="LXD208" i="38"/>
  <c r="LXC208" i="38"/>
  <c r="LXB208" i="38"/>
  <c r="LXA208" i="38"/>
  <c r="LWZ208" i="38"/>
  <c r="LWY208" i="38"/>
  <c r="LWX208" i="38"/>
  <c r="LWW208" i="38"/>
  <c r="LWV208" i="38"/>
  <c r="LWU208" i="38"/>
  <c r="LWT208" i="38"/>
  <c r="LWS208" i="38"/>
  <c r="LWR208" i="38"/>
  <c r="LWQ208" i="38"/>
  <c r="LWP208" i="38"/>
  <c r="LWO208" i="38"/>
  <c r="LWN208" i="38"/>
  <c r="LWM208" i="38"/>
  <c r="LWL208" i="38"/>
  <c r="LWK208" i="38"/>
  <c r="LWJ208" i="38"/>
  <c r="LWI208" i="38"/>
  <c r="LWH208" i="38"/>
  <c r="LWG208" i="38"/>
  <c r="LWF208" i="38"/>
  <c r="LWE208" i="38"/>
  <c r="LWD208" i="38"/>
  <c r="LWC208" i="38"/>
  <c r="LWB208" i="38"/>
  <c r="LWA208" i="38"/>
  <c r="LVZ208" i="38"/>
  <c r="LVY208" i="38"/>
  <c r="LVX208" i="38"/>
  <c r="LVW208" i="38"/>
  <c r="LVV208" i="38"/>
  <c r="LVU208" i="38"/>
  <c r="LVT208" i="38"/>
  <c r="LVS208" i="38"/>
  <c r="LVR208" i="38"/>
  <c r="LVQ208" i="38"/>
  <c r="LVP208" i="38"/>
  <c r="LVO208" i="38"/>
  <c r="LVN208" i="38"/>
  <c r="LVM208" i="38"/>
  <c r="LVL208" i="38"/>
  <c r="LVK208" i="38"/>
  <c r="LVJ208" i="38"/>
  <c r="LVI208" i="38"/>
  <c r="LVH208" i="38"/>
  <c r="LVG208" i="38"/>
  <c r="LVF208" i="38"/>
  <c r="LVE208" i="38"/>
  <c r="LVD208" i="38"/>
  <c r="LVC208" i="38"/>
  <c r="LVB208" i="38"/>
  <c r="LVA208" i="38"/>
  <c r="LUZ208" i="38"/>
  <c r="LUY208" i="38"/>
  <c r="LUX208" i="38"/>
  <c r="LUW208" i="38"/>
  <c r="LUV208" i="38"/>
  <c r="LUU208" i="38"/>
  <c r="LUT208" i="38"/>
  <c r="LUS208" i="38"/>
  <c r="LUR208" i="38"/>
  <c r="LUQ208" i="38"/>
  <c r="LUP208" i="38"/>
  <c r="LUO208" i="38"/>
  <c r="LUN208" i="38"/>
  <c r="LUM208" i="38"/>
  <c r="LUL208" i="38"/>
  <c r="LUK208" i="38"/>
  <c r="LUJ208" i="38"/>
  <c r="LUI208" i="38"/>
  <c r="LUH208" i="38"/>
  <c r="LUG208" i="38"/>
  <c r="LUF208" i="38"/>
  <c r="LUE208" i="38"/>
  <c r="LUD208" i="38"/>
  <c r="LUC208" i="38"/>
  <c r="LUB208" i="38"/>
  <c r="LUA208" i="38"/>
  <c r="LTZ208" i="38"/>
  <c r="LTY208" i="38"/>
  <c r="LTX208" i="38"/>
  <c r="LTW208" i="38"/>
  <c r="LTV208" i="38"/>
  <c r="LTU208" i="38"/>
  <c r="LTT208" i="38"/>
  <c r="LTS208" i="38"/>
  <c r="LTR208" i="38"/>
  <c r="LTQ208" i="38"/>
  <c r="LTP208" i="38"/>
  <c r="LTO208" i="38"/>
  <c r="LTN208" i="38"/>
  <c r="LTM208" i="38"/>
  <c r="LTL208" i="38"/>
  <c r="LTK208" i="38"/>
  <c r="LTJ208" i="38"/>
  <c r="LTI208" i="38"/>
  <c r="LTH208" i="38"/>
  <c r="LTG208" i="38"/>
  <c r="LTF208" i="38"/>
  <c r="LTE208" i="38"/>
  <c r="LTD208" i="38"/>
  <c r="LTC208" i="38"/>
  <c r="LTB208" i="38"/>
  <c r="LTA208" i="38"/>
  <c r="LSZ208" i="38"/>
  <c r="LSY208" i="38"/>
  <c r="LSX208" i="38"/>
  <c r="LSW208" i="38"/>
  <c r="LSV208" i="38"/>
  <c r="LSU208" i="38"/>
  <c r="LST208" i="38"/>
  <c r="LSS208" i="38"/>
  <c r="LSR208" i="38"/>
  <c r="LSQ208" i="38"/>
  <c r="LSP208" i="38"/>
  <c r="LSO208" i="38"/>
  <c r="LSN208" i="38"/>
  <c r="LSM208" i="38"/>
  <c r="LSL208" i="38"/>
  <c r="LSK208" i="38"/>
  <c r="LSJ208" i="38"/>
  <c r="LSI208" i="38"/>
  <c r="LSH208" i="38"/>
  <c r="LSG208" i="38"/>
  <c r="LSF208" i="38"/>
  <c r="LSE208" i="38"/>
  <c r="LSD208" i="38"/>
  <c r="LSC208" i="38"/>
  <c r="LSB208" i="38"/>
  <c r="LSA208" i="38"/>
  <c r="LRZ208" i="38"/>
  <c r="LRY208" i="38"/>
  <c r="LRX208" i="38"/>
  <c r="LRW208" i="38"/>
  <c r="LRV208" i="38"/>
  <c r="LRU208" i="38"/>
  <c r="LRT208" i="38"/>
  <c r="LRS208" i="38"/>
  <c r="LRR208" i="38"/>
  <c r="LRQ208" i="38"/>
  <c r="LRP208" i="38"/>
  <c r="LRO208" i="38"/>
  <c r="LRN208" i="38"/>
  <c r="LRM208" i="38"/>
  <c r="LRL208" i="38"/>
  <c r="LRK208" i="38"/>
  <c r="LRJ208" i="38"/>
  <c r="LRI208" i="38"/>
  <c r="LRH208" i="38"/>
  <c r="LRG208" i="38"/>
  <c r="LRF208" i="38"/>
  <c r="LRE208" i="38"/>
  <c r="LRD208" i="38"/>
  <c r="LRC208" i="38"/>
  <c r="LRB208" i="38"/>
  <c r="LRA208" i="38"/>
  <c r="LQZ208" i="38"/>
  <c r="LQY208" i="38"/>
  <c r="LQX208" i="38"/>
  <c r="LQW208" i="38"/>
  <c r="LQV208" i="38"/>
  <c r="LQU208" i="38"/>
  <c r="LQT208" i="38"/>
  <c r="LQS208" i="38"/>
  <c r="LQR208" i="38"/>
  <c r="LQQ208" i="38"/>
  <c r="LQP208" i="38"/>
  <c r="LQO208" i="38"/>
  <c r="LQN208" i="38"/>
  <c r="LQM208" i="38"/>
  <c r="LQL208" i="38"/>
  <c r="LQK208" i="38"/>
  <c r="LQJ208" i="38"/>
  <c r="LQI208" i="38"/>
  <c r="LQH208" i="38"/>
  <c r="LQG208" i="38"/>
  <c r="LQF208" i="38"/>
  <c r="LQE208" i="38"/>
  <c r="LQD208" i="38"/>
  <c r="LQC208" i="38"/>
  <c r="LQB208" i="38"/>
  <c r="LQA208" i="38"/>
  <c r="LPZ208" i="38"/>
  <c r="LPY208" i="38"/>
  <c r="LPX208" i="38"/>
  <c r="LPW208" i="38"/>
  <c r="LPV208" i="38"/>
  <c r="LPU208" i="38"/>
  <c r="LPT208" i="38"/>
  <c r="LPS208" i="38"/>
  <c r="LPR208" i="38"/>
  <c r="LPQ208" i="38"/>
  <c r="LPP208" i="38"/>
  <c r="LPO208" i="38"/>
  <c r="LPN208" i="38"/>
  <c r="LPM208" i="38"/>
  <c r="LPL208" i="38"/>
  <c r="LPK208" i="38"/>
  <c r="LPJ208" i="38"/>
  <c r="LPI208" i="38"/>
  <c r="LPH208" i="38"/>
  <c r="LPG208" i="38"/>
  <c r="LPF208" i="38"/>
  <c r="LPE208" i="38"/>
  <c r="LPD208" i="38"/>
  <c r="LPC208" i="38"/>
  <c r="LPB208" i="38"/>
  <c r="LPA208" i="38"/>
  <c r="LOZ208" i="38"/>
  <c r="LOY208" i="38"/>
  <c r="LOX208" i="38"/>
  <c r="LOW208" i="38"/>
  <c r="LOV208" i="38"/>
  <c r="LOU208" i="38"/>
  <c r="LOT208" i="38"/>
  <c r="LOS208" i="38"/>
  <c r="LOR208" i="38"/>
  <c r="LOQ208" i="38"/>
  <c r="LOP208" i="38"/>
  <c r="LOO208" i="38"/>
  <c r="LON208" i="38"/>
  <c r="LOM208" i="38"/>
  <c r="LOL208" i="38"/>
  <c r="LOK208" i="38"/>
  <c r="LOJ208" i="38"/>
  <c r="LOI208" i="38"/>
  <c r="LOH208" i="38"/>
  <c r="LOG208" i="38"/>
  <c r="LOF208" i="38"/>
  <c r="LOE208" i="38"/>
  <c r="LOD208" i="38"/>
  <c r="LOC208" i="38"/>
  <c r="LOB208" i="38"/>
  <c r="LOA208" i="38"/>
  <c r="LNZ208" i="38"/>
  <c r="LNY208" i="38"/>
  <c r="LNX208" i="38"/>
  <c r="LNW208" i="38"/>
  <c r="LNV208" i="38"/>
  <c r="LNU208" i="38"/>
  <c r="LNT208" i="38"/>
  <c r="LNS208" i="38"/>
  <c r="LNR208" i="38"/>
  <c r="LNQ208" i="38"/>
  <c r="LNP208" i="38"/>
  <c r="LNO208" i="38"/>
  <c r="LNN208" i="38"/>
  <c r="LNM208" i="38"/>
  <c r="LNL208" i="38"/>
  <c r="LNK208" i="38"/>
  <c r="LNJ208" i="38"/>
  <c r="LNI208" i="38"/>
  <c r="LNH208" i="38"/>
  <c r="LNG208" i="38"/>
  <c r="LNF208" i="38"/>
  <c r="LNE208" i="38"/>
  <c r="LND208" i="38"/>
  <c r="LNC208" i="38"/>
  <c r="LNB208" i="38"/>
  <c r="LNA208" i="38"/>
  <c r="LMZ208" i="38"/>
  <c r="LMY208" i="38"/>
  <c r="LMX208" i="38"/>
  <c r="LMW208" i="38"/>
  <c r="LMV208" i="38"/>
  <c r="LMU208" i="38"/>
  <c r="LMT208" i="38"/>
  <c r="LMS208" i="38"/>
  <c r="LMR208" i="38"/>
  <c r="LMQ208" i="38"/>
  <c r="LMP208" i="38"/>
  <c r="LMO208" i="38"/>
  <c r="LMN208" i="38"/>
  <c r="LMM208" i="38"/>
  <c r="LML208" i="38"/>
  <c r="LMK208" i="38"/>
  <c r="LMJ208" i="38"/>
  <c r="LMI208" i="38"/>
  <c r="LMH208" i="38"/>
  <c r="LMG208" i="38"/>
  <c r="LMF208" i="38"/>
  <c r="LME208" i="38"/>
  <c r="LMD208" i="38"/>
  <c r="LMC208" i="38"/>
  <c r="LMB208" i="38"/>
  <c r="LMA208" i="38"/>
  <c r="LLZ208" i="38"/>
  <c r="LLY208" i="38"/>
  <c r="LLX208" i="38"/>
  <c r="LLW208" i="38"/>
  <c r="LLV208" i="38"/>
  <c r="LLU208" i="38"/>
  <c r="LLT208" i="38"/>
  <c r="LLS208" i="38"/>
  <c r="LLR208" i="38"/>
  <c r="LLQ208" i="38"/>
  <c r="LLP208" i="38"/>
  <c r="LLO208" i="38"/>
  <c r="LLN208" i="38"/>
  <c r="LLM208" i="38"/>
  <c r="LLL208" i="38"/>
  <c r="LLK208" i="38"/>
  <c r="LLJ208" i="38"/>
  <c r="LLI208" i="38"/>
  <c r="LLH208" i="38"/>
  <c r="LLG208" i="38"/>
  <c r="LLF208" i="38"/>
  <c r="LLE208" i="38"/>
  <c r="LLD208" i="38"/>
  <c r="LLC208" i="38"/>
  <c r="LLB208" i="38"/>
  <c r="LLA208" i="38"/>
  <c r="LKZ208" i="38"/>
  <c r="LKY208" i="38"/>
  <c r="LKX208" i="38"/>
  <c r="LKW208" i="38"/>
  <c r="LKV208" i="38"/>
  <c r="LKU208" i="38"/>
  <c r="LKT208" i="38"/>
  <c r="LKS208" i="38"/>
  <c r="LKR208" i="38"/>
  <c r="LKQ208" i="38"/>
  <c r="LKP208" i="38"/>
  <c r="LKO208" i="38"/>
  <c r="LKN208" i="38"/>
  <c r="LKM208" i="38"/>
  <c r="LKL208" i="38"/>
  <c r="LKK208" i="38"/>
  <c r="LKJ208" i="38"/>
  <c r="LKI208" i="38"/>
  <c r="LKH208" i="38"/>
  <c r="LKG208" i="38"/>
  <c r="LKF208" i="38"/>
  <c r="LKE208" i="38"/>
  <c r="LKD208" i="38"/>
  <c r="LKC208" i="38"/>
  <c r="LKB208" i="38"/>
  <c r="LKA208" i="38"/>
  <c r="LJZ208" i="38"/>
  <c r="LJY208" i="38"/>
  <c r="LJX208" i="38"/>
  <c r="LJW208" i="38"/>
  <c r="LJV208" i="38"/>
  <c r="LJU208" i="38"/>
  <c r="LJT208" i="38"/>
  <c r="LJS208" i="38"/>
  <c r="LJR208" i="38"/>
  <c r="LJQ208" i="38"/>
  <c r="LJP208" i="38"/>
  <c r="LJO208" i="38"/>
  <c r="LJN208" i="38"/>
  <c r="LJM208" i="38"/>
  <c r="LJL208" i="38"/>
  <c r="LJK208" i="38"/>
  <c r="LJJ208" i="38"/>
  <c r="LJI208" i="38"/>
  <c r="LJH208" i="38"/>
  <c r="LJG208" i="38"/>
  <c r="LJF208" i="38"/>
  <c r="LJE208" i="38"/>
  <c r="LJD208" i="38"/>
  <c r="LJC208" i="38"/>
  <c r="LJB208" i="38"/>
  <c r="LJA208" i="38"/>
  <c r="LIZ208" i="38"/>
  <c r="LIY208" i="38"/>
  <c r="LIX208" i="38"/>
  <c r="LIW208" i="38"/>
  <c r="LIV208" i="38"/>
  <c r="LIU208" i="38"/>
  <c r="LIT208" i="38"/>
  <c r="LIS208" i="38"/>
  <c r="LIR208" i="38"/>
  <c r="LIQ208" i="38"/>
  <c r="LIP208" i="38"/>
  <c r="LIO208" i="38"/>
  <c r="LIN208" i="38"/>
  <c r="LIM208" i="38"/>
  <c r="LIL208" i="38"/>
  <c r="LIK208" i="38"/>
  <c r="LIJ208" i="38"/>
  <c r="LII208" i="38"/>
  <c r="LIH208" i="38"/>
  <c r="LIG208" i="38"/>
  <c r="LIF208" i="38"/>
  <c r="LIE208" i="38"/>
  <c r="LID208" i="38"/>
  <c r="LIC208" i="38"/>
  <c r="LIB208" i="38"/>
  <c r="LIA208" i="38"/>
  <c r="LHZ208" i="38"/>
  <c r="LHY208" i="38"/>
  <c r="LHX208" i="38"/>
  <c r="LHW208" i="38"/>
  <c r="LHV208" i="38"/>
  <c r="LHU208" i="38"/>
  <c r="LHT208" i="38"/>
  <c r="LHS208" i="38"/>
  <c r="LHR208" i="38"/>
  <c r="LHQ208" i="38"/>
  <c r="LHP208" i="38"/>
  <c r="LHO208" i="38"/>
  <c r="LHN208" i="38"/>
  <c r="LHM208" i="38"/>
  <c r="LHL208" i="38"/>
  <c r="LHK208" i="38"/>
  <c r="LHJ208" i="38"/>
  <c r="LHI208" i="38"/>
  <c r="LHH208" i="38"/>
  <c r="LHG208" i="38"/>
  <c r="LHF208" i="38"/>
  <c r="LHE208" i="38"/>
  <c r="LHD208" i="38"/>
  <c r="LHC208" i="38"/>
  <c r="LHB208" i="38"/>
  <c r="LHA208" i="38"/>
  <c r="LGZ208" i="38"/>
  <c r="LGY208" i="38"/>
  <c r="LGX208" i="38"/>
  <c r="LGW208" i="38"/>
  <c r="LGV208" i="38"/>
  <c r="LGU208" i="38"/>
  <c r="LGT208" i="38"/>
  <c r="LGS208" i="38"/>
  <c r="LGR208" i="38"/>
  <c r="LGQ208" i="38"/>
  <c r="LGP208" i="38"/>
  <c r="LGO208" i="38"/>
  <c r="LGN208" i="38"/>
  <c r="LGM208" i="38"/>
  <c r="LGL208" i="38"/>
  <c r="LGK208" i="38"/>
  <c r="LGJ208" i="38"/>
  <c r="LGI208" i="38"/>
  <c r="LGH208" i="38"/>
  <c r="LGG208" i="38"/>
  <c r="LGF208" i="38"/>
  <c r="LGE208" i="38"/>
  <c r="LGD208" i="38"/>
  <c r="LGC208" i="38"/>
  <c r="LGB208" i="38"/>
  <c r="LGA208" i="38"/>
  <c r="LFZ208" i="38"/>
  <c r="LFY208" i="38"/>
  <c r="LFX208" i="38"/>
  <c r="LFW208" i="38"/>
  <c r="LFV208" i="38"/>
  <c r="LFU208" i="38"/>
  <c r="LFT208" i="38"/>
  <c r="LFS208" i="38"/>
  <c r="LFR208" i="38"/>
  <c r="LFQ208" i="38"/>
  <c r="LFP208" i="38"/>
  <c r="LFO208" i="38"/>
  <c r="LFN208" i="38"/>
  <c r="LFM208" i="38"/>
  <c r="LFL208" i="38"/>
  <c r="LFK208" i="38"/>
  <c r="LFJ208" i="38"/>
  <c r="LFI208" i="38"/>
  <c r="LFH208" i="38"/>
  <c r="LFG208" i="38"/>
  <c r="LFF208" i="38"/>
  <c r="LFE208" i="38"/>
  <c r="LFD208" i="38"/>
  <c r="LFC208" i="38"/>
  <c r="LFB208" i="38"/>
  <c r="LFA208" i="38"/>
  <c r="LEZ208" i="38"/>
  <c r="LEY208" i="38"/>
  <c r="LEX208" i="38"/>
  <c r="LEW208" i="38"/>
  <c r="LEV208" i="38"/>
  <c r="LEU208" i="38"/>
  <c r="LET208" i="38"/>
  <c r="LES208" i="38"/>
  <c r="LER208" i="38"/>
  <c r="LEQ208" i="38"/>
  <c r="LEP208" i="38"/>
  <c r="LEO208" i="38"/>
  <c r="LEN208" i="38"/>
  <c r="LEM208" i="38"/>
  <c r="LEL208" i="38"/>
  <c r="LEK208" i="38"/>
  <c r="LEJ208" i="38"/>
  <c r="LEI208" i="38"/>
  <c r="LEH208" i="38"/>
  <c r="LEG208" i="38"/>
  <c r="LEF208" i="38"/>
  <c r="LEE208" i="38"/>
  <c r="LED208" i="38"/>
  <c r="LEC208" i="38"/>
  <c r="LEB208" i="38"/>
  <c r="LEA208" i="38"/>
  <c r="LDZ208" i="38"/>
  <c r="LDY208" i="38"/>
  <c r="LDX208" i="38"/>
  <c r="LDW208" i="38"/>
  <c r="LDV208" i="38"/>
  <c r="LDU208" i="38"/>
  <c r="LDT208" i="38"/>
  <c r="LDS208" i="38"/>
  <c r="LDR208" i="38"/>
  <c r="LDQ208" i="38"/>
  <c r="LDP208" i="38"/>
  <c r="LDO208" i="38"/>
  <c r="LDN208" i="38"/>
  <c r="LDM208" i="38"/>
  <c r="LDL208" i="38"/>
  <c r="LDK208" i="38"/>
  <c r="LDJ208" i="38"/>
  <c r="LDI208" i="38"/>
  <c r="LDH208" i="38"/>
  <c r="LDG208" i="38"/>
  <c r="LDF208" i="38"/>
  <c r="LDE208" i="38"/>
  <c r="LDD208" i="38"/>
  <c r="LDC208" i="38"/>
  <c r="LDB208" i="38"/>
  <c r="LDA208" i="38"/>
  <c r="LCZ208" i="38"/>
  <c r="LCY208" i="38"/>
  <c r="LCX208" i="38"/>
  <c r="LCW208" i="38"/>
  <c r="LCV208" i="38"/>
  <c r="LCU208" i="38"/>
  <c r="LCT208" i="38"/>
  <c r="LCS208" i="38"/>
  <c r="LCR208" i="38"/>
  <c r="LCQ208" i="38"/>
  <c r="LCP208" i="38"/>
  <c r="LCO208" i="38"/>
  <c r="LCN208" i="38"/>
  <c r="LCM208" i="38"/>
  <c r="LCL208" i="38"/>
  <c r="LCK208" i="38"/>
  <c r="LCJ208" i="38"/>
  <c r="LCI208" i="38"/>
  <c r="LCH208" i="38"/>
  <c r="LCG208" i="38"/>
  <c r="LCF208" i="38"/>
  <c r="LCE208" i="38"/>
  <c r="LCD208" i="38"/>
  <c r="LCC208" i="38"/>
  <c r="LCB208" i="38"/>
  <c r="LCA208" i="38"/>
  <c r="LBZ208" i="38"/>
  <c r="LBY208" i="38"/>
  <c r="LBX208" i="38"/>
  <c r="LBW208" i="38"/>
  <c r="LBV208" i="38"/>
  <c r="LBU208" i="38"/>
  <c r="LBT208" i="38"/>
  <c r="LBS208" i="38"/>
  <c r="LBR208" i="38"/>
  <c r="LBQ208" i="38"/>
  <c r="LBP208" i="38"/>
  <c r="LBO208" i="38"/>
  <c r="LBN208" i="38"/>
  <c r="LBM208" i="38"/>
  <c r="LBL208" i="38"/>
  <c r="LBK208" i="38"/>
  <c r="LBJ208" i="38"/>
  <c r="LBI208" i="38"/>
  <c r="LBH208" i="38"/>
  <c r="LBG208" i="38"/>
  <c r="LBF208" i="38"/>
  <c r="LBE208" i="38"/>
  <c r="LBD208" i="38"/>
  <c r="LBC208" i="38"/>
  <c r="LBB208" i="38"/>
  <c r="LBA208" i="38"/>
  <c r="LAZ208" i="38"/>
  <c r="LAY208" i="38"/>
  <c r="LAX208" i="38"/>
  <c r="LAW208" i="38"/>
  <c r="LAV208" i="38"/>
  <c r="LAU208" i="38"/>
  <c r="LAT208" i="38"/>
  <c r="LAS208" i="38"/>
  <c r="LAR208" i="38"/>
  <c r="LAQ208" i="38"/>
  <c r="LAP208" i="38"/>
  <c r="LAO208" i="38"/>
  <c r="LAN208" i="38"/>
  <c r="LAM208" i="38"/>
  <c r="LAL208" i="38"/>
  <c r="LAK208" i="38"/>
  <c r="LAJ208" i="38"/>
  <c r="LAI208" i="38"/>
  <c r="LAH208" i="38"/>
  <c r="LAG208" i="38"/>
  <c r="LAF208" i="38"/>
  <c r="LAE208" i="38"/>
  <c r="LAD208" i="38"/>
  <c r="LAC208" i="38"/>
  <c r="LAB208" i="38"/>
  <c r="LAA208" i="38"/>
  <c r="KZZ208" i="38"/>
  <c r="KZY208" i="38"/>
  <c r="KZX208" i="38"/>
  <c r="KZW208" i="38"/>
  <c r="KZV208" i="38"/>
  <c r="KZU208" i="38"/>
  <c r="KZT208" i="38"/>
  <c r="KZS208" i="38"/>
  <c r="KZR208" i="38"/>
  <c r="KZQ208" i="38"/>
  <c r="KZP208" i="38"/>
  <c r="KZO208" i="38"/>
  <c r="KZN208" i="38"/>
  <c r="KZM208" i="38"/>
  <c r="KZL208" i="38"/>
  <c r="KZK208" i="38"/>
  <c r="KZJ208" i="38"/>
  <c r="KZI208" i="38"/>
  <c r="KZH208" i="38"/>
  <c r="KZG208" i="38"/>
  <c r="KZF208" i="38"/>
  <c r="KZE208" i="38"/>
  <c r="KZD208" i="38"/>
  <c r="KZC208" i="38"/>
  <c r="KZB208" i="38"/>
  <c r="KZA208" i="38"/>
  <c r="KYZ208" i="38"/>
  <c r="KYY208" i="38"/>
  <c r="KYX208" i="38"/>
  <c r="KYW208" i="38"/>
  <c r="KYV208" i="38"/>
  <c r="KYU208" i="38"/>
  <c r="KYT208" i="38"/>
  <c r="KYS208" i="38"/>
  <c r="KYR208" i="38"/>
  <c r="KYQ208" i="38"/>
  <c r="KYP208" i="38"/>
  <c r="KYO208" i="38"/>
  <c r="KYN208" i="38"/>
  <c r="KYM208" i="38"/>
  <c r="KYL208" i="38"/>
  <c r="KYK208" i="38"/>
  <c r="KYJ208" i="38"/>
  <c r="KYI208" i="38"/>
  <c r="KYH208" i="38"/>
  <c r="KYG208" i="38"/>
  <c r="KYF208" i="38"/>
  <c r="KYE208" i="38"/>
  <c r="KYD208" i="38"/>
  <c r="KYC208" i="38"/>
  <c r="KYB208" i="38"/>
  <c r="KYA208" i="38"/>
  <c r="KXZ208" i="38"/>
  <c r="KXY208" i="38"/>
  <c r="KXX208" i="38"/>
  <c r="KXW208" i="38"/>
  <c r="KXV208" i="38"/>
  <c r="KXU208" i="38"/>
  <c r="KXT208" i="38"/>
  <c r="KXS208" i="38"/>
  <c r="KXR208" i="38"/>
  <c r="KXQ208" i="38"/>
  <c r="KXP208" i="38"/>
  <c r="KXO208" i="38"/>
  <c r="KXN208" i="38"/>
  <c r="KXM208" i="38"/>
  <c r="KXL208" i="38"/>
  <c r="KXK208" i="38"/>
  <c r="KXJ208" i="38"/>
  <c r="KXI208" i="38"/>
  <c r="KXH208" i="38"/>
  <c r="KXG208" i="38"/>
  <c r="KXF208" i="38"/>
  <c r="KXE208" i="38"/>
  <c r="KXD208" i="38"/>
  <c r="KXC208" i="38"/>
  <c r="KXB208" i="38"/>
  <c r="KXA208" i="38"/>
  <c r="KWZ208" i="38"/>
  <c r="KWY208" i="38"/>
  <c r="KWX208" i="38"/>
  <c r="KWW208" i="38"/>
  <c r="KWV208" i="38"/>
  <c r="KWU208" i="38"/>
  <c r="KWT208" i="38"/>
  <c r="KWS208" i="38"/>
  <c r="KWR208" i="38"/>
  <c r="KWQ208" i="38"/>
  <c r="KWP208" i="38"/>
  <c r="KWO208" i="38"/>
  <c r="KWN208" i="38"/>
  <c r="KWM208" i="38"/>
  <c r="KWL208" i="38"/>
  <c r="KWK208" i="38"/>
  <c r="KWJ208" i="38"/>
  <c r="KWI208" i="38"/>
  <c r="KWH208" i="38"/>
  <c r="KWG208" i="38"/>
  <c r="KWF208" i="38"/>
  <c r="KWE208" i="38"/>
  <c r="KWD208" i="38"/>
  <c r="KWC208" i="38"/>
  <c r="KWB208" i="38"/>
  <c r="KWA208" i="38"/>
  <c r="KVZ208" i="38"/>
  <c r="KVY208" i="38"/>
  <c r="KVX208" i="38"/>
  <c r="KVW208" i="38"/>
  <c r="KVV208" i="38"/>
  <c r="KVU208" i="38"/>
  <c r="KVT208" i="38"/>
  <c r="KVS208" i="38"/>
  <c r="KVR208" i="38"/>
  <c r="KVQ208" i="38"/>
  <c r="KVP208" i="38"/>
  <c r="KVO208" i="38"/>
  <c r="KVN208" i="38"/>
  <c r="KVM208" i="38"/>
  <c r="KVL208" i="38"/>
  <c r="KVK208" i="38"/>
  <c r="KVJ208" i="38"/>
  <c r="KVI208" i="38"/>
  <c r="KVH208" i="38"/>
  <c r="KVG208" i="38"/>
  <c r="KVF208" i="38"/>
  <c r="KVE208" i="38"/>
  <c r="KVD208" i="38"/>
  <c r="KVC208" i="38"/>
  <c r="KVB208" i="38"/>
  <c r="KVA208" i="38"/>
  <c r="KUZ208" i="38"/>
  <c r="KUY208" i="38"/>
  <c r="KUX208" i="38"/>
  <c r="KUW208" i="38"/>
  <c r="KUV208" i="38"/>
  <c r="KUU208" i="38"/>
  <c r="KUT208" i="38"/>
  <c r="KUS208" i="38"/>
  <c r="KUR208" i="38"/>
  <c r="KUQ208" i="38"/>
  <c r="KUP208" i="38"/>
  <c r="KUO208" i="38"/>
  <c r="KUN208" i="38"/>
  <c r="KUM208" i="38"/>
  <c r="KUL208" i="38"/>
  <c r="KUK208" i="38"/>
  <c r="KUJ208" i="38"/>
  <c r="KUI208" i="38"/>
  <c r="KUH208" i="38"/>
  <c r="KUG208" i="38"/>
  <c r="KUF208" i="38"/>
  <c r="KUE208" i="38"/>
  <c r="KUD208" i="38"/>
  <c r="KUC208" i="38"/>
  <c r="KUB208" i="38"/>
  <c r="KUA208" i="38"/>
  <c r="KTZ208" i="38"/>
  <c r="KTY208" i="38"/>
  <c r="KTX208" i="38"/>
  <c r="KTW208" i="38"/>
  <c r="KTV208" i="38"/>
  <c r="KTU208" i="38"/>
  <c r="KTT208" i="38"/>
  <c r="KTS208" i="38"/>
  <c r="KTR208" i="38"/>
  <c r="KTQ208" i="38"/>
  <c r="KTP208" i="38"/>
  <c r="KTO208" i="38"/>
  <c r="KTN208" i="38"/>
  <c r="KTM208" i="38"/>
  <c r="KTL208" i="38"/>
  <c r="KTK208" i="38"/>
  <c r="KTJ208" i="38"/>
  <c r="KTI208" i="38"/>
  <c r="KTH208" i="38"/>
  <c r="KTG208" i="38"/>
  <c r="KTF208" i="38"/>
  <c r="KTE208" i="38"/>
  <c r="KTD208" i="38"/>
  <c r="KTC208" i="38"/>
  <c r="KTB208" i="38"/>
  <c r="KTA208" i="38"/>
  <c r="KSZ208" i="38"/>
  <c r="KSY208" i="38"/>
  <c r="KSX208" i="38"/>
  <c r="KSW208" i="38"/>
  <c r="KSV208" i="38"/>
  <c r="KSU208" i="38"/>
  <c r="KST208" i="38"/>
  <c r="KSS208" i="38"/>
  <c r="KSR208" i="38"/>
  <c r="KSQ208" i="38"/>
  <c r="KSP208" i="38"/>
  <c r="KSO208" i="38"/>
  <c r="KSN208" i="38"/>
  <c r="KSM208" i="38"/>
  <c r="KSL208" i="38"/>
  <c r="KSK208" i="38"/>
  <c r="KSJ208" i="38"/>
  <c r="KSI208" i="38"/>
  <c r="KSH208" i="38"/>
  <c r="KSG208" i="38"/>
  <c r="KSF208" i="38"/>
  <c r="KSE208" i="38"/>
  <c r="KSD208" i="38"/>
  <c r="KSC208" i="38"/>
  <c r="KSB208" i="38"/>
  <c r="KSA208" i="38"/>
  <c r="KRZ208" i="38"/>
  <c r="KRY208" i="38"/>
  <c r="KRX208" i="38"/>
  <c r="KRW208" i="38"/>
  <c r="KRV208" i="38"/>
  <c r="KRU208" i="38"/>
  <c r="KRT208" i="38"/>
  <c r="KRS208" i="38"/>
  <c r="KRR208" i="38"/>
  <c r="KRQ208" i="38"/>
  <c r="KRP208" i="38"/>
  <c r="KRO208" i="38"/>
  <c r="KRN208" i="38"/>
  <c r="KRM208" i="38"/>
  <c r="KRL208" i="38"/>
  <c r="KRK208" i="38"/>
  <c r="KRJ208" i="38"/>
  <c r="KRI208" i="38"/>
  <c r="KRH208" i="38"/>
  <c r="KRG208" i="38"/>
  <c r="KRF208" i="38"/>
  <c r="KRE208" i="38"/>
  <c r="KRD208" i="38"/>
  <c r="KRC208" i="38"/>
  <c r="KRB208" i="38"/>
  <c r="KRA208" i="38"/>
  <c r="KQZ208" i="38"/>
  <c r="KQY208" i="38"/>
  <c r="KQX208" i="38"/>
  <c r="KQW208" i="38"/>
  <c r="KQV208" i="38"/>
  <c r="KQU208" i="38"/>
  <c r="KQT208" i="38"/>
  <c r="KQS208" i="38"/>
  <c r="KQR208" i="38"/>
  <c r="KQQ208" i="38"/>
  <c r="KQP208" i="38"/>
  <c r="KQO208" i="38"/>
  <c r="KQN208" i="38"/>
  <c r="KQM208" i="38"/>
  <c r="KQL208" i="38"/>
  <c r="KQK208" i="38"/>
  <c r="KQJ208" i="38"/>
  <c r="KQI208" i="38"/>
  <c r="KQH208" i="38"/>
  <c r="KQG208" i="38"/>
  <c r="KQF208" i="38"/>
  <c r="KQE208" i="38"/>
  <c r="KQD208" i="38"/>
  <c r="KQC208" i="38"/>
  <c r="KQB208" i="38"/>
  <c r="KQA208" i="38"/>
  <c r="KPZ208" i="38"/>
  <c r="KPY208" i="38"/>
  <c r="KPX208" i="38"/>
  <c r="KPW208" i="38"/>
  <c r="KPV208" i="38"/>
  <c r="KPU208" i="38"/>
  <c r="KPT208" i="38"/>
  <c r="KPS208" i="38"/>
  <c r="KPR208" i="38"/>
  <c r="KPQ208" i="38"/>
  <c r="KPP208" i="38"/>
  <c r="KPO208" i="38"/>
  <c r="KPN208" i="38"/>
  <c r="KPM208" i="38"/>
  <c r="KPL208" i="38"/>
  <c r="KPK208" i="38"/>
  <c r="KPJ208" i="38"/>
  <c r="KPI208" i="38"/>
  <c r="KPH208" i="38"/>
  <c r="KPG208" i="38"/>
  <c r="KPF208" i="38"/>
  <c r="KPE208" i="38"/>
  <c r="KPD208" i="38"/>
  <c r="KPC208" i="38"/>
  <c r="KPB208" i="38"/>
  <c r="KPA208" i="38"/>
  <c r="KOZ208" i="38"/>
  <c r="KOY208" i="38"/>
  <c r="KOX208" i="38"/>
  <c r="KOW208" i="38"/>
  <c r="KOV208" i="38"/>
  <c r="KOU208" i="38"/>
  <c r="KOT208" i="38"/>
  <c r="KOS208" i="38"/>
  <c r="KOR208" i="38"/>
  <c r="KOQ208" i="38"/>
  <c r="KOP208" i="38"/>
  <c r="KOO208" i="38"/>
  <c r="KON208" i="38"/>
  <c r="KOM208" i="38"/>
  <c r="KOL208" i="38"/>
  <c r="KOK208" i="38"/>
  <c r="KOJ208" i="38"/>
  <c r="KOI208" i="38"/>
  <c r="KOH208" i="38"/>
  <c r="KOG208" i="38"/>
  <c r="KOF208" i="38"/>
  <c r="KOE208" i="38"/>
  <c r="KOD208" i="38"/>
  <c r="KOC208" i="38"/>
  <c r="KOB208" i="38"/>
  <c r="KOA208" i="38"/>
  <c r="KNZ208" i="38"/>
  <c r="KNY208" i="38"/>
  <c r="KNX208" i="38"/>
  <c r="KNW208" i="38"/>
  <c r="KNV208" i="38"/>
  <c r="KNU208" i="38"/>
  <c r="KNT208" i="38"/>
  <c r="KNS208" i="38"/>
  <c r="KNR208" i="38"/>
  <c r="KNQ208" i="38"/>
  <c r="KNP208" i="38"/>
  <c r="KNO208" i="38"/>
  <c r="KNN208" i="38"/>
  <c r="KNM208" i="38"/>
  <c r="KNL208" i="38"/>
  <c r="KNK208" i="38"/>
  <c r="KNJ208" i="38"/>
  <c r="KNI208" i="38"/>
  <c r="KNH208" i="38"/>
  <c r="KNG208" i="38"/>
  <c r="KNF208" i="38"/>
  <c r="KNE208" i="38"/>
  <c r="KND208" i="38"/>
  <c r="KNC208" i="38"/>
  <c r="KNB208" i="38"/>
  <c r="KNA208" i="38"/>
  <c r="KMZ208" i="38"/>
  <c r="KMY208" i="38"/>
  <c r="KMX208" i="38"/>
  <c r="KMW208" i="38"/>
  <c r="KMV208" i="38"/>
  <c r="KMU208" i="38"/>
  <c r="KMT208" i="38"/>
  <c r="KMS208" i="38"/>
  <c r="KMR208" i="38"/>
  <c r="KMQ208" i="38"/>
  <c r="KMP208" i="38"/>
  <c r="KMO208" i="38"/>
  <c r="KMN208" i="38"/>
  <c r="KMM208" i="38"/>
  <c r="KML208" i="38"/>
  <c r="KMK208" i="38"/>
  <c r="KMJ208" i="38"/>
  <c r="KMI208" i="38"/>
  <c r="KMH208" i="38"/>
  <c r="KMG208" i="38"/>
  <c r="KMF208" i="38"/>
  <c r="KME208" i="38"/>
  <c r="KMD208" i="38"/>
  <c r="KMC208" i="38"/>
  <c r="KMB208" i="38"/>
  <c r="KMA208" i="38"/>
  <c r="KLZ208" i="38"/>
  <c r="KLY208" i="38"/>
  <c r="KLX208" i="38"/>
  <c r="KLW208" i="38"/>
  <c r="KLV208" i="38"/>
  <c r="KLU208" i="38"/>
  <c r="KLT208" i="38"/>
  <c r="KLS208" i="38"/>
  <c r="KLR208" i="38"/>
  <c r="KLQ208" i="38"/>
  <c r="KLP208" i="38"/>
  <c r="KLO208" i="38"/>
  <c r="KLN208" i="38"/>
  <c r="KLM208" i="38"/>
  <c r="KLL208" i="38"/>
  <c r="KLK208" i="38"/>
  <c r="KLJ208" i="38"/>
  <c r="KLI208" i="38"/>
  <c r="KLH208" i="38"/>
  <c r="KLG208" i="38"/>
  <c r="KLF208" i="38"/>
  <c r="KLE208" i="38"/>
  <c r="KLD208" i="38"/>
  <c r="KLC208" i="38"/>
  <c r="KLB208" i="38"/>
  <c r="KLA208" i="38"/>
  <c r="KKZ208" i="38"/>
  <c r="KKY208" i="38"/>
  <c r="KKX208" i="38"/>
  <c r="KKW208" i="38"/>
  <c r="KKV208" i="38"/>
  <c r="KKU208" i="38"/>
  <c r="KKT208" i="38"/>
  <c r="KKS208" i="38"/>
  <c r="KKR208" i="38"/>
  <c r="KKQ208" i="38"/>
  <c r="KKP208" i="38"/>
  <c r="KKO208" i="38"/>
  <c r="KKN208" i="38"/>
  <c r="KKM208" i="38"/>
  <c r="KKL208" i="38"/>
  <c r="KKK208" i="38"/>
  <c r="KKJ208" i="38"/>
  <c r="KKI208" i="38"/>
  <c r="KKH208" i="38"/>
  <c r="KKG208" i="38"/>
  <c r="KKF208" i="38"/>
  <c r="KKE208" i="38"/>
  <c r="KKD208" i="38"/>
  <c r="KKC208" i="38"/>
  <c r="KKB208" i="38"/>
  <c r="KKA208" i="38"/>
  <c r="KJZ208" i="38"/>
  <c r="KJY208" i="38"/>
  <c r="KJX208" i="38"/>
  <c r="KJW208" i="38"/>
  <c r="KJV208" i="38"/>
  <c r="KJU208" i="38"/>
  <c r="KJT208" i="38"/>
  <c r="KJS208" i="38"/>
  <c r="KJR208" i="38"/>
  <c r="KJQ208" i="38"/>
  <c r="KJP208" i="38"/>
  <c r="KJO208" i="38"/>
  <c r="KJN208" i="38"/>
  <c r="KJM208" i="38"/>
  <c r="KJL208" i="38"/>
  <c r="KJK208" i="38"/>
  <c r="KJJ208" i="38"/>
  <c r="KJI208" i="38"/>
  <c r="KJH208" i="38"/>
  <c r="KJG208" i="38"/>
  <c r="KJF208" i="38"/>
  <c r="KJE208" i="38"/>
  <c r="KJD208" i="38"/>
  <c r="KJC208" i="38"/>
  <c r="KJB208" i="38"/>
  <c r="KJA208" i="38"/>
  <c r="KIZ208" i="38"/>
  <c r="KIY208" i="38"/>
  <c r="KIX208" i="38"/>
  <c r="KIW208" i="38"/>
  <c r="KIV208" i="38"/>
  <c r="KIU208" i="38"/>
  <c r="KIT208" i="38"/>
  <c r="KIS208" i="38"/>
  <c r="KIR208" i="38"/>
  <c r="KIQ208" i="38"/>
  <c r="KIP208" i="38"/>
  <c r="KIO208" i="38"/>
  <c r="KIN208" i="38"/>
  <c r="KIM208" i="38"/>
  <c r="KIL208" i="38"/>
  <c r="KIK208" i="38"/>
  <c r="KIJ208" i="38"/>
  <c r="KII208" i="38"/>
  <c r="KIH208" i="38"/>
  <c r="KIG208" i="38"/>
  <c r="KIF208" i="38"/>
  <c r="KIE208" i="38"/>
  <c r="KID208" i="38"/>
  <c r="KIC208" i="38"/>
  <c r="KIB208" i="38"/>
  <c r="KIA208" i="38"/>
  <c r="KHZ208" i="38"/>
  <c r="KHY208" i="38"/>
  <c r="KHX208" i="38"/>
  <c r="KHW208" i="38"/>
  <c r="KHV208" i="38"/>
  <c r="KHU208" i="38"/>
  <c r="KHT208" i="38"/>
  <c r="KHS208" i="38"/>
  <c r="KHR208" i="38"/>
  <c r="KHQ208" i="38"/>
  <c r="KHP208" i="38"/>
  <c r="KHO208" i="38"/>
  <c r="KHN208" i="38"/>
  <c r="KHM208" i="38"/>
  <c r="KHL208" i="38"/>
  <c r="KHK208" i="38"/>
  <c r="KHJ208" i="38"/>
  <c r="KHI208" i="38"/>
  <c r="KHH208" i="38"/>
  <c r="KHG208" i="38"/>
  <c r="KHF208" i="38"/>
  <c r="KHE208" i="38"/>
  <c r="KHD208" i="38"/>
  <c r="KHC208" i="38"/>
  <c r="KHB208" i="38"/>
  <c r="KHA208" i="38"/>
  <c r="KGZ208" i="38"/>
  <c r="KGY208" i="38"/>
  <c r="KGX208" i="38"/>
  <c r="KGW208" i="38"/>
  <c r="KGV208" i="38"/>
  <c r="KGU208" i="38"/>
  <c r="KGT208" i="38"/>
  <c r="KGS208" i="38"/>
  <c r="KGR208" i="38"/>
  <c r="KGQ208" i="38"/>
  <c r="KGP208" i="38"/>
  <c r="KGO208" i="38"/>
  <c r="KGN208" i="38"/>
  <c r="KGM208" i="38"/>
  <c r="KGL208" i="38"/>
  <c r="KGK208" i="38"/>
  <c r="KGJ208" i="38"/>
  <c r="KGI208" i="38"/>
  <c r="KGH208" i="38"/>
  <c r="KGG208" i="38"/>
  <c r="KGF208" i="38"/>
  <c r="KGE208" i="38"/>
  <c r="KGD208" i="38"/>
  <c r="KGC208" i="38"/>
  <c r="KGB208" i="38"/>
  <c r="KGA208" i="38"/>
  <c r="KFZ208" i="38"/>
  <c r="KFY208" i="38"/>
  <c r="KFX208" i="38"/>
  <c r="KFW208" i="38"/>
  <c r="KFV208" i="38"/>
  <c r="KFU208" i="38"/>
  <c r="KFT208" i="38"/>
  <c r="KFS208" i="38"/>
  <c r="KFR208" i="38"/>
  <c r="KFQ208" i="38"/>
  <c r="KFP208" i="38"/>
  <c r="KFO208" i="38"/>
  <c r="KFN208" i="38"/>
  <c r="KFM208" i="38"/>
  <c r="KFL208" i="38"/>
  <c r="KFK208" i="38"/>
  <c r="KFJ208" i="38"/>
  <c r="KFI208" i="38"/>
  <c r="KFH208" i="38"/>
  <c r="KFG208" i="38"/>
  <c r="KFF208" i="38"/>
  <c r="KFE208" i="38"/>
  <c r="KFD208" i="38"/>
  <c r="KFC208" i="38"/>
  <c r="KFB208" i="38"/>
  <c r="KFA208" i="38"/>
  <c r="KEZ208" i="38"/>
  <c r="KEY208" i="38"/>
  <c r="KEX208" i="38"/>
  <c r="KEW208" i="38"/>
  <c r="KEV208" i="38"/>
  <c r="KEU208" i="38"/>
  <c r="KET208" i="38"/>
  <c r="KES208" i="38"/>
  <c r="KER208" i="38"/>
  <c r="KEQ208" i="38"/>
  <c r="KEP208" i="38"/>
  <c r="KEO208" i="38"/>
  <c r="KEN208" i="38"/>
  <c r="KEM208" i="38"/>
  <c r="KEL208" i="38"/>
  <c r="KEK208" i="38"/>
  <c r="KEJ208" i="38"/>
  <c r="KEI208" i="38"/>
  <c r="KEH208" i="38"/>
  <c r="KEG208" i="38"/>
  <c r="KEF208" i="38"/>
  <c r="KEE208" i="38"/>
  <c r="KED208" i="38"/>
  <c r="KEC208" i="38"/>
  <c r="KEB208" i="38"/>
  <c r="KEA208" i="38"/>
  <c r="KDZ208" i="38"/>
  <c r="KDY208" i="38"/>
  <c r="KDX208" i="38"/>
  <c r="KDW208" i="38"/>
  <c r="KDV208" i="38"/>
  <c r="KDU208" i="38"/>
  <c r="KDT208" i="38"/>
  <c r="KDS208" i="38"/>
  <c r="KDR208" i="38"/>
  <c r="KDQ208" i="38"/>
  <c r="KDP208" i="38"/>
  <c r="KDO208" i="38"/>
  <c r="KDN208" i="38"/>
  <c r="KDM208" i="38"/>
  <c r="KDL208" i="38"/>
  <c r="KDK208" i="38"/>
  <c r="KDJ208" i="38"/>
  <c r="KDI208" i="38"/>
  <c r="KDH208" i="38"/>
  <c r="KDG208" i="38"/>
  <c r="KDF208" i="38"/>
  <c r="KDE208" i="38"/>
  <c r="KDD208" i="38"/>
  <c r="KDC208" i="38"/>
  <c r="KDB208" i="38"/>
  <c r="KDA208" i="38"/>
  <c r="KCZ208" i="38"/>
  <c r="KCY208" i="38"/>
  <c r="KCX208" i="38"/>
  <c r="KCW208" i="38"/>
  <c r="KCV208" i="38"/>
  <c r="KCU208" i="38"/>
  <c r="KCT208" i="38"/>
  <c r="KCS208" i="38"/>
  <c r="KCR208" i="38"/>
  <c r="KCQ208" i="38"/>
  <c r="KCP208" i="38"/>
  <c r="KCO208" i="38"/>
  <c r="KCN208" i="38"/>
  <c r="KCM208" i="38"/>
  <c r="KCL208" i="38"/>
  <c r="KCK208" i="38"/>
  <c r="KCJ208" i="38"/>
  <c r="KCI208" i="38"/>
  <c r="KCH208" i="38"/>
  <c r="KCG208" i="38"/>
  <c r="KCF208" i="38"/>
  <c r="KCE208" i="38"/>
  <c r="KCD208" i="38"/>
  <c r="KCC208" i="38"/>
  <c r="KCB208" i="38"/>
  <c r="KCA208" i="38"/>
  <c r="KBZ208" i="38"/>
  <c r="KBY208" i="38"/>
  <c r="KBX208" i="38"/>
  <c r="KBW208" i="38"/>
  <c r="KBV208" i="38"/>
  <c r="KBU208" i="38"/>
  <c r="KBT208" i="38"/>
  <c r="KBS208" i="38"/>
  <c r="KBR208" i="38"/>
  <c r="KBQ208" i="38"/>
  <c r="KBP208" i="38"/>
  <c r="KBO208" i="38"/>
  <c r="KBN208" i="38"/>
  <c r="KBM208" i="38"/>
  <c r="KBL208" i="38"/>
  <c r="KBK208" i="38"/>
  <c r="KBJ208" i="38"/>
  <c r="KBI208" i="38"/>
  <c r="KBH208" i="38"/>
  <c r="KBG208" i="38"/>
  <c r="KBF208" i="38"/>
  <c r="KBE208" i="38"/>
  <c r="KBD208" i="38"/>
  <c r="KBC208" i="38"/>
  <c r="KBB208" i="38"/>
  <c r="KBA208" i="38"/>
  <c r="KAZ208" i="38"/>
  <c r="KAY208" i="38"/>
  <c r="KAX208" i="38"/>
  <c r="KAW208" i="38"/>
  <c r="KAV208" i="38"/>
  <c r="KAU208" i="38"/>
  <c r="KAT208" i="38"/>
  <c r="KAS208" i="38"/>
  <c r="KAR208" i="38"/>
  <c r="KAQ208" i="38"/>
  <c r="KAP208" i="38"/>
  <c r="KAO208" i="38"/>
  <c r="KAN208" i="38"/>
  <c r="KAM208" i="38"/>
  <c r="KAL208" i="38"/>
  <c r="KAK208" i="38"/>
  <c r="KAJ208" i="38"/>
  <c r="KAI208" i="38"/>
  <c r="KAH208" i="38"/>
  <c r="KAG208" i="38"/>
  <c r="KAF208" i="38"/>
  <c r="KAE208" i="38"/>
  <c r="KAD208" i="38"/>
  <c r="KAC208" i="38"/>
  <c r="KAB208" i="38"/>
  <c r="KAA208" i="38"/>
  <c r="JZZ208" i="38"/>
  <c r="JZY208" i="38"/>
  <c r="JZX208" i="38"/>
  <c r="JZW208" i="38"/>
  <c r="JZV208" i="38"/>
  <c r="JZU208" i="38"/>
  <c r="JZT208" i="38"/>
  <c r="JZS208" i="38"/>
  <c r="JZR208" i="38"/>
  <c r="JZQ208" i="38"/>
  <c r="JZP208" i="38"/>
  <c r="JZO208" i="38"/>
  <c r="JZN208" i="38"/>
  <c r="JZM208" i="38"/>
  <c r="JZL208" i="38"/>
  <c r="JZK208" i="38"/>
  <c r="JZJ208" i="38"/>
  <c r="JZI208" i="38"/>
  <c r="JZH208" i="38"/>
  <c r="JZG208" i="38"/>
  <c r="JZF208" i="38"/>
  <c r="JZE208" i="38"/>
  <c r="JZD208" i="38"/>
  <c r="JZC208" i="38"/>
  <c r="JZB208" i="38"/>
  <c r="JZA208" i="38"/>
  <c r="JYZ208" i="38"/>
  <c r="JYY208" i="38"/>
  <c r="JYX208" i="38"/>
  <c r="JYW208" i="38"/>
  <c r="JYV208" i="38"/>
  <c r="JYU208" i="38"/>
  <c r="JYT208" i="38"/>
  <c r="JYS208" i="38"/>
  <c r="JYR208" i="38"/>
  <c r="JYQ208" i="38"/>
  <c r="JYP208" i="38"/>
  <c r="JYO208" i="38"/>
  <c r="JYN208" i="38"/>
  <c r="JYM208" i="38"/>
  <c r="JYL208" i="38"/>
  <c r="JYK208" i="38"/>
  <c r="JYJ208" i="38"/>
  <c r="JYI208" i="38"/>
  <c r="JYH208" i="38"/>
  <c r="JYG208" i="38"/>
  <c r="JYF208" i="38"/>
  <c r="JYE208" i="38"/>
  <c r="JYD208" i="38"/>
  <c r="JYC208" i="38"/>
  <c r="JYB208" i="38"/>
  <c r="JYA208" i="38"/>
  <c r="JXZ208" i="38"/>
  <c r="JXY208" i="38"/>
  <c r="JXX208" i="38"/>
  <c r="JXW208" i="38"/>
  <c r="JXV208" i="38"/>
  <c r="JXU208" i="38"/>
  <c r="JXT208" i="38"/>
  <c r="JXS208" i="38"/>
  <c r="JXR208" i="38"/>
  <c r="JXQ208" i="38"/>
  <c r="JXP208" i="38"/>
  <c r="JXO208" i="38"/>
  <c r="JXN208" i="38"/>
  <c r="JXM208" i="38"/>
  <c r="JXL208" i="38"/>
  <c r="JXK208" i="38"/>
  <c r="JXJ208" i="38"/>
  <c r="JXI208" i="38"/>
  <c r="JXH208" i="38"/>
  <c r="JXG208" i="38"/>
  <c r="JXF208" i="38"/>
  <c r="JXE208" i="38"/>
  <c r="JXD208" i="38"/>
  <c r="JXC208" i="38"/>
  <c r="JXB208" i="38"/>
  <c r="JXA208" i="38"/>
  <c r="JWZ208" i="38"/>
  <c r="JWY208" i="38"/>
  <c r="JWX208" i="38"/>
  <c r="JWW208" i="38"/>
  <c r="JWV208" i="38"/>
  <c r="JWU208" i="38"/>
  <c r="JWT208" i="38"/>
  <c r="JWS208" i="38"/>
  <c r="JWR208" i="38"/>
  <c r="JWQ208" i="38"/>
  <c r="JWP208" i="38"/>
  <c r="JWO208" i="38"/>
  <c r="JWN208" i="38"/>
  <c r="JWM208" i="38"/>
  <c r="JWL208" i="38"/>
  <c r="JWK208" i="38"/>
  <c r="JWJ208" i="38"/>
  <c r="JWI208" i="38"/>
  <c r="JWH208" i="38"/>
  <c r="JWG208" i="38"/>
  <c r="JWF208" i="38"/>
  <c r="JWE208" i="38"/>
  <c r="JWD208" i="38"/>
  <c r="JWC208" i="38"/>
  <c r="JWB208" i="38"/>
  <c r="JWA208" i="38"/>
  <c r="JVZ208" i="38"/>
  <c r="JVY208" i="38"/>
  <c r="JVX208" i="38"/>
  <c r="JVW208" i="38"/>
  <c r="JVV208" i="38"/>
  <c r="JVU208" i="38"/>
  <c r="JVT208" i="38"/>
  <c r="JVS208" i="38"/>
  <c r="JVR208" i="38"/>
  <c r="JVQ208" i="38"/>
  <c r="JVP208" i="38"/>
  <c r="JVO208" i="38"/>
  <c r="JVN208" i="38"/>
  <c r="JVM208" i="38"/>
  <c r="JVL208" i="38"/>
  <c r="JVK208" i="38"/>
  <c r="JVJ208" i="38"/>
  <c r="JVI208" i="38"/>
  <c r="JVH208" i="38"/>
  <c r="JVG208" i="38"/>
  <c r="JVF208" i="38"/>
  <c r="JVE208" i="38"/>
  <c r="JVD208" i="38"/>
  <c r="JVC208" i="38"/>
  <c r="JVB208" i="38"/>
  <c r="JVA208" i="38"/>
  <c r="JUZ208" i="38"/>
  <c r="JUY208" i="38"/>
  <c r="JUX208" i="38"/>
  <c r="JUW208" i="38"/>
  <c r="JUV208" i="38"/>
  <c r="JUU208" i="38"/>
  <c r="JUT208" i="38"/>
  <c r="JUS208" i="38"/>
  <c r="JUR208" i="38"/>
  <c r="JUQ208" i="38"/>
  <c r="JUP208" i="38"/>
  <c r="JUO208" i="38"/>
  <c r="JUN208" i="38"/>
  <c r="JUM208" i="38"/>
  <c r="JUL208" i="38"/>
  <c r="JUK208" i="38"/>
  <c r="JUJ208" i="38"/>
  <c r="JUI208" i="38"/>
  <c r="JUH208" i="38"/>
  <c r="JUG208" i="38"/>
  <c r="JUF208" i="38"/>
  <c r="JUE208" i="38"/>
  <c r="JUD208" i="38"/>
  <c r="JUC208" i="38"/>
  <c r="JUB208" i="38"/>
  <c r="JUA208" i="38"/>
  <c r="JTZ208" i="38"/>
  <c r="JTY208" i="38"/>
  <c r="JTX208" i="38"/>
  <c r="JTW208" i="38"/>
  <c r="JTV208" i="38"/>
  <c r="JTU208" i="38"/>
  <c r="JTT208" i="38"/>
  <c r="JTS208" i="38"/>
  <c r="JTR208" i="38"/>
  <c r="JTQ208" i="38"/>
  <c r="JTP208" i="38"/>
  <c r="JTO208" i="38"/>
  <c r="JTN208" i="38"/>
  <c r="JTM208" i="38"/>
  <c r="JTL208" i="38"/>
  <c r="JTK208" i="38"/>
  <c r="JTJ208" i="38"/>
  <c r="JTI208" i="38"/>
  <c r="JTH208" i="38"/>
  <c r="JTG208" i="38"/>
  <c r="JTF208" i="38"/>
  <c r="JTE208" i="38"/>
  <c r="JTD208" i="38"/>
  <c r="JTC208" i="38"/>
  <c r="JTB208" i="38"/>
  <c r="JTA208" i="38"/>
  <c r="JSZ208" i="38"/>
  <c r="JSY208" i="38"/>
  <c r="JSX208" i="38"/>
  <c r="JSW208" i="38"/>
  <c r="JSV208" i="38"/>
  <c r="JSU208" i="38"/>
  <c r="JST208" i="38"/>
  <c r="JSS208" i="38"/>
  <c r="JSR208" i="38"/>
  <c r="JSQ208" i="38"/>
  <c r="JSP208" i="38"/>
  <c r="JSO208" i="38"/>
  <c r="JSN208" i="38"/>
  <c r="JSM208" i="38"/>
  <c r="JSL208" i="38"/>
  <c r="JSK208" i="38"/>
  <c r="JSJ208" i="38"/>
  <c r="JSI208" i="38"/>
  <c r="JSH208" i="38"/>
  <c r="JSG208" i="38"/>
  <c r="JSF208" i="38"/>
  <c r="JSE208" i="38"/>
  <c r="JSD208" i="38"/>
  <c r="JSC208" i="38"/>
  <c r="JSB208" i="38"/>
  <c r="JSA208" i="38"/>
  <c r="JRZ208" i="38"/>
  <c r="JRY208" i="38"/>
  <c r="JRX208" i="38"/>
  <c r="JRW208" i="38"/>
  <c r="JRV208" i="38"/>
  <c r="JRU208" i="38"/>
  <c r="JRT208" i="38"/>
  <c r="JRS208" i="38"/>
  <c r="JRR208" i="38"/>
  <c r="JRQ208" i="38"/>
  <c r="JRP208" i="38"/>
  <c r="JRO208" i="38"/>
  <c r="JRN208" i="38"/>
  <c r="JRM208" i="38"/>
  <c r="JRL208" i="38"/>
  <c r="JRK208" i="38"/>
  <c r="JRJ208" i="38"/>
  <c r="JRI208" i="38"/>
  <c r="JRH208" i="38"/>
  <c r="JRG208" i="38"/>
  <c r="JRF208" i="38"/>
  <c r="JRE208" i="38"/>
  <c r="JRD208" i="38"/>
  <c r="JRC208" i="38"/>
  <c r="JRB208" i="38"/>
  <c r="JRA208" i="38"/>
  <c r="JQZ208" i="38"/>
  <c r="JQY208" i="38"/>
  <c r="JQX208" i="38"/>
  <c r="JQW208" i="38"/>
  <c r="JQV208" i="38"/>
  <c r="JQU208" i="38"/>
  <c r="JQT208" i="38"/>
  <c r="JQS208" i="38"/>
  <c r="JQR208" i="38"/>
  <c r="JQQ208" i="38"/>
  <c r="JQP208" i="38"/>
  <c r="JQO208" i="38"/>
  <c r="JQN208" i="38"/>
  <c r="JQM208" i="38"/>
  <c r="JQL208" i="38"/>
  <c r="JQK208" i="38"/>
  <c r="JQJ208" i="38"/>
  <c r="JQI208" i="38"/>
  <c r="JQH208" i="38"/>
  <c r="JQG208" i="38"/>
  <c r="JQF208" i="38"/>
  <c r="JQE208" i="38"/>
  <c r="JQD208" i="38"/>
  <c r="JQC208" i="38"/>
  <c r="JQB208" i="38"/>
  <c r="JQA208" i="38"/>
  <c r="JPZ208" i="38"/>
  <c r="JPY208" i="38"/>
  <c r="JPX208" i="38"/>
  <c r="JPW208" i="38"/>
  <c r="JPV208" i="38"/>
  <c r="JPU208" i="38"/>
  <c r="JPT208" i="38"/>
  <c r="JPS208" i="38"/>
  <c r="JPR208" i="38"/>
  <c r="JPQ208" i="38"/>
  <c r="JPP208" i="38"/>
  <c r="JPO208" i="38"/>
  <c r="JPN208" i="38"/>
  <c r="JPM208" i="38"/>
  <c r="JPL208" i="38"/>
  <c r="JPK208" i="38"/>
  <c r="JPJ208" i="38"/>
  <c r="JPI208" i="38"/>
  <c r="JPH208" i="38"/>
  <c r="JPG208" i="38"/>
  <c r="JPF208" i="38"/>
  <c r="JPE208" i="38"/>
  <c r="JPD208" i="38"/>
  <c r="JPC208" i="38"/>
  <c r="JPB208" i="38"/>
  <c r="JPA208" i="38"/>
  <c r="JOZ208" i="38"/>
  <c r="JOY208" i="38"/>
  <c r="JOX208" i="38"/>
  <c r="JOW208" i="38"/>
  <c r="JOV208" i="38"/>
  <c r="JOU208" i="38"/>
  <c r="JOT208" i="38"/>
  <c r="JOS208" i="38"/>
  <c r="JOR208" i="38"/>
  <c r="JOQ208" i="38"/>
  <c r="JOP208" i="38"/>
  <c r="JOO208" i="38"/>
  <c r="JON208" i="38"/>
  <c r="JOM208" i="38"/>
  <c r="JOL208" i="38"/>
  <c r="JOK208" i="38"/>
  <c r="JOJ208" i="38"/>
  <c r="JOI208" i="38"/>
  <c r="JOH208" i="38"/>
  <c r="JOG208" i="38"/>
  <c r="JOF208" i="38"/>
  <c r="JOE208" i="38"/>
  <c r="JOD208" i="38"/>
  <c r="JOC208" i="38"/>
  <c r="JOB208" i="38"/>
  <c r="JOA208" i="38"/>
  <c r="JNZ208" i="38"/>
  <c r="JNY208" i="38"/>
  <c r="JNX208" i="38"/>
  <c r="JNW208" i="38"/>
  <c r="JNV208" i="38"/>
  <c r="JNU208" i="38"/>
  <c r="JNT208" i="38"/>
  <c r="JNS208" i="38"/>
  <c r="JNR208" i="38"/>
  <c r="JNQ208" i="38"/>
  <c r="JNP208" i="38"/>
  <c r="JNO208" i="38"/>
  <c r="JNN208" i="38"/>
  <c r="JNM208" i="38"/>
  <c r="JNL208" i="38"/>
  <c r="JNK208" i="38"/>
  <c r="JNJ208" i="38"/>
  <c r="JNI208" i="38"/>
  <c r="JNH208" i="38"/>
  <c r="JNG208" i="38"/>
  <c r="JNF208" i="38"/>
  <c r="JNE208" i="38"/>
  <c r="JND208" i="38"/>
  <c r="JNC208" i="38"/>
  <c r="JNB208" i="38"/>
  <c r="JNA208" i="38"/>
  <c r="JMZ208" i="38"/>
  <c r="JMY208" i="38"/>
  <c r="JMX208" i="38"/>
  <c r="JMW208" i="38"/>
  <c r="JMV208" i="38"/>
  <c r="JMU208" i="38"/>
  <c r="JMT208" i="38"/>
  <c r="JMS208" i="38"/>
  <c r="JMR208" i="38"/>
  <c r="JMQ208" i="38"/>
  <c r="JMP208" i="38"/>
  <c r="JMO208" i="38"/>
  <c r="JMN208" i="38"/>
  <c r="JMM208" i="38"/>
  <c r="JML208" i="38"/>
  <c r="JMK208" i="38"/>
  <c r="JMJ208" i="38"/>
  <c r="JMI208" i="38"/>
  <c r="JMH208" i="38"/>
  <c r="JMG208" i="38"/>
  <c r="JMF208" i="38"/>
  <c r="JME208" i="38"/>
  <c r="JMD208" i="38"/>
  <c r="JMC208" i="38"/>
  <c r="JMB208" i="38"/>
  <c r="JMA208" i="38"/>
  <c r="JLZ208" i="38"/>
  <c r="JLY208" i="38"/>
  <c r="JLX208" i="38"/>
  <c r="JLW208" i="38"/>
  <c r="JLV208" i="38"/>
  <c r="JLU208" i="38"/>
  <c r="JLT208" i="38"/>
  <c r="JLS208" i="38"/>
  <c r="JLR208" i="38"/>
  <c r="JLQ208" i="38"/>
  <c r="JLP208" i="38"/>
  <c r="JLO208" i="38"/>
  <c r="JLN208" i="38"/>
  <c r="JLM208" i="38"/>
  <c r="JLL208" i="38"/>
  <c r="JLK208" i="38"/>
  <c r="JLJ208" i="38"/>
  <c r="JLI208" i="38"/>
  <c r="JLH208" i="38"/>
  <c r="JLG208" i="38"/>
  <c r="JLF208" i="38"/>
  <c r="JLE208" i="38"/>
  <c r="JLD208" i="38"/>
  <c r="JLC208" i="38"/>
  <c r="JLB208" i="38"/>
  <c r="JLA208" i="38"/>
  <c r="JKZ208" i="38"/>
  <c r="JKY208" i="38"/>
  <c r="JKX208" i="38"/>
  <c r="JKW208" i="38"/>
  <c r="JKV208" i="38"/>
  <c r="JKU208" i="38"/>
  <c r="JKT208" i="38"/>
  <c r="JKS208" i="38"/>
  <c r="JKR208" i="38"/>
  <c r="JKQ208" i="38"/>
  <c r="JKP208" i="38"/>
  <c r="JKO208" i="38"/>
  <c r="JKN208" i="38"/>
  <c r="JKM208" i="38"/>
  <c r="JKL208" i="38"/>
  <c r="JKK208" i="38"/>
  <c r="JKJ208" i="38"/>
  <c r="JKI208" i="38"/>
  <c r="JKH208" i="38"/>
  <c r="JKG208" i="38"/>
  <c r="JKF208" i="38"/>
  <c r="JKE208" i="38"/>
  <c r="JKD208" i="38"/>
  <c r="JKC208" i="38"/>
  <c r="JKB208" i="38"/>
  <c r="JKA208" i="38"/>
  <c r="JJZ208" i="38"/>
  <c r="JJY208" i="38"/>
  <c r="JJX208" i="38"/>
  <c r="JJW208" i="38"/>
  <c r="JJV208" i="38"/>
  <c r="JJU208" i="38"/>
  <c r="JJT208" i="38"/>
  <c r="JJS208" i="38"/>
  <c r="JJR208" i="38"/>
  <c r="JJQ208" i="38"/>
  <c r="JJP208" i="38"/>
  <c r="JJO208" i="38"/>
  <c r="JJN208" i="38"/>
  <c r="JJM208" i="38"/>
  <c r="JJL208" i="38"/>
  <c r="JJK208" i="38"/>
  <c r="JJJ208" i="38"/>
  <c r="JJI208" i="38"/>
  <c r="JJH208" i="38"/>
  <c r="JJG208" i="38"/>
  <c r="JJF208" i="38"/>
  <c r="JJE208" i="38"/>
  <c r="JJD208" i="38"/>
  <c r="JJC208" i="38"/>
  <c r="JJB208" i="38"/>
  <c r="JJA208" i="38"/>
  <c r="JIZ208" i="38"/>
  <c r="JIY208" i="38"/>
  <c r="JIX208" i="38"/>
  <c r="JIW208" i="38"/>
  <c r="JIV208" i="38"/>
  <c r="JIU208" i="38"/>
  <c r="JIT208" i="38"/>
  <c r="JIS208" i="38"/>
  <c r="JIR208" i="38"/>
  <c r="JIQ208" i="38"/>
  <c r="JIP208" i="38"/>
  <c r="JIO208" i="38"/>
  <c r="JIN208" i="38"/>
  <c r="JIM208" i="38"/>
  <c r="JIL208" i="38"/>
  <c r="JIK208" i="38"/>
  <c r="JIJ208" i="38"/>
  <c r="JII208" i="38"/>
  <c r="JIH208" i="38"/>
  <c r="JIG208" i="38"/>
  <c r="JIF208" i="38"/>
  <c r="JIE208" i="38"/>
  <c r="JID208" i="38"/>
  <c r="JIC208" i="38"/>
  <c r="JIB208" i="38"/>
  <c r="JIA208" i="38"/>
  <c r="JHZ208" i="38"/>
  <c r="JHY208" i="38"/>
  <c r="JHX208" i="38"/>
  <c r="JHW208" i="38"/>
  <c r="JHV208" i="38"/>
  <c r="JHU208" i="38"/>
  <c r="JHT208" i="38"/>
  <c r="JHS208" i="38"/>
  <c r="JHR208" i="38"/>
  <c r="JHQ208" i="38"/>
  <c r="JHP208" i="38"/>
  <c r="JHO208" i="38"/>
  <c r="JHN208" i="38"/>
  <c r="JHM208" i="38"/>
  <c r="JHL208" i="38"/>
  <c r="JHK208" i="38"/>
  <c r="JHJ208" i="38"/>
  <c r="JHI208" i="38"/>
  <c r="JHH208" i="38"/>
  <c r="JHG208" i="38"/>
  <c r="JHF208" i="38"/>
  <c r="JHE208" i="38"/>
  <c r="JHD208" i="38"/>
  <c r="JHC208" i="38"/>
  <c r="JHB208" i="38"/>
  <c r="JHA208" i="38"/>
  <c r="JGZ208" i="38"/>
  <c r="JGY208" i="38"/>
  <c r="JGX208" i="38"/>
  <c r="JGW208" i="38"/>
  <c r="JGV208" i="38"/>
  <c r="JGU208" i="38"/>
  <c r="JGT208" i="38"/>
  <c r="JGS208" i="38"/>
  <c r="JGR208" i="38"/>
  <c r="JGQ208" i="38"/>
  <c r="JGP208" i="38"/>
  <c r="JGO208" i="38"/>
  <c r="JGN208" i="38"/>
  <c r="JGM208" i="38"/>
  <c r="JGL208" i="38"/>
  <c r="JGK208" i="38"/>
  <c r="JGJ208" i="38"/>
  <c r="JGI208" i="38"/>
  <c r="JGH208" i="38"/>
  <c r="JGG208" i="38"/>
  <c r="JGF208" i="38"/>
  <c r="JGE208" i="38"/>
  <c r="JGD208" i="38"/>
  <c r="JGC208" i="38"/>
  <c r="JGB208" i="38"/>
  <c r="JGA208" i="38"/>
  <c r="JFZ208" i="38"/>
  <c r="JFY208" i="38"/>
  <c r="JFX208" i="38"/>
  <c r="JFW208" i="38"/>
  <c r="JFV208" i="38"/>
  <c r="JFU208" i="38"/>
  <c r="JFT208" i="38"/>
  <c r="JFS208" i="38"/>
  <c r="JFR208" i="38"/>
  <c r="JFQ208" i="38"/>
  <c r="JFP208" i="38"/>
  <c r="JFO208" i="38"/>
  <c r="JFN208" i="38"/>
  <c r="JFM208" i="38"/>
  <c r="JFL208" i="38"/>
  <c r="JFK208" i="38"/>
  <c r="JFJ208" i="38"/>
  <c r="JFI208" i="38"/>
  <c r="JFH208" i="38"/>
  <c r="JFG208" i="38"/>
  <c r="JFF208" i="38"/>
  <c r="JFE208" i="38"/>
  <c r="JFD208" i="38"/>
  <c r="JFC208" i="38"/>
  <c r="JFB208" i="38"/>
  <c r="JFA208" i="38"/>
  <c r="JEZ208" i="38"/>
  <c r="JEY208" i="38"/>
  <c r="JEX208" i="38"/>
  <c r="JEW208" i="38"/>
  <c r="JEV208" i="38"/>
  <c r="JEU208" i="38"/>
  <c r="JET208" i="38"/>
  <c r="JES208" i="38"/>
  <c r="JER208" i="38"/>
  <c r="JEQ208" i="38"/>
  <c r="JEP208" i="38"/>
  <c r="JEO208" i="38"/>
  <c r="JEN208" i="38"/>
  <c r="JEM208" i="38"/>
  <c r="JEL208" i="38"/>
  <c r="JEK208" i="38"/>
  <c r="JEJ208" i="38"/>
  <c r="JEI208" i="38"/>
  <c r="JEH208" i="38"/>
  <c r="JEG208" i="38"/>
  <c r="JEF208" i="38"/>
  <c r="JEE208" i="38"/>
  <c r="JED208" i="38"/>
  <c r="JEC208" i="38"/>
  <c r="JEB208" i="38"/>
  <c r="JEA208" i="38"/>
  <c r="JDZ208" i="38"/>
  <c r="JDY208" i="38"/>
  <c r="JDX208" i="38"/>
  <c r="JDW208" i="38"/>
  <c r="JDV208" i="38"/>
  <c r="JDU208" i="38"/>
  <c r="JDT208" i="38"/>
  <c r="JDS208" i="38"/>
  <c r="JDR208" i="38"/>
  <c r="JDQ208" i="38"/>
  <c r="JDP208" i="38"/>
  <c r="JDO208" i="38"/>
  <c r="JDN208" i="38"/>
  <c r="JDM208" i="38"/>
  <c r="JDL208" i="38"/>
  <c r="JDK208" i="38"/>
  <c r="JDJ208" i="38"/>
  <c r="JDI208" i="38"/>
  <c r="JDH208" i="38"/>
  <c r="JDG208" i="38"/>
  <c r="JDF208" i="38"/>
  <c r="JDE208" i="38"/>
  <c r="JDD208" i="38"/>
  <c r="JDC208" i="38"/>
  <c r="JDB208" i="38"/>
  <c r="JDA208" i="38"/>
  <c r="JCZ208" i="38"/>
  <c r="JCY208" i="38"/>
  <c r="JCX208" i="38"/>
  <c r="JCW208" i="38"/>
  <c r="JCV208" i="38"/>
  <c r="JCU208" i="38"/>
  <c r="JCT208" i="38"/>
  <c r="JCS208" i="38"/>
  <c r="JCR208" i="38"/>
  <c r="JCQ208" i="38"/>
  <c r="JCP208" i="38"/>
  <c r="JCO208" i="38"/>
  <c r="JCN208" i="38"/>
  <c r="JCM208" i="38"/>
  <c r="JCL208" i="38"/>
  <c r="JCK208" i="38"/>
  <c r="JCJ208" i="38"/>
  <c r="JCI208" i="38"/>
  <c r="JCH208" i="38"/>
  <c r="JCG208" i="38"/>
  <c r="JCF208" i="38"/>
  <c r="JCE208" i="38"/>
  <c r="JCD208" i="38"/>
  <c r="JCC208" i="38"/>
  <c r="JCB208" i="38"/>
  <c r="JCA208" i="38"/>
  <c r="JBZ208" i="38"/>
  <c r="JBY208" i="38"/>
  <c r="JBX208" i="38"/>
  <c r="JBW208" i="38"/>
  <c r="JBV208" i="38"/>
  <c r="JBU208" i="38"/>
  <c r="JBT208" i="38"/>
  <c r="JBS208" i="38"/>
  <c r="JBR208" i="38"/>
  <c r="JBQ208" i="38"/>
  <c r="JBP208" i="38"/>
  <c r="JBO208" i="38"/>
  <c r="JBN208" i="38"/>
  <c r="JBM208" i="38"/>
  <c r="JBL208" i="38"/>
  <c r="JBK208" i="38"/>
  <c r="JBJ208" i="38"/>
  <c r="JBI208" i="38"/>
  <c r="JBH208" i="38"/>
  <c r="JBG208" i="38"/>
  <c r="JBF208" i="38"/>
  <c r="JBE208" i="38"/>
  <c r="JBD208" i="38"/>
  <c r="JBC208" i="38"/>
  <c r="JBB208" i="38"/>
  <c r="JBA208" i="38"/>
  <c r="JAZ208" i="38"/>
  <c r="JAY208" i="38"/>
  <c r="JAX208" i="38"/>
  <c r="JAW208" i="38"/>
  <c r="JAV208" i="38"/>
  <c r="JAU208" i="38"/>
  <c r="JAT208" i="38"/>
  <c r="JAS208" i="38"/>
  <c r="JAR208" i="38"/>
  <c r="JAQ208" i="38"/>
  <c r="JAP208" i="38"/>
  <c r="JAO208" i="38"/>
  <c r="JAN208" i="38"/>
  <c r="JAM208" i="38"/>
  <c r="JAL208" i="38"/>
  <c r="JAK208" i="38"/>
  <c r="JAJ208" i="38"/>
  <c r="JAI208" i="38"/>
  <c r="JAH208" i="38"/>
  <c r="JAG208" i="38"/>
  <c r="JAF208" i="38"/>
  <c r="JAE208" i="38"/>
  <c r="JAD208" i="38"/>
  <c r="JAC208" i="38"/>
  <c r="JAB208" i="38"/>
  <c r="JAA208" i="38"/>
  <c r="IZZ208" i="38"/>
  <c r="IZY208" i="38"/>
  <c r="IZX208" i="38"/>
  <c r="IZW208" i="38"/>
  <c r="IZV208" i="38"/>
  <c r="IZU208" i="38"/>
  <c r="IZT208" i="38"/>
  <c r="IZS208" i="38"/>
  <c r="IZR208" i="38"/>
  <c r="IZQ208" i="38"/>
  <c r="IZP208" i="38"/>
  <c r="IZO208" i="38"/>
  <c r="IZN208" i="38"/>
  <c r="IZM208" i="38"/>
  <c r="IZL208" i="38"/>
  <c r="IZK208" i="38"/>
  <c r="IZJ208" i="38"/>
  <c r="IZI208" i="38"/>
  <c r="IZH208" i="38"/>
  <c r="IZG208" i="38"/>
  <c r="IZF208" i="38"/>
  <c r="IZE208" i="38"/>
  <c r="IZD208" i="38"/>
  <c r="IZC208" i="38"/>
  <c r="IZB208" i="38"/>
  <c r="IZA208" i="38"/>
  <c r="IYZ208" i="38"/>
  <c r="IYY208" i="38"/>
  <c r="IYX208" i="38"/>
  <c r="IYW208" i="38"/>
  <c r="IYV208" i="38"/>
  <c r="IYU208" i="38"/>
  <c r="IYT208" i="38"/>
  <c r="IYS208" i="38"/>
  <c r="IYR208" i="38"/>
  <c r="IYQ208" i="38"/>
  <c r="IYP208" i="38"/>
  <c r="IYO208" i="38"/>
  <c r="IYN208" i="38"/>
  <c r="IYM208" i="38"/>
  <c r="IYL208" i="38"/>
  <c r="IYK208" i="38"/>
  <c r="IYJ208" i="38"/>
  <c r="IYI208" i="38"/>
  <c r="IYH208" i="38"/>
  <c r="IYG208" i="38"/>
  <c r="IYF208" i="38"/>
  <c r="IYE208" i="38"/>
  <c r="IYD208" i="38"/>
  <c r="IYC208" i="38"/>
  <c r="IYB208" i="38"/>
  <c r="IYA208" i="38"/>
  <c r="IXZ208" i="38"/>
  <c r="IXY208" i="38"/>
  <c r="IXX208" i="38"/>
  <c r="IXW208" i="38"/>
  <c r="IXV208" i="38"/>
  <c r="IXU208" i="38"/>
  <c r="IXT208" i="38"/>
  <c r="IXS208" i="38"/>
  <c r="IXR208" i="38"/>
  <c r="IXQ208" i="38"/>
  <c r="IXP208" i="38"/>
  <c r="IXO208" i="38"/>
  <c r="IXN208" i="38"/>
  <c r="IXM208" i="38"/>
  <c r="IXL208" i="38"/>
  <c r="IXK208" i="38"/>
  <c r="IXJ208" i="38"/>
  <c r="IXI208" i="38"/>
  <c r="IXH208" i="38"/>
  <c r="IXG208" i="38"/>
  <c r="IXF208" i="38"/>
  <c r="IXE208" i="38"/>
  <c r="IXD208" i="38"/>
  <c r="IXC208" i="38"/>
  <c r="IXB208" i="38"/>
  <c r="IXA208" i="38"/>
  <c r="IWZ208" i="38"/>
  <c r="IWY208" i="38"/>
  <c r="IWX208" i="38"/>
  <c r="IWW208" i="38"/>
  <c r="IWV208" i="38"/>
  <c r="IWU208" i="38"/>
  <c r="IWT208" i="38"/>
  <c r="IWS208" i="38"/>
  <c r="IWR208" i="38"/>
  <c r="IWQ208" i="38"/>
  <c r="IWP208" i="38"/>
  <c r="IWO208" i="38"/>
  <c r="IWN208" i="38"/>
  <c r="IWM208" i="38"/>
  <c r="IWL208" i="38"/>
  <c r="IWK208" i="38"/>
  <c r="IWJ208" i="38"/>
  <c r="IWI208" i="38"/>
  <c r="IWH208" i="38"/>
  <c r="IWG208" i="38"/>
  <c r="IWF208" i="38"/>
  <c r="IWE208" i="38"/>
  <c r="IWD208" i="38"/>
  <c r="IWC208" i="38"/>
  <c r="IWB208" i="38"/>
  <c r="IWA208" i="38"/>
  <c r="IVZ208" i="38"/>
  <c r="IVY208" i="38"/>
  <c r="IVX208" i="38"/>
  <c r="IVW208" i="38"/>
  <c r="IVV208" i="38"/>
  <c r="IVU208" i="38"/>
  <c r="IVT208" i="38"/>
  <c r="IVS208" i="38"/>
  <c r="IVR208" i="38"/>
  <c r="IVQ208" i="38"/>
  <c r="IVP208" i="38"/>
  <c r="IVO208" i="38"/>
  <c r="IVN208" i="38"/>
  <c r="IVM208" i="38"/>
  <c r="IVL208" i="38"/>
  <c r="IVK208" i="38"/>
  <c r="IVJ208" i="38"/>
  <c r="IVI208" i="38"/>
  <c r="IVH208" i="38"/>
  <c r="IVG208" i="38"/>
  <c r="IVF208" i="38"/>
  <c r="IVE208" i="38"/>
  <c r="IVD208" i="38"/>
  <c r="IVC208" i="38"/>
  <c r="IVB208" i="38"/>
  <c r="IVA208" i="38"/>
  <c r="IUZ208" i="38"/>
  <c r="IUY208" i="38"/>
  <c r="IUX208" i="38"/>
  <c r="IUW208" i="38"/>
  <c r="IUV208" i="38"/>
  <c r="IUU208" i="38"/>
  <c r="IUT208" i="38"/>
  <c r="IUS208" i="38"/>
  <c r="IUR208" i="38"/>
  <c r="IUQ208" i="38"/>
  <c r="IUP208" i="38"/>
  <c r="IUO208" i="38"/>
  <c r="IUN208" i="38"/>
  <c r="IUM208" i="38"/>
  <c r="IUL208" i="38"/>
  <c r="IUK208" i="38"/>
  <c r="IUJ208" i="38"/>
  <c r="IUI208" i="38"/>
  <c r="IUH208" i="38"/>
  <c r="IUG208" i="38"/>
  <c r="IUF208" i="38"/>
  <c r="IUE208" i="38"/>
  <c r="IUD208" i="38"/>
  <c r="IUC208" i="38"/>
  <c r="IUB208" i="38"/>
  <c r="IUA208" i="38"/>
  <c r="ITZ208" i="38"/>
  <c r="ITY208" i="38"/>
  <c r="ITX208" i="38"/>
  <c r="ITW208" i="38"/>
  <c r="ITV208" i="38"/>
  <c r="ITU208" i="38"/>
  <c r="ITT208" i="38"/>
  <c r="ITS208" i="38"/>
  <c r="ITR208" i="38"/>
  <c r="ITQ208" i="38"/>
  <c r="ITP208" i="38"/>
  <c r="ITO208" i="38"/>
  <c r="ITN208" i="38"/>
  <c r="ITM208" i="38"/>
  <c r="ITL208" i="38"/>
  <c r="ITK208" i="38"/>
  <c r="ITJ208" i="38"/>
  <c r="ITI208" i="38"/>
  <c r="ITH208" i="38"/>
  <c r="ITG208" i="38"/>
  <c r="ITF208" i="38"/>
  <c r="ITE208" i="38"/>
  <c r="ITD208" i="38"/>
  <c r="ITC208" i="38"/>
  <c r="ITB208" i="38"/>
  <c r="ITA208" i="38"/>
  <c r="ISZ208" i="38"/>
  <c r="ISY208" i="38"/>
  <c r="ISX208" i="38"/>
  <c r="ISW208" i="38"/>
  <c r="ISV208" i="38"/>
  <c r="ISU208" i="38"/>
  <c r="IST208" i="38"/>
  <c r="ISS208" i="38"/>
  <c r="ISR208" i="38"/>
  <c r="ISQ208" i="38"/>
  <c r="ISP208" i="38"/>
  <c r="ISO208" i="38"/>
  <c r="ISN208" i="38"/>
  <c r="ISM208" i="38"/>
  <c r="ISL208" i="38"/>
  <c r="ISK208" i="38"/>
  <c r="ISJ208" i="38"/>
  <c r="ISI208" i="38"/>
  <c r="ISH208" i="38"/>
  <c r="ISG208" i="38"/>
  <c r="ISF208" i="38"/>
  <c r="ISE208" i="38"/>
  <c r="ISD208" i="38"/>
  <c r="ISC208" i="38"/>
  <c r="ISB208" i="38"/>
  <c r="ISA208" i="38"/>
  <c r="IRZ208" i="38"/>
  <c r="IRY208" i="38"/>
  <c r="IRX208" i="38"/>
  <c r="IRW208" i="38"/>
  <c r="IRV208" i="38"/>
  <c r="IRU208" i="38"/>
  <c r="IRT208" i="38"/>
  <c r="IRS208" i="38"/>
  <c r="IRR208" i="38"/>
  <c r="IRQ208" i="38"/>
  <c r="IRP208" i="38"/>
  <c r="IRO208" i="38"/>
  <c r="IRN208" i="38"/>
  <c r="IRM208" i="38"/>
  <c r="IRL208" i="38"/>
  <c r="IRK208" i="38"/>
  <c r="IRJ208" i="38"/>
  <c r="IRI208" i="38"/>
  <c r="IRH208" i="38"/>
  <c r="IRG208" i="38"/>
  <c r="IRF208" i="38"/>
  <c r="IRE208" i="38"/>
  <c r="IRD208" i="38"/>
  <c r="IRC208" i="38"/>
  <c r="IRB208" i="38"/>
  <c r="IRA208" i="38"/>
  <c r="IQZ208" i="38"/>
  <c r="IQY208" i="38"/>
  <c r="IQX208" i="38"/>
  <c r="IQW208" i="38"/>
  <c r="IQV208" i="38"/>
  <c r="IQU208" i="38"/>
  <c r="IQT208" i="38"/>
  <c r="IQS208" i="38"/>
  <c r="IQR208" i="38"/>
  <c r="IQQ208" i="38"/>
  <c r="IQP208" i="38"/>
  <c r="IQO208" i="38"/>
  <c r="IQN208" i="38"/>
  <c r="IQM208" i="38"/>
  <c r="IQL208" i="38"/>
  <c r="IQK208" i="38"/>
  <c r="IQJ208" i="38"/>
  <c r="IQI208" i="38"/>
  <c r="IQH208" i="38"/>
  <c r="IQG208" i="38"/>
  <c r="IQF208" i="38"/>
  <c r="IQE208" i="38"/>
  <c r="IQD208" i="38"/>
  <c r="IQC208" i="38"/>
  <c r="IQB208" i="38"/>
  <c r="IQA208" i="38"/>
  <c r="IPZ208" i="38"/>
  <c r="IPY208" i="38"/>
  <c r="IPX208" i="38"/>
  <c r="IPW208" i="38"/>
  <c r="IPV208" i="38"/>
  <c r="IPU208" i="38"/>
  <c r="IPT208" i="38"/>
  <c r="IPS208" i="38"/>
  <c r="IPR208" i="38"/>
  <c r="IPQ208" i="38"/>
  <c r="IPP208" i="38"/>
  <c r="IPO208" i="38"/>
  <c r="IPN208" i="38"/>
  <c r="IPM208" i="38"/>
  <c r="IPL208" i="38"/>
  <c r="IPK208" i="38"/>
  <c r="IPJ208" i="38"/>
  <c r="IPI208" i="38"/>
  <c r="IPH208" i="38"/>
  <c r="IPG208" i="38"/>
  <c r="IPF208" i="38"/>
  <c r="IPE208" i="38"/>
  <c r="IPD208" i="38"/>
  <c r="IPC208" i="38"/>
  <c r="IPB208" i="38"/>
  <c r="IPA208" i="38"/>
  <c r="IOZ208" i="38"/>
  <c r="IOY208" i="38"/>
  <c r="IOX208" i="38"/>
  <c r="IOW208" i="38"/>
  <c r="IOV208" i="38"/>
  <c r="IOU208" i="38"/>
  <c r="IOT208" i="38"/>
  <c r="IOS208" i="38"/>
  <c r="IOR208" i="38"/>
  <c r="IOQ208" i="38"/>
  <c r="IOP208" i="38"/>
  <c r="IOO208" i="38"/>
  <c r="ION208" i="38"/>
  <c r="IOM208" i="38"/>
  <c r="IOL208" i="38"/>
  <c r="IOK208" i="38"/>
  <c r="IOJ208" i="38"/>
  <c r="IOI208" i="38"/>
  <c r="IOH208" i="38"/>
  <c r="IOG208" i="38"/>
  <c r="IOF208" i="38"/>
  <c r="IOE208" i="38"/>
  <c r="IOD208" i="38"/>
  <c r="IOC208" i="38"/>
  <c r="IOB208" i="38"/>
  <c r="IOA208" i="38"/>
  <c r="INZ208" i="38"/>
  <c r="INY208" i="38"/>
  <c r="INX208" i="38"/>
  <c r="INW208" i="38"/>
  <c r="INV208" i="38"/>
  <c r="INU208" i="38"/>
  <c r="INT208" i="38"/>
  <c r="INS208" i="38"/>
  <c r="INR208" i="38"/>
  <c r="INQ208" i="38"/>
  <c r="INP208" i="38"/>
  <c r="INO208" i="38"/>
  <c r="INN208" i="38"/>
  <c r="INM208" i="38"/>
  <c r="INL208" i="38"/>
  <c r="INK208" i="38"/>
  <c r="INJ208" i="38"/>
  <c r="INI208" i="38"/>
  <c r="INH208" i="38"/>
  <c r="ING208" i="38"/>
  <c r="INF208" i="38"/>
  <c r="INE208" i="38"/>
  <c r="IND208" i="38"/>
  <c r="INC208" i="38"/>
  <c r="INB208" i="38"/>
  <c r="INA208" i="38"/>
  <c r="IMZ208" i="38"/>
  <c r="IMY208" i="38"/>
  <c r="IMX208" i="38"/>
  <c r="IMW208" i="38"/>
  <c r="IMV208" i="38"/>
  <c r="IMU208" i="38"/>
  <c r="IMT208" i="38"/>
  <c r="IMS208" i="38"/>
  <c r="IMR208" i="38"/>
  <c r="IMQ208" i="38"/>
  <c r="IMP208" i="38"/>
  <c r="IMO208" i="38"/>
  <c r="IMN208" i="38"/>
  <c r="IMM208" i="38"/>
  <c r="IML208" i="38"/>
  <c r="IMK208" i="38"/>
  <c r="IMJ208" i="38"/>
  <c r="IMI208" i="38"/>
  <c r="IMH208" i="38"/>
  <c r="IMG208" i="38"/>
  <c r="IMF208" i="38"/>
  <c r="IME208" i="38"/>
  <c r="IMD208" i="38"/>
  <c r="IMC208" i="38"/>
  <c r="IMB208" i="38"/>
  <c r="IMA208" i="38"/>
  <c r="ILZ208" i="38"/>
  <c r="ILY208" i="38"/>
  <c r="ILX208" i="38"/>
  <c r="ILW208" i="38"/>
  <c r="ILV208" i="38"/>
  <c r="ILU208" i="38"/>
  <c r="ILT208" i="38"/>
  <c r="ILS208" i="38"/>
  <c r="ILR208" i="38"/>
  <c r="ILQ208" i="38"/>
  <c r="ILP208" i="38"/>
  <c r="ILO208" i="38"/>
  <c r="ILN208" i="38"/>
  <c r="ILM208" i="38"/>
  <c r="ILL208" i="38"/>
  <c r="ILK208" i="38"/>
  <c r="ILJ208" i="38"/>
  <c r="ILI208" i="38"/>
  <c r="ILH208" i="38"/>
  <c r="ILG208" i="38"/>
  <c r="ILF208" i="38"/>
  <c r="ILE208" i="38"/>
  <c r="ILD208" i="38"/>
  <c r="ILC208" i="38"/>
  <c r="ILB208" i="38"/>
  <c r="ILA208" i="38"/>
  <c r="IKZ208" i="38"/>
  <c r="IKY208" i="38"/>
  <c r="IKX208" i="38"/>
  <c r="IKW208" i="38"/>
  <c r="IKV208" i="38"/>
  <c r="IKU208" i="38"/>
  <c r="IKT208" i="38"/>
  <c r="IKS208" i="38"/>
  <c r="IKR208" i="38"/>
  <c r="IKQ208" i="38"/>
  <c r="IKP208" i="38"/>
  <c r="IKO208" i="38"/>
  <c r="IKN208" i="38"/>
  <c r="IKM208" i="38"/>
  <c r="IKL208" i="38"/>
  <c r="IKK208" i="38"/>
  <c r="IKJ208" i="38"/>
  <c r="IKI208" i="38"/>
  <c r="IKH208" i="38"/>
  <c r="IKG208" i="38"/>
  <c r="IKF208" i="38"/>
  <c r="IKE208" i="38"/>
  <c r="IKD208" i="38"/>
  <c r="IKC208" i="38"/>
  <c r="IKB208" i="38"/>
  <c r="IKA208" i="38"/>
  <c r="IJZ208" i="38"/>
  <c r="IJY208" i="38"/>
  <c r="IJX208" i="38"/>
  <c r="IJW208" i="38"/>
  <c r="IJV208" i="38"/>
  <c r="IJU208" i="38"/>
  <c r="IJT208" i="38"/>
  <c r="IJS208" i="38"/>
  <c r="IJR208" i="38"/>
  <c r="IJQ208" i="38"/>
  <c r="IJP208" i="38"/>
  <c r="IJO208" i="38"/>
  <c r="IJN208" i="38"/>
  <c r="IJM208" i="38"/>
  <c r="IJL208" i="38"/>
  <c r="IJK208" i="38"/>
  <c r="IJJ208" i="38"/>
  <c r="IJI208" i="38"/>
  <c r="IJH208" i="38"/>
  <c r="IJG208" i="38"/>
  <c r="IJF208" i="38"/>
  <c r="IJE208" i="38"/>
  <c r="IJD208" i="38"/>
  <c r="IJC208" i="38"/>
  <c r="IJB208" i="38"/>
  <c r="IJA208" i="38"/>
  <c r="IIZ208" i="38"/>
  <c r="IIY208" i="38"/>
  <c r="IIX208" i="38"/>
  <c r="IIW208" i="38"/>
  <c r="IIV208" i="38"/>
  <c r="IIU208" i="38"/>
  <c r="IIT208" i="38"/>
  <c r="IIS208" i="38"/>
  <c r="IIR208" i="38"/>
  <c r="IIQ208" i="38"/>
  <c r="IIP208" i="38"/>
  <c r="IIO208" i="38"/>
  <c r="IIN208" i="38"/>
  <c r="IIM208" i="38"/>
  <c r="IIL208" i="38"/>
  <c r="IIK208" i="38"/>
  <c r="IIJ208" i="38"/>
  <c r="III208" i="38"/>
  <c r="IIH208" i="38"/>
  <c r="IIG208" i="38"/>
  <c r="IIF208" i="38"/>
  <c r="IIE208" i="38"/>
  <c r="IID208" i="38"/>
  <c r="IIC208" i="38"/>
  <c r="IIB208" i="38"/>
  <c r="IIA208" i="38"/>
  <c r="IHZ208" i="38"/>
  <c r="IHY208" i="38"/>
  <c r="IHX208" i="38"/>
  <c r="IHW208" i="38"/>
  <c r="IHV208" i="38"/>
  <c r="IHU208" i="38"/>
  <c r="IHT208" i="38"/>
  <c r="IHS208" i="38"/>
  <c r="IHR208" i="38"/>
  <c r="IHQ208" i="38"/>
  <c r="IHP208" i="38"/>
  <c r="IHO208" i="38"/>
  <c r="IHN208" i="38"/>
  <c r="IHM208" i="38"/>
  <c r="IHL208" i="38"/>
  <c r="IHK208" i="38"/>
  <c r="IHJ208" i="38"/>
  <c r="IHI208" i="38"/>
  <c r="IHH208" i="38"/>
  <c r="IHG208" i="38"/>
  <c r="IHF208" i="38"/>
  <c r="IHE208" i="38"/>
  <c r="IHD208" i="38"/>
  <c r="IHC208" i="38"/>
  <c r="IHB208" i="38"/>
  <c r="IHA208" i="38"/>
  <c r="IGZ208" i="38"/>
  <c r="IGY208" i="38"/>
  <c r="IGX208" i="38"/>
  <c r="IGW208" i="38"/>
  <c r="IGV208" i="38"/>
  <c r="IGU208" i="38"/>
  <c r="IGT208" i="38"/>
  <c r="IGS208" i="38"/>
  <c r="IGR208" i="38"/>
  <c r="IGQ208" i="38"/>
  <c r="IGP208" i="38"/>
  <c r="IGO208" i="38"/>
  <c r="IGN208" i="38"/>
  <c r="IGM208" i="38"/>
  <c r="IGL208" i="38"/>
  <c r="IGK208" i="38"/>
  <c r="IGJ208" i="38"/>
  <c r="IGI208" i="38"/>
  <c r="IGH208" i="38"/>
  <c r="IGG208" i="38"/>
  <c r="IGF208" i="38"/>
  <c r="IGE208" i="38"/>
  <c r="IGD208" i="38"/>
  <c r="IGC208" i="38"/>
  <c r="IGB208" i="38"/>
  <c r="IGA208" i="38"/>
  <c r="IFZ208" i="38"/>
  <c r="IFY208" i="38"/>
  <c r="IFX208" i="38"/>
  <c r="IFW208" i="38"/>
  <c r="IFV208" i="38"/>
  <c r="IFU208" i="38"/>
  <c r="IFT208" i="38"/>
  <c r="IFS208" i="38"/>
  <c r="IFR208" i="38"/>
  <c r="IFQ208" i="38"/>
  <c r="IFP208" i="38"/>
  <c r="IFO208" i="38"/>
  <c r="IFN208" i="38"/>
  <c r="IFM208" i="38"/>
  <c r="IFL208" i="38"/>
  <c r="IFK208" i="38"/>
  <c r="IFJ208" i="38"/>
  <c r="IFI208" i="38"/>
  <c r="IFH208" i="38"/>
  <c r="IFG208" i="38"/>
  <c r="IFF208" i="38"/>
  <c r="IFE208" i="38"/>
  <c r="IFD208" i="38"/>
  <c r="IFC208" i="38"/>
  <c r="IFB208" i="38"/>
  <c r="IFA208" i="38"/>
  <c r="IEZ208" i="38"/>
  <c r="IEY208" i="38"/>
  <c r="IEX208" i="38"/>
  <c r="IEW208" i="38"/>
  <c r="IEV208" i="38"/>
  <c r="IEU208" i="38"/>
  <c r="IET208" i="38"/>
  <c r="IES208" i="38"/>
  <c r="IER208" i="38"/>
  <c r="IEQ208" i="38"/>
  <c r="IEP208" i="38"/>
  <c r="IEO208" i="38"/>
  <c r="IEN208" i="38"/>
  <c r="IEM208" i="38"/>
  <c r="IEL208" i="38"/>
  <c r="IEK208" i="38"/>
  <c r="IEJ208" i="38"/>
  <c r="IEI208" i="38"/>
  <c r="IEH208" i="38"/>
  <c r="IEG208" i="38"/>
  <c r="IEF208" i="38"/>
  <c r="IEE208" i="38"/>
  <c r="IED208" i="38"/>
  <c r="IEC208" i="38"/>
  <c r="IEB208" i="38"/>
  <c r="IEA208" i="38"/>
  <c r="IDZ208" i="38"/>
  <c r="IDY208" i="38"/>
  <c r="IDX208" i="38"/>
  <c r="IDW208" i="38"/>
  <c r="IDV208" i="38"/>
  <c r="IDU208" i="38"/>
  <c r="IDT208" i="38"/>
  <c r="IDS208" i="38"/>
  <c r="IDR208" i="38"/>
  <c r="IDQ208" i="38"/>
  <c r="IDP208" i="38"/>
  <c r="IDO208" i="38"/>
  <c r="IDN208" i="38"/>
  <c r="IDM208" i="38"/>
  <c r="IDL208" i="38"/>
  <c r="IDK208" i="38"/>
  <c r="IDJ208" i="38"/>
  <c r="IDI208" i="38"/>
  <c r="IDH208" i="38"/>
  <c r="IDG208" i="38"/>
  <c r="IDF208" i="38"/>
  <c r="IDE208" i="38"/>
  <c r="IDD208" i="38"/>
  <c r="IDC208" i="38"/>
  <c r="IDB208" i="38"/>
  <c r="IDA208" i="38"/>
  <c r="ICZ208" i="38"/>
  <c r="ICY208" i="38"/>
  <c r="ICX208" i="38"/>
  <c r="ICW208" i="38"/>
  <c r="ICV208" i="38"/>
  <c r="ICU208" i="38"/>
  <c r="ICT208" i="38"/>
  <c r="ICS208" i="38"/>
  <c r="ICR208" i="38"/>
  <c r="ICQ208" i="38"/>
  <c r="ICP208" i="38"/>
  <c r="ICO208" i="38"/>
  <c r="ICN208" i="38"/>
  <c r="ICM208" i="38"/>
  <c r="ICL208" i="38"/>
  <c r="ICK208" i="38"/>
  <c r="ICJ208" i="38"/>
  <c r="ICI208" i="38"/>
  <c r="ICH208" i="38"/>
  <c r="ICG208" i="38"/>
  <c r="ICF208" i="38"/>
  <c r="ICE208" i="38"/>
  <c r="ICD208" i="38"/>
  <c r="ICC208" i="38"/>
  <c r="ICB208" i="38"/>
  <c r="ICA208" i="38"/>
  <c r="IBZ208" i="38"/>
  <c r="IBY208" i="38"/>
  <c r="IBX208" i="38"/>
  <c r="IBW208" i="38"/>
  <c r="IBV208" i="38"/>
  <c r="IBU208" i="38"/>
  <c r="IBT208" i="38"/>
  <c r="IBS208" i="38"/>
  <c r="IBR208" i="38"/>
  <c r="IBQ208" i="38"/>
  <c r="IBP208" i="38"/>
  <c r="IBO208" i="38"/>
  <c r="IBN208" i="38"/>
  <c r="IBM208" i="38"/>
  <c r="IBL208" i="38"/>
  <c r="IBK208" i="38"/>
  <c r="IBJ208" i="38"/>
  <c r="IBI208" i="38"/>
  <c r="IBH208" i="38"/>
  <c r="IBG208" i="38"/>
  <c r="IBF208" i="38"/>
  <c r="IBE208" i="38"/>
  <c r="IBD208" i="38"/>
  <c r="IBC208" i="38"/>
  <c r="IBB208" i="38"/>
  <c r="IBA208" i="38"/>
  <c r="IAZ208" i="38"/>
  <c r="IAY208" i="38"/>
  <c r="IAX208" i="38"/>
  <c r="IAW208" i="38"/>
  <c r="IAV208" i="38"/>
  <c r="IAU208" i="38"/>
  <c r="IAT208" i="38"/>
  <c r="IAS208" i="38"/>
  <c r="IAR208" i="38"/>
  <c r="IAQ208" i="38"/>
  <c r="IAP208" i="38"/>
  <c r="IAO208" i="38"/>
  <c r="IAN208" i="38"/>
  <c r="IAM208" i="38"/>
  <c r="IAL208" i="38"/>
  <c r="IAK208" i="38"/>
  <c r="IAJ208" i="38"/>
  <c r="IAI208" i="38"/>
  <c r="IAH208" i="38"/>
  <c r="IAG208" i="38"/>
  <c r="IAF208" i="38"/>
  <c r="IAE208" i="38"/>
  <c r="IAD208" i="38"/>
  <c r="IAC208" i="38"/>
  <c r="IAB208" i="38"/>
  <c r="IAA208" i="38"/>
  <c r="HZZ208" i="38"/>
  <c r="HZY208" i="38"/>
  <c r="HZX208" i="38"/>
  <c r="HZW208" i="38"/>
  <c r="HZV208" i="38"/>
  <c r="HZU208" i="38"/>
  <c r="HZT208" i="38"/>
  <c r="HZS208" i="38"/>
  <c r="HZR208" i="38"/>
  <c r="HZQ208" i="38"/>
  <c r="HZP208" i="38"/>
  <c r="HZO208" i="38"/>
  <c r="HZN208" i="38"/>
  <c r="HZM208" i="38"/>
  <c r="HZL208" i="38"/>
  <c r="HZK208" i="38"/>
  <c r="HZJ208" i="38"/>
  <c r="HZI208" i="38"/>
  <c r="HZH208" i="38"/>
  <c r="HZG208" i="38"/>
  <c r="HZF208" i="38"/>
  <c r="HZE208" i="38"/>
  <c r="HZD208" i="38"/>
  <c r="HZC208" i="38"/>
  <c r="HZB208" i="38"/>
  <c r="HZA208" i="38"/>
  <c r="HYZ208" i="38"/>
  <c r="HYY208" i="38"/>
  <c r="HYX208" i="38"/>
  <c r="HYW208" i="38"/>
  <c r="HYV208" i="38"/>
  <c r="HYU208" i="38"/>
  <c r="HYT208" i="38"/>
  <c r="HYS208" i="38"/>
  <c r="HYR208" i="38"/>
  <c r="HYQ208" i="38"/>
  <c r="HYP208" i="38"/>
  <c r="HYO208" i="38"/>
  <c r="HYN208" i="38"/>
  <c r="HYM208" i="38"/>
  <c r="HYL208" i="38"/>
  <c r="HYK208" i="38"/>
  <c r="HYJ208" i="38"/>
  <c r="HYI208" i="38"/>
  <c r="HYH208" i="38"/>
  <c r="HYG208" i="38"/>
  <c r="HYF208" i="38"/>
  <c r="HYE208" i="38"/>
  <c r="HYD208" i="38"/>
  <c r="HYC208" i="38"/>
  <c r="HYB208" i="38"/>
  <c r="HYA208" i="38"/>
  <c r="HXZ208" i="38"/>
  <c r="HXY208" i="38"/>
  <c r="HXX208" i="38"/>
  <c r="HXW208" i="38"/>
  <c r="HXV208" i="38"/>
  <c r="HXU208" i="38"/>
  <c r="HXT208" i="38"/>
  <c r="HXS208" i="38"/>
  <c r="HXR208" i="38"/>
  <c r="HXQ208" i="38"/>
  <c r="HXP208" i="38"/>
  <c r="HXO208" i="38"/>
  <c r="HXN208" i="38"/>
  <c r="HXM208" i="38"/>
  <c r="HXL208" i="38"/>
  <c r="HXK208" i="38"/>
  <c r="HXJ208" i="38"/>
  <c r="HXI208" i="38"/>
  <c r="HXH208" i="38"/>
  <c r="HXG208" i="38"/>
  <c r="HXF208" i="38"/>
  <c r="HXE208" i="38"/>
  <c r="HXD208" i="38"/>
  <c r="HXC208" i="38"/>
  <c r="HXB208" i="38"/>
  <c r="HXA208" i="38"/>
  <c r="HWZ208" i="38"/>
  <c r="HWY208" i="38"/>
  <c r="HWX208" i="38"/>
  <c r="HWW208" i="38"/>
  <c r="HWV208" i="38"/>
  <c r="HWU208" i="38"/>
  <c r="HWT208" i="38"/>
  <c r="HWS208" i="38"/>
  <c r="HWR208" i="38"/>
  <c r="HWQ208" i="38"/>
  <c r="HWP208" i="38"/>
  <c r="HWO208" i="38"/>
  <c r="HWN208" i="38"/>
  <c r="HWM208" i="38"/>
  <c r="HWL208" i="38"/>
  <c r="HWK208" i="38"/>
  <c r="HWJ208" i="38"/>
  <c r="HWI208" i="38"/>
  <c r="HWH208" i="38"/>
  <c r="HWG208" i="38"/>
  <c r="HWF208" i="38"/>
  <c r="HWE208" i="38"/>
  <c r="HWD208" i="38"/>
  <c r="HWC208" i="38"/>
  <c r="HWB208" i="38"/>
  <c r="HWA208" i="38"/>
  <c r="HVZ208" i="38"/>
  <c r="HVY208" i="38"/>
  <c r="HVX208" i="38"/>
  <c r="HVW208" i="38"/>
  <c r="HVV208" i="38"/>
  <c r="HVU208" i="38"/>
  <c r="HVT208" i="38"/>
  <c r="HVS208" i="38"/>
  <c r="HVR208" i="38"/>
  <c r="HVQ208" i="38"/>
  <c r="HVP208" i="38"/>
  <c r="HVO208" i="38"/>
  <c r="HVN208" i="38"/>
  <c r="HVM208" i="38"/>
  <c r="HVL208" i="38"/>
  <c r="HVK208" i="38"/>
  <c r="HVJ208" i="38"/>
  <c r="HVI208" i="38"/>
  <c r="HVH208" i="38"/>
  <c r="HVG208" i="38"/>
  <c r="HVF208" i="38"/>
  <c r="HVE208" i="38"/>
  <c r="HVD208" i="38"/>
  <c r="HVC208" i="38"/>
  <c r="HVB208" i="38"/>
  <c r="HVA208" i="38"/>
  <c r="HUZ208" i="38"/>
  <c r="HUY208" i="38"/>
  <c r="HUX208" i="38"/>
  <c r="HUW208" i="38"/>
  <c r="HUV208" i="38"/>
  <c r="HUU208" i="38"/>
  <c r="HUT208" i="38"/>
  <c r="HUS208" i="38"/>
  <c r="HUR208" i="38"/>
  <c r="HUQ208" i="38"/>
  <c r="HUP208" i="38"/>
  <c r="HUO208" i="38"/>
  <c r="HUN208" i="38"/>
  <c r="HUM208" i="38"/>
  <c r="HUL208" i="38"/>
  <c r="HUK208" i="38"/>
  <c r="HUJ208" i="38"/>
  <c r="HUI208" i="38"/>
  <c r="HUH208" i="38"/>
  <c r="HUG208" i="38"/>
  <c r="HUF208" i="38"/>
  <c r="HUE208" i="38"/>
  <c r="HUD208" i="38"/>
  <c r="HUC208" i="38"/>
  <c r="HUB208" i="38"/>
  <c r="HUA208" i="38"/>
  <c r="HTZ208" i="38"/>
  <c r="HTY208" i="38"/>
  <c r="HTX208" i="38"/>
  <c r="HTW208" i="38"/>
  <c r="HTV208" i="38"/>
  <c r="HTU208" i="38"/>
  <c r="HTT208" i="38"/>
  <c r="HTS208" i="38"/>
  <c r="HTR208" i="38"/>
  <c r="HTQ208" i="38"/>
  <c r="HTP208" i="38"/>
  <c r="HTO208" i="38"/>
  <c r="HTN208" i="38"/>
  <c r="HTM208" i="38"/>
  <c r="HTL208" i="38"/>
  <c r="HTK208" i="38"/>
  <c r="HTJ208" i="38"/>
  <c r="HTI208" i="38"/>
  <c r="HTH208" i="38"/>
  <c r="HTG208" i="38"/>
  <c r="HTF208" i="38"/>
  <c r="HTE208" i="38"/>
  <c r="HTD208" i="38"/>
  <c r="HTC208" i="38"/>
  <c r="HTB208" i="38"/>
  <c r="HTA208" i="38"/>
  <c r="HSZ208" i="38"/>
  <c r="HSY208" i="38"/>
  <c r="HSX208" i="38"/>
  <c r="HSW208" i="38"/>
  <c r="HSV208" i="38"/>
  <c r="HSU208" i="38"/>
  <c r="HST208" i="38"/>
  <c r="HSS208" i="38"/>
  <c r="HSR208" i="38"/>
  <c r="HSQ208" i="38"/>
  <c r="HSP208" i="38"/>
  <c r="HSO208" i="38"/>
  <c r="HSN208" i="38"/>
  <c r="HSM208" i="38"/>
  <c r="HSL208" i="38"/>
  <c r="HSK208" i="38"/>
  <c r="HSJ208" i="38"/>
  <c r="HSI208" i="38"/>
  <c r="HSH208" i="38"/>
  <c r="HSG208" i="38"/>
  <c r="HSF208" i="38"/>
  <c r="HSE208" i="38"/>
  <c r="HSD208" i="38"/>
  <c r="HSC208" i="38"/>
  <c r="HSB208" i="38"/>
  <c r="HSA208" i="38"/>
  <c r="HRZ208" i="38"/>
  <c r="HRY208" i="38"/>
  <c r="HRX208" i="38"/>
  <c r="HRW208" i="38"/>
  <c r="HRV208" i="38"/>
  <c r="HRU208" i="38"/>
  <c r="HRT208" i="38"/>
  <c r="HRS208" i="38"/>
  <c r="HRR208" i="38"/>
  <c r="HRQ208" i="38"/>
  <c r="HRP208" i="38"/>
  <c r="HRO208" i="38"/>
  <c r="HRN208" i="38"/>
  <c r="HRM208" i="38"/>
  <c r="HRL208" i="38"/>
  <c r="HRK208" i="38"/>
  <c r="HRJ208" i="38"/>
  <c r="HRI208" i="38"/>
  <c r="HRH208" i="38"/>
  <c r="HRG208" i="38"/>
  <c r="HRF208" i="38"/>
  <c r="HRE208" i="38"/>
  <c r="HRD208" i="38"/>
  <c r="HRC208" i="38"/>
  <c r="HRB208" i="38"/>
  <c r="HRA208" i="38"/>
  <c r="HQZ208" i="38"/>
  <c r="HQY208" i="38"/>
  <c r="HQX208" i="38"/>
  <c r="HQW208" i="38"/>
  <c r="HQV208" i="38"/>
  <c r="HQU208" i="38"/>
  <c r="HQT208" i="38"/>
  <c r="HQS208" i="38"/>
  <c r="HQR208" i="38"/>
  <c r="HQQ208" i="38"/>
  <c r="HQP208" i="38"/>
  <c r="HQO208" i="38"/>
  <c r="HQN208" i="38"/>
  <c r="HQM208" i="38"/>
  <c r="HQL208" i="38"/>
  <c r="HQK208" i="38"/>
  <c r="HQJ208" i="38"/>
  <c r="HQI208" i="38"/>
  <c r="HQH208" i="38"/>
  <c r="HQG208" i="38"/>
  <c r="HQF208" i="38"/>
  <c r="HQE208" i="38"/>
  <c r="HQD208" i="38"/>
  <c r="HQC208" i="38"/>
  <c r="HQB208" i="38"/>
  <c r="HQA208" i="38"/>
  <c r="HPZ208" i="38"/>
  <c r="HPY208" i="38"/>
  <c r="HPX208" i="38"/>
  <c r="HPW208" i="38"/>
  <c r="HPV208" i="38"/>
  <c r="HPU208" i="38"/>
  <c r="HPT208" i="38"/>
  <c r="HPS208" i="38"/>
  <c r="HPR208" i="38"/>
  <c r="HPQ208" i="38"/>
  <c r="HPP208" i="38"/>
  <c r="HPO208" i="38"/>
  <c r="HPN208" i="38"/>
  <c r="HPM208" i="38"/>
  <c r="HPL208" i="38"/>
  <c r="HPK208" i="38"/>
  <c r="HPJ208" i="38"/>
  <c r="HPI208" i="38"/>
  <c r="HPH208" i="38"/>
  <c r="HPG208" i="38"/>
  <c r="HPF208" i="38"/>
  <c r="HPE208" i="38"/>
  <c r="HPD208" i="38"/>
  <c r="HPC208" i="38"/>
  <c r="HPB208" i="38"/>
  <c r="HPA208" i="38"/>
  <c r="HOZ208" i="38"/>
  <c r="HOY208" i="38"/>
  <c r="HOX208" i="38"/>
  <c r="HOW208" i="38"/>
  <c r="HOV208" i="38"/>
  <c r="HOU208" i="38"/>
  <c r="HOT208" i="38"/>
  <c r="HOS208" i="38"/>
  <c r="HOR208" i="38"/>
  <c r="HOQ208" i="38"/>
  <c r="HOP208" i="38"/>
  <c r="HOO208" i="38"/>
  <c r="HON208" i="38"/>
  <c r="HOM208" i="38"/>
  <c r="HOL208" i="38"/>
  <c r="HOK208" i="38"/>
  <c r="HOJ208" i="38"/>
  <c r="HOI208" i="38"/>
  <c r="HOH208" i="38"/>
  <c r="HOG208" i="38"/>
  <c r="HOF208" i="38"/>
  <c r="HOE208" i="38"/>
  <c r="HOD208" i="38"/>
  <c r="HOC208" i="38"/>
  <c r="HOB208" i="38"/>
  <c r="HOA208" i="38"/>
  <c r="HNZ208" i="38"/>
  <c r="HNY208" i="38"/>
  <c r="HNX208" i="38"/>
  <c r="HNW208" i="38"/>
  <c r="HNV208" i="38"/>
  <c r="HNU208" i="38"/>
  <c r="HNT208" i="38"/>
  <c r="HNS208" i="38"/>
  <c r="HNR208" i="38"/>
  <c r="HNQ208" i="38"/>
  <c r="HNP208" i="38"/>
  <c r="HNO208" i="38"/>
  <c r="HNN208" i="38"/>
  <c r="HNM208" i="38"/>
  <c r="HNL208" i="38"/>
  <c r="HNK208" i="38"/>
  <c r="HNJ208" i="38"/>
  <c r="HNI208" i="38"/>
  <c r="HNH208" i="38"/>
  <c r="HNG208" i="38"/>
  <c r="HNF208" i="38"/>
  <c r="HNE208" i="38"/>
  <c r="HND208" i="38"/>
  <c r="HNC208" i="38"/>
  <c r="HNB208" i="38"/>
  <c r="HNA208" i="38"/>
  <c r="HMZ208" i="38"/>
  <c r="HMY208" i="38"/>
  <c r="HMX208" i="38"/>
  <c r="HMW208" i="38"/>
  <c r="HMV208" i="38"/>
  <c r="HMU208" i="38"/>
  <c r="HMT208" i="38"/>
  <c r="HMS208" i="38"/>
  <c r="HMR208" i="38"/>
  <c r="HMQ208" i="38"/>
  <c r="HMP208" i="38"/>
  <c r="HMO208" i="38"/>
  <c r="HMN208" i="38"/>
  <c r="HMM208" i="38"/>
  <c r="HML208" i="38"/>
  <c r="HMK208" i="38"/>
  <c r="HMJ208" i="38"/>
  <c r="HMI208" i="38"/>
  <c r="HMH208" i="38"/>
  <c r="HMG208" i="38"/>
  <c r="HMF208" i="38"/>
  <c r="HME208" i="38"/>
  <c r="HMD208" i="38"/>
  <c r="HMC208" i="38"/>
  <c r="HMB208" i="38"/>
  <c r="HMA208" i="38"/>
  <c r="HLZ208" i="38"/>
  <c r="HLY208" i="38"/>
  <c r="HLX208" i="38"/>
  <c r="HLW208" i="38"/>
  <c r="HLV208" i="38"/>
  <c r="HLU208" i="38"/>
  <c r="HLT208" i="38"/>
  <c r="HLS208" i="38"/>
  <c r="HLR208" i="38"/>
  <c r="HLQ208" i="38"/>
  <c r="HLP208" i="38"/>
  <c r="HLO208" i="38"/>
  <c r="HLN208" i="38"/>
  <c r="HLM208" i="38"/>
  <c r="HLL208" i="38"/>
  <c r="HLK208" i="38"/>
  <c r="HLJ208" i="38"/>
  <c r="HLI208" i="38"/>
  <c r="HLH208" i="38"/>
  <c r="HLG208" i="38"/>
  <c r="HLF208" i="38"/>
  <c r="HLE208" i="38"/>
  <c r="HLD208" i="38"/>
  <c r="HLC208" i="38"/>
  <c r="HLB208" i="38"/>
  <c r="HLA208" i="38"/>
  <c r="HKZ208" i="38"/>
  <c r="HKY208" i="38"/>
  <c r="HKX208" i="38"/>
  <c r="HKW208" i="38"/>
  <c r="HKV208" i="38"/>
  <c r="HKU208" i="38"/>
  <c r="HKT208" i="38"/>
  <c r="HKS208" i="38"/>
  <c r="HKR208" i="38"/>
  <c r="HKQ208" i="38"/>
  <c r="HKP208" i="38"/>
  <c r="HKO208" i="38"/>
  <c r="HKN208" i="38"/>
  <c r="HKM208" i="38"/>
  <c r="HKL208" i="38"/>
  <c r="HKK208" i="38"/>
  <c r="HKJ208" i="38"/>
  <c r="HKI208" i="38"/>
  <c r="HKH208" i="38"/>
  <c r="HKG208" i="38"/>
  <c r="HKF208" i="38"/>
  <c r="HKE208" i="38"/>
  <c r="HKD208" i="38"/>
  <c r="HKC208" i="38"/>
  <c r="HKB208" i="38"/>
  <c r="HKA208" i="38"/>
  <c r="HJZ208" i="38"/>
  <c r="HJY208" i="38"/>
  <c r="HJX208" i="38"/>
  <c r="HJW208" i="38"/>
  <c r="HJV208" i="38"/>
  <c r="HJU208" i="38"/>
  <c r="HJT208" i="38"/>
  <c r="HJS208" i="38"/>
  <c r="HJR208" i="38"/>
  <c r="HJQ208" i="38"/>
  <c r="HJP208" i="38"/>
  <c r="HJO208" i="38"/>
  <c r="HJN208" i="38"/>
  <c r="HJM208" i="38"/>
  <c r="HJL208" i="38"/>
  <c r="HJK208" i="38"/>
  <c r="HJJ208" i="38"/>
  <c r="HJI208" i="38"/>
  <c r="HJH208" i="38"/>
  <c r="HJG208" i="38"/>
  <c r="HJF208" i="38"/>
  <c r="HJE208" i="38"/>
  <c r="HJD208" i="38"/>
  <c r="HJC208" i="38"/>
  <c r="HJB208" i="38"/>
  <c r="HJA208" i="38"/>
  <c r="HIZ208" i="38"/>
  <c r="HIY208" i="38"/>
  <c r="HIX208" i="38"/>
  <c r="HIW208" i="38"/>
  <c r="HIV208" i="38"/>
  <c r="HIU208" i="38"/>
  <c r="HIT208" i="38"/>
  <c r="HIS208" i="38"/>
  <c r="HIR208" i="38"/>
  <c r="HIQ208" i="38"/>
  <c r="HIP208" i="38"/>
  <c r="HIO208" i="38"/>
  <c r="HIN208" i="38"/>
  <c r="HIM208" i="38"/>
  <c r="HIL208" i="38"/>
  <c r="HIK208" i="38"/>
  <c r="HIJ208" i="38"/>
  <c r="HII208" i="38"/>
  <c r="HIH208" i="38"/>
  <c r="HIG208" i="38"/>
  <c r="HIF208" i="38"/>
  <c r="HIE208" i="38"/>
  <c r="HID208" i="38"/>
  <c r="HIC208" i="38"/>
  <c r="HIB208" i="38"/>
  <c r="HIA208" i="38"/>
  <c r="HHZ208" i="38"/>
  <c r="HHY208" i="38"/>
  <c r="HHX208" i="38"/>
  <c r="HHW208" i="38"/>
  <c r="HHV208" i="38"/>
  <c r="HHU208" i="38"/>
  <c r="HHT208" i="38"/>
  <c r="HHS208" i="38"/>
  <c r="HHR208" i="38"/>
  <c r="HHQ208" i="38"/>
  <c r="HHP208" i="38"/>
  <c r="HHO208" i="38"/>
  <c r="HHN208" i="38"/>
  <c r="HHM208" i="38"/>
  <c r="HHL208" i="38"/>
  <c r="HHK208" i="38"/>
  <c r="HHJ208" i="38"/>
  <c r="HHI208" i="38"/>
  <c r="HHH208" i="38"/>
  <c r="HHG208" i="38"/>
  <c r="HHF208" i="38"/>
  <c r="HHE208" i="38"/>
  <c r="HHD208" i="38"/>
  <c r="HHC208" i="38"/>
  <c r="HHB208" i="38"/>
  <c r="HHA208" i="38"/>
  <c r="HGZ208" i="38"/>
  <c r="HGY208" i="38"/>
  <c r="HGX208" i="38"/>
  <c r="HGW208" i="38"/>
  <c r="HGV208" i="38"/>
  <c r="HGU208" i="38"/>
  <c r="HGT208" i="38"/>
  <c r="HGS208" i="38"/>
  <c r="HGR208" i="38"/>
  <c r="HGQ208" i="38"/>
  <c r="HGP208" i="38"/>
  <c r="HGO208" i="38"/>
  <c r="HGN208" i="38"/>
  <c r="HGM208" i="38"/>
  <c r="HGL208" i="38"/>
  <c r="HGK208" i="38"/>
  <c r="HGJ208" i="38"/>
  <c r="HGI208" i="38"/>
  <c r="HGH208" i="38"/>
  <c r="HGG208" i="38"/>
  <c r="HGF208" i="38"/>
  <c r="HGE208" i="38"/>
  <c r="HGD208" i="38"/>
  <c r="HGC208" i="38"/>
  <c r="HGB208" i="38"/>
  <c r="HGA208" i="38"/>
  <c r="HFZ208" i="38"/>
  <c r="HFY208" i="38"/>
  <c r="HFX208" i="38"/>
  <c r="HFW208" i="38"/>
  <c r="HFV208" i="38"/>
  <c r="HFU208" i="38"/>
  <c r="HFT208" i="38"/>
  <c r="HFS208" i="38"/>
  <c r="HFR208" i="38"/>
  <c r="HFQ208" i="38"/>
  <c r="HFP208" i="38"/>
  <c r="HFO208" i="38"/>
  <c r="HFN208" i="38"/>
  <c r="HFM208" i="38"/>
  <c r="HFL208" i="38"/>
  <c r="HFK208" i="38"/>
  <c r="HFJ208" i="38"/>
  <c r="HFI208" i="38"/>
  <c r="HFH208" i="38"/>
  <c r="HFG208" i="38"/>
  <c r="HFF208" i="38"/>
  <c r="HFE208" i="38"/>
  <c r="HFD208" i="38"/>
  <c r="HFC208" i="38"/>
  <c r="HFB208" i="38"/>
  <c r="HFA208" i="38"/>
  <c r="HEZ208" i="38"/>
  <c r="HEY208" i="38"/>
  <c r="HEX208" i="38"/>
  <c r="HEW208" i="38"/>
  <c r="HEV208" i="38"/>
  <c r="HEU208" i="38"/>
  <c r="HET208" i="38"/>
  <c r="HES208" i="38"/>
  <c r="HER208" i="38"/>
  <c r="HEQ208" i="38"/>
  <c r="HEP208" i="38"/>
  <c r="HEO208" i="38"/>
  <c r="HEN208" i="38"/>
  <c r="HEM208" i="38"/>
  <c r="HEL208" i="38"/>
  <c r="HEK208" i="38"/>
  <c r="HEJ208" i="38"/>
  <c r="HEI208" i="38"/>
  <c r="HEH208" i="38"/>
  <c r="HEG208" i="38"/>
  <c r="HEF208" i="38"/>
  <c r="HEE208" i="38"/>
  <c r="HED208" i="38"/>
  <c r="HEC208" i="38"/>
  <c r="HEB208" i="38"/>
  <c r="HEA208" i="38"/>
  <c r="HDZ208" i="38"/>
  <c r="HDY208" i="38"/>
  <c r="HDX208" i="38"/>
  <c r="HDW208" i="38"/>
  <c r="HDV208" i="38"/>
  <c r="HDU208" i="38"/>
  <c r="HDT208" i="38"/>
  <c r="HDS208" i="38"/>
  <c r="HDR208" i="38"/>
  <c r="HDQ208" i="38"/>
  <c r="HDP208" i="38"/>
  <c r="HDO208" i="38"/>
  <c r="HDN208" i="38"/>
  <c r="HDM208" i="38"/>
  <c r="HDL208" i="38"/>
  <c r="HDK208" i="38"/>
  <c r="HDJ208" i="38"/>
  <c r="HDI208" i="38"/>
  <c r="HDH208" i="38"/>
  <c r="HDG208" i="38"/>
  <c r="HDF208" i="38"/>
  <c r="HDE208" i="38"/>
  <c r="HDD208" i="38"/>
  <c r="HDC208" i="38"/>
  <c r="HDB208" i="38"/>
  <c r="HDA208" i="38"/>
  <c r="HCZ208" i="38"/>
  <c r="HCY208" i="38"/>
  <c r="HCX208" i="38"/>
  <c r="HCW208" i="38"/>
  <c r="HCV208" i="38"/>
  <c r="HCU208" i="38"/>
  <c r="HCT208" i="38"/>
  <c r="HCS208" i="38"/>
  <c r="HCR208" i="38"/>
  <c r="HCQ208" i="38"/>
  <c r="HCP208" i="38"/>
  <c r="HCO208" i="38"/>
  <c r="HCN208" i="38"/>
  <c r="HCM208" i="38"/>
  <c r="HCL208" i="38"/>
  <c r="HCK208" i="38"/>
  <c r="HCJ208" i="38"/>
  <c r="HCI208" i="38"/>
  <c r="HCH208" i="38"/>
  <c r="HCG208" i="38"/>
  <c r="HCF208" i="38"/>
  <c r="HCE208" i="38"/>
  <c r="HCD208" i="38"/>
  <c r="HCC208" i="38"/>
  <c r="HCB208" i="38"/>
  <c r="HCA208" i="38"/>
  <c r="HBZ208" i="38"/>
  <c r="HBY208" i="38"/>
  <c r="HBX208" i="38"/>
  <c r="HBW208" i="38"/>
  <c r="HBV208" i="38"/>
  <c r="HBU208" i="38"/>
  <c r="HBT208" i="38"/>
  <c r="HBS208" i="38"/>
  <c r="HBR208" i="38"/>
  <c r="HBQ208" i="38"/>
  <c r="HBP208" i="38"/>
  <c r="HBO208" i="38"/>
  <c r="HBN208" i="38"/>
  <c r="HBM208" i="38"/>
  <c r="HBL208" i="38"/>
  <c r="HBK208" i="38"/>
  <c r="HBJ208" i="38"/>
  <c r="HBI208" i="38"/>
  <c r="HBH208" i="38"/>
  <c r="HBG208" i="38"/>
  <c r="HBF208" i="38"/>
  <c r="HBE208" i="38"/>
  <c r="HBD208" i="38"/>
  <c r="HBC208" i="38"/>
  <c r="HBB208" i="38"/>
  <c r="HBA208" i="38"/>
  <c r="HAZ208" i="38"/>
  <c r="HAY208" i="38"/>
  <c r="HAX208" i="38"/>
  <c r="HAW208" i="38"/>
  <c r="HAV208" i="38"/>
  <c r="HAU208" i="38"/>
  <c r="HAT208" i="38"/>
  <c r="HAS208" i="38"/>
  <c r="HAR208" i="38"/>
  <c r="HAQ208" i="38"/>
  <c r="HAP208" i="38"/>
  <c r="HAO208" i="38"/>
  <c r="HAN208" i="38"/>
  <c r="HAM208" i="38"/>
  <c r="HAL208" i="38"/>
  <c r="HAK208" i="38"/>
  <c r="HAJ208" i="38"/>
  <c r="HAI208" i="38"/>
  <c r="HAH208" i="38"/>
  <c r="HAG208" i="38"/>
  <c r="HAF208" i="38"/>
  <c r="HAE208" i="38"/>
  <c r="HAD208" i="38"/>
  <c r="HAC208" i="38"/>
  <c r="HAB208" i="38"/>
  <c r="HAA208" i="38"/>
  <c r="GZZ208" i="38"/>
  <c r="GZY208" i="38"/>
  <c r="GZX208" i="38"/>
  <c r="GZW208" i="38"/>
  <c r="GZV208" i="38"/>
  <c r="GZU208" i="38"/>
  <c r="GZT208" i="38"/>
  <c r="GZS208" i="38"/>
  <c r="GZR208" i="38"/>
  <c r="GZQ208" i="38"/>
  <c r="GZP208" i="38"/>
  <c r="GZO208" i="38"/>
  <c r="GZN208" i="38"/>
  <c r="GZM208" i="38"/>
  <c r="GZL208" i="38"/>
  <c r="GZK208" i="38"/>
  <c r="GZJ208" i="38"/>
  <c r="GZI208" i="38"/>
  <c r="GZH208" i="38"/>
  <c r="GZG208" i="38"/>
  <c r="GZF208" i="38"/>
  <c r="GZE208" i="38"/>
  <c r="GZD208" i="38"/>
  <c r="GZC208" i="38"/>
  <c r="GZB208" i="38"/>
  <c r="GZA208" i="38"/>
  <c r="GYZ208" i="38"/>
  <c r="GYY208" i="38"/>
  <c r="GYX208" i="38"/>
  <c r="GYW208" i="38"/>
  <c r="GYV208" i="38"/>
  <c r="GYU208" i="38"/>
  <c r="GYT208" i="38"/>
  <c r="GYS208" i="38"/>
  <c r="GYR208" i="38"/>
  <c r="GYQ208" i="38"/>
  <c r="GYP208" i="38"/>
  <c r="GYO208" i="38"/>
  <c r="GYN208" i="38"/>
  <c r="GYM208" i="38"/>
  <c r="GYL208" i="38"/>
  <c r="GYK208" i="38"/>
  <c r="GYJ208" i="38"/>
  <c r="GYI208" i="38"/>
  <c r="GYH208" i="38"/>
  <c r="GYG208" i="38"/>
  <c r="GYF208" i="38"/>
  <c r="GYE208" i="38"/>
  <c r="GYD208" i="38"/>
  <c r="GYC208" i="38"/>
  <c r="GYB208" i="38"/>
  <c r="GYA208" i="38"/>
  <c r="GXZ208" i="38"/>
  <c r="GXY208" i="38"/>
  <c r="GXX208" i="38"/>
  <c r="GXW208" i="38"/>
  <c r="GXV208" i="38"/>
  <c r="GXU208" i="38"/>
  <c r="GXT208" i="38"/>
  <c r="GXS208" i="38"/>
  <c r="GXR208" i="38"/>
  <c r="GXQ208" i="38"/>
  <c r="GXP208" i="38"/>
  <c r="GXO208" i="38"/>
  <c r="GXN208" i="38"/>
  <c r="GXM208" i="38"/>
  <c r="GXL208" i="38"/>
  <c r="GXK208" i="38"/>
  <c r="GXJ208" i="38"/>
  <c r="GXI208" i="38"/>
  <c r="GXH208" i="38"/>
  <c r="GXG208" i="38"/>
  <c r="GXF208" i="38"/>
  <c r="GXE208" i="38"/>
  <c r="GXD208" i="38"/>
  <c r="GXC208" i="38"/>
  <c r="GXB208" i="38"/>
  <c r="GXA208" i="38"/>
  <c r="GWZ208" i="38"/>
  <c r="GWY208" i="38"/>
  <c r="GWX208" i="38"/>
  <c r="GWW208" i="38"/>
  <c r="GWV208" i="38"/>
  <c r="GWU208" i="38"/>
  <c r="GWT208" i="38"/>
  <c r="GWS208" i="38"/>
  <c r="GWR208" i="38"/>
  <c r="GWQ208" i="38"/>
  <c r="GWP208" i="38"/>
  <c r="GWO208" i="38"/>
  <c r="GWN208" i="38"/>
  <c r="GWM208" i="38"/>
  <c r="GWL208" i="38"/>
  <c r="GWK208" i="38"/>
  <c r="GWJ208" i="38"/>
  <c r="GWI208" i="38"/>
  <c r="GWH208" i="38"/>
  <c r="GWG208" i="38"/>
  <c r="GWF208" i="38"/>
  <c r="GWE208" i="38"/>
  <c r="GWD208" i="38"/>
  <c r="GWC208" i="38"/>
  <c r="GWB208" i="38"/>
  <c r="GWA208" i="38"/>
  <c r="GVZ208" i="38"/>
  <c r="GVY208" i="38"/>
  <c r="GVX208" i="38"/>
  <c r="GVW208" i="38"/>
  <c r="GVV208" i="38"/>
  <c r="GVU208" i="38"/>
  <c r="GVT208" i="38"/>
  <c r="GVS208" i="38"/>
  <c r="GVR208" i="38"/>
  <c r="GVQ208" i="38"/>
  <c r="GVP208" i="38"/>
  <c r="GVO208" i="38"/>
  <c r="GVN208" i="38"/>
  <c r="GVM208" i="38"/>
  <c r="GVL208" i="38"/>
  <c r="GVK208" i="38"/>
  <c r="GVJ208" i="38"/>
  <c r="GVI208" i="38"/>
  <c r="GVH208" i="38"/>
  <c r="GVG208" i="38"/>
  <c r="GVF208" i="38"/>
  <c r="GVE208" i="38"/>
  <c r="GVD208" i="38"/>
  <c r="GVC208" i="38"/>
  <c r="GVB208" i="38"/>
  <c r="GVA208" i="38"/>
  <c r="GUZ208" i="38"/>
  <c r="GUY208" i="38"/>
  <c r="GUX208" i="38"/>
  <c r="GUW208" i="38"/>
  <c r="GUV208" i="38"/>
  <c r="GUU208" i="38"/>
  <c r="GUT208" i="38"/>
  <c r="GUS208" i="38"/>
  <c r="GUR208" i="38"/>
  <c r="GUQ208" i="38"/>
  <c r="GUP208" i="38"/>
  <c r="GUO208" i="38"/>
  <c r="GUN208" i="38"/>
  <c r="GUM208" i="38"/>
  <c r="GUL208" i="38"/>
  <c r="GUK208" i="38"/>
  <c r="GUJ208" i="38"/>
  <c r="GUI208" i="38"/>
  <c r="GUH208" i="38"/>
  <c r="GUG208" i="38"/>
  <c r="GUF208" i="38"/>
  <c r="GUE208" i="38"/>
  <c r="GUD208" i="38"/>
  <c r="GUC208" i="38"/>
  <c r="GUB208" i="38"/>
  <c r="GUA208" i="38"/>
  <c r="GTZ208" i="38"/>
  <c r="GTY208" i="38"/>
  <c r="GTX208" i="38"/>
  <c r="GTW208" i="38"/>
  <c r="GTV208" i="38"/>
  <c r="GTU208" i="38"/>
  <c r="GTT208" i="38"/>
  <c r="GTS208" i="38"/>
  <c r="GTR208" i="38"/>
  <c r="GTQ208" i="38"/>
  <c r="GTP208" i="38"/>
  <c r="GTO208" i="38"/>
  <c r="GTN208" i="38"/>
  <c r="GTM208" i="38"/>
  <c r="GTL208" i="38"/>
  <c r="GTK208" i="38"/>
  <c r="GTJ208" i="38"/>
  <c r="GTI208" i="38"/>
  <c r="GTH208" i="38"/>
  <c r="GTG208" i="38"/>
  <c r="GTF208" i="38"/>
  <c r="GTE208" i="38"/>
  <c r="GTD208" i="38"/>
  <c r="GTC208" i="38"/>
  <c r="GTB208" i="38"/>
  <c r="GTA208" i="38"/>
  <c r="GSZ208" i="38"/>
  <c r="GSY208" i="38"/>
  <c r="GSX208" i="38"/>
  <c r="GSW208" i="38"/>
  <c r="GSV208" i="38"/>
  <c r="GSU208" i="38"/>
  <c r="GST208" i="38"/>
  <c r="GSS208" i="38"/>
  <c r="GSR208" i="38"/>
  <c r="GSQ208" i="38"/>
  <c r="GSP208" i="38"/>
  <c r="GSO208" i="38"/>
  <c r="GSN208" i="38"/>
  <c r="GSM208" i="38"/>
  <c r="GSL208" i="38"/>
  <c r="GSK208" i="38"/>
  <c r="GSJ208" i="38"/>
  <c r="GSI208" i="38"/>
  <c r="GSH208" i="38"/>
  <c r="GSG208" i="38"/>
  <c r="GSF208" i="38"/>
  <c r="GSE208" i="38"/>
  <c r="GSD208" i="38"/>
  <c r="GSC208" i="38"/>
  <c r="GSB208" i="38"/>
  <c r="GSA208" i="38"/>
  <c r="GRZ208" i="38"/>
  <c r="GRY208" i="38"/>
  <c r="GRX208" i="38"/>
  <c r="GRW208" i="38"/>
  <c r="GRV208" i="38"/>
  <c r="GRU208" i="38"/>
  <c r="GRT208" i="38"/>
  <c r="GRS208" i="38"/>
  <c r="GRR208" i="38"/>
  <c r="GRQ208" i="38"/>
  <c r="GRP208" i="38"/>
  <c r="GRO208" i="38"/>
  <c r="GRN208" i="38"/>
  <c r="GRM208" i="38"/>
  <c r="GRL208" i="38"/>
  <c r="GRK208" i="38"/>
  <c r="GRJ208" i="38"/>
  <c r="GRI208" i="38"/>
  <c r="GRH208" i="38"/>
  <c r="GRG208" i="38"/>
  <c r="GRF208" i="38"/>
  <c r="GRE208" i="38"/>
  <c r="GRD208" i="38"/>
  <c r="GRC208" i="38"/>
  <c r="GRB208" i="38"/>
  <c r="GRA208" i="38"/>
  <c r="GQZ208" i="38"/>
  <c r="GQY208" i="38"/>
  <c r="GQX208" i="38"/>
  <c r="GQW208" i="38"/>
  <c r="GQV208" i="38"/>
  <c r="GQU208" i="38"/>
  <c r="GQT208" i="38"/>
  <c r="GQS208" i="38"/>
  <c r="GQR208" i="38"/>
  <c r="GQQ208" i="38"/>
  <c r="GQP208" i="38"/>
  <c r="GQO208" i="38"/>
  <c r="GQN208" i="38"/>
  <c r="GQM208" i="38"/>
  <c r="GQL208" i="38"/>
  <c r="GQK208" i="38"/>
  <c r="GQJ208" i="38"/>
  <c r="GQI208" i="38"/>
  <c r="GQH208" i="38"/>
  <c r="GQG208" i="38"/>
  <c r="GQF208" i="38"/>
  <c r="GQE208" i="38"/>
  <c r="GQD208" i="38"/>
  <c r="GQC208" i="38"/>
  <c r="GQB208" i="38"/>
  <c r="GQA208" i="38"/>
  <c r="GPZ208" i="38"/>
  <c r="GPY208" i="38"/>
  <c r="GPX208" i="38"/>
  <c r="GPW208" i="38"/>
  <c r="GPV208" i="38"/>
  <c r="GPU208" i="38"/>
  <c r="GPT208" i="38"/>
  <c r="GPS208" i="38"/>
  <c r="GPR208" i="38"/>
  <c r="GPQ208" i="38"/>
  <c r="GPP208" i="38"/>
  <c r="GPO208" i="38"/>
  <c r="GPN208" i="38"/>
  <c r="GPM208" i="38"/>
  <c r="GPL208" i="38"/>
  <c r="GPK208" i="38"/>
  <c r="GPJ208" i="38"/>
  <c r="GPI208" i="38"/>
  <c r="GPH208" i="38"/>
  <c r="GPG208" i="38"/>
  <c r="GPF208" i="38"/>
  <c r="GPE208" i="38"/>
  <c r="GPD208" i="38"/>
  <c r="GPC208" i="38"/>
  <c r="GPB208" i="38"/>
  <c r="GPA208" i="38"/>
  <c r="GOZ208" i="38"/>
  <c r="GOY208" i="38"/>
  <c r="GOX208" i="38"/>
  <c r="GOW208" i="38"/>
  <c r="GOV208" i="38"/>
  <c r="GOU208" i="38"/>
  <c r="GOT208" i="38"/>
  <c r="GOS208" i="38"/>
  <c r="GOR208" i="38"/>
  <c r="GOQ208" i="38"/>
  <c r="GOP208" i="38"/>
  <c r="GOO208" i="38"/>
  <c r="GON208" i="38"/>
  <c r="GOM208" i="38"/>
  <c r="GOL208" i="38"/>
  <c r="GOK208" i="38"/>
  <c r="GOJ208" i="38"/>
  <c r="GOI208" i="38"/>
  <c r="GOH208" i="38"/>
  <c r="GOG208" i="38"/>
  <c r="GOF208" i="38"/>
  <c r="GOE208" i="38"/>
  <c r="GOD208" i="38"/>
  <c r="GOC208" i="38"/>
  <c r="GOB208" i="38"/>
  <c r="GOA208" i="38"/>
  <c r="GNZ208" i="38"/>
  <c r="GNY208" i="38"/>
  <c r="GNX208" i="38"/>
  <c r="GNW208" i="38"/>
  <c r="GNV208" i="38"/>
  <c r="GNU208" i="38"/>
  <c r="GNT208" i="38"/>
  <c r="GNS208" i="38"/>
  <c r="GNR208" i="38"/>
  <c r="GNQ208" i="38"/>
  <c r="GNP208" i="38"/>
  <c r="GNO208" i="38"/>
  <c r="GNN208" i="38"/>
  <c r="GNM208" i="38"/>
  <c r="GNL208" i="38"/>
  <c r="GNK208" i="38"/>
  <c r="GNJ208" i="38"/>
  <c r="GNI208" i="38"/>
  <c r="GNH208" i="38"/>
  <c r="GNG208" i="38"/>
  <c r="GNF208" i="38"/>
  <c r="GNE208" i="38"/>
  <c r="GND208" i="38"/>
  <c r="GNC208" i="38"/>
  <c r="GNB208" i="38"/>
  <c r="GNA208" i="38"/>
  <c r="GMZ208" i="38"/>
  <c r="GMY208" i="38"/>
  <c r="GMX208" i="38"/>
  <c r="GMW208" i="38"/>
  <c r="GMV208" i="38"/>
  <c r="GMU208" i="38"/>
  <c r="GMT208" i="38"/>
  <c r="GMS208" i="38"/>
  <c r="GMR208" i="38"/>
  <c r="GMQ208" i="38"/>
  <c r="GMP208" i="38"/>
  <c r="GMO208" i="38"/>
  <c r="GMN208" i="38"/>
  <c r="GMM208" i="38"/>
  <c r="GML208" i="38"/>
  <c r="GMK208" i="38"/>
  <c r="GMJ208" i="38"/>
  <c r="GMI208" i="38"/>
  <c r="GMH208" i="38"/>
  <c r="GMG208" i="38"/>
  <c r="GMF208" i="38"/>
  <c r="GME208" i="38"/>
  <c r="GMD208" i="38"/>
  <c r="GMC208" i="38"/>
  <c r="GMB208" i="38"/>
  <c r="GMA208" i="38"/>
  <c r="GLZ208" i="38"/>
  <c r="GLY208" i="38"/>
  <c r="GLX208" i="38"/>
  <c r="GLW208" i="38"/>
  <c r="GLV208" i="38"/>
  <c r="GLU208" i="38"/>
  <c r="GLT208" i="38"/>
  <c r="GLS208" i="38"/>
  <c r="GLR208" i="38"/>
  <c r="GLQ208" i="38"/>
  <c r="GLP208" i="38"/>
  <c r="GLO208" i="38"/>
  <c r="GLN208" i="38"/>
  <c r="GLM208" i="38"/>
  <c r="GLL208" i="38"/>
  <c r="GLK208" i="38"/>
  <c r="GLJ208" i="38"/>
  <c r="GLI208" i="38"/>
  <c r="GLH208" i="38"/>
  <c r="GLG208" i="38"/>
  <c r="GLF208" i="38"/>
  <c r="GLE208" i="38"/>
  <c r="GLD208" i="38"/>
  <c r="GLC208" i="38"/>
  <c r="GLB208" i="38"/>
  <c r="GLA208" i="38"/>
  <c r="GKZ208" i="38"/>
  <c r="GKY208" i="38"/>
  <c r="GKX208" i="38"/>
  <c r="GKW208" i="38"/>
  <c r="GKV208" i="38"/>
  <c r="GKU208" i="38"/>
  <c r="GKT208" i="38"/>
  <c r="GKS208" i="38"/>
  <c r="GKR208" i="38"/>
  <c r="GKQ208" i="38"/>
  <c r="GKP208" i="38"/>
  <c r="GKO208" i="38"/>
  <c r="GKN208" i="38"/>
  <c r="GKM208" i="38"/>
  <c r="GKL208" i="38"/>
  <c r="GKK208" i="38"/>
  <c r="GKJ208" i="38"/>
  <c r="GKI208" i="38"/>
  <c r="GKH208" i="38"/>
  <c r="GKG208" i="38"/>
  <c r="GKF208" i="38"/>
  <c r="GKE208" i="38"/>
  <c r="GKD208" i="38"/>
  <c r="GKC208" i="38"/>
  <c r="GKB208" i="38"/>
  <c r="GKA208" i="38"/>
  <c r="GJZ208" i="38"/>
  <c r="GJY208" i="38"/>
  <c r="GJX208" i="38"/>
  <c r="GJW208" i="38"/>
  <c r="GJV208" i="38"/>
  <c r="GJU208" i="38"/>
  <c r="GJT208" i="38"/>
  <c r="GJS208" i="38"/>
  <c r="GJR208" i="38"/>
  <c r="GJQ208" i="38"/>
  <c r="GJP208" i="38"/>
  <c r="GJO208" i="38"/>
  <c r="GJN208" i="38"/>
  <c r="GJM208" i="38"/>
  <c r="GJL208" i="38"/>
  <c r="GJK208" i="38"/>
  <c r="GJJ208" i="38"/>
  <c r="GJI208" i="38"/>
  <c r="GJH208" i="38"/>
  <c r="GJG208" i="38"/>
  <c r="GJF208" i="38"/>
  <c r="GJE208" i="38"/>
  <c r="GJD208" i="38"/>
  <c r="GJC208" i="38"/>
  <c r="GJB208" i="38"/>
  <c r="GJA208" i="38"/>
  <c r="GIZ208" i="38"/>
  <c r="GIY208" i="38"/>
  <c r="GIX208" i="38"/>
  <c r="GIW208" i="38"/>
  <c r="GIV208" i="38"/>
  <c r="GIU208" i="38"/>
  <c r="GIT208" i="38"/>
  <c r="GIS208" i="38"/>
  <c r="GIR208" i="38"/>
  <c r="GIQ208" i="38"/>
  <c r="GIP208" i="38"/>
  <c r="GIO208" i="38"/>
  <c r="GIN208" i="38"/>
  <c r="GIM208" i="38"/>
  <c r="GIL208" i="38"/>
  <c r="GIK208" i="38"/>
  <c r="GIJ208" i="38"/>
  <c r="GII208" i="38"/>
  <c r="GIH208" i="38"/>
  <c r="GIG208" i="38"/>
  <c r="GIF208" i="38"/>
  <c r="GIE208" i="38"/>
  <c r="GID208" i="38"/>
  <c r="GIC208" i="38"/>
  <c r="GIB208" i="38"/>
  <c r="GIA208" i="38"/>
  <c r="GHZ208" i="38"/>
  <c r="GHY208" i="38"/>
  <c r="GHX208" i="38"/>
  <c r="GHW208" i="38"/>
  <c r="GHV208" i="38"/>
  <c r="GHU208" i="38"/>
  <c r="GHT208" i="38"/>
  <c r="GHS208" i="38"/>
  <c r="GHR208" i="38"/>
  <c r="GHQ208" i="38"/>
  <c r="GHP208" i="38"/>
  <c r="GHO208" i="38"/>
  <c r="GHN208" i="38"/>
  <c r="GHM208" i="38"/>
  <c r="GHL208" i="38"/>
  <c r="GHK208" i="38"/>
  <c r="GHJ208" i="38"/>
  <c r="GHI208" i="38"/>
  <c r="GHH208" i="38"/>
  <c r="GHG208" i="38"/>
  <c r="GHF208" i="38"/>
  <c r="GHE208" i="38"/>
  <c r="GHD208" i="38"/>
  <c r="GHC208" i="38"/>
  <c r="GHB208" i="38"/>
  <c r="GHA208" i="38"/>
  <c r="GGZ208" i="38"/>
  <c r="GGY208" i="38"/>
  <c r="GGX208" i="38"/>
  <c r="GGW208" i="38"/>
  <c r="GGV208" i="38"/>
  <c r="GGU208" i="38"/>
  <c r="GGT208" i="38"/>
  <c r="GGS208" i="38"/>
  <c r="GGR208" i="38"/>
  <c r="GGQ208" i="38"/>
  <c r="GGP208" i="38"/>
  <c r="GGO208" i="38"/>
  <c r="GGN208" i="38"/>
  <c r="GGM208" i="38"/>
  <c r="GGL208" i="38"/>
  <c r="GGK208" i="38"/>
  <c r="GGJ208" i="38"/>
  <c r="GGI208" i="38"/>
  <c r="GGH208" i="38"/>
  <c r="GGG208" i="38"/>
  <c r="GGF208" i="38"/>
  <c r="GGE208" i="38"/>
  <c r="GGD208" i="38"/>
  <c r="GGC208" i="38"/>
  <c r="GGB208" i="38"/>
  <c r="GGA208" i="38"/>
  <c r="GFZ208" i="38"/>
  <c r="GFY208" i="38"/>
  <c r="GFX208" i="38"/>
  <c r="GFW208" i="38"/>
  <c r="GFV208" i="38"/>
  <c r="GFU208" i="38"/>
  <c r="GFT208" i="38"/>
  <c r="GFS208" i="38"/>
  <c r="GFR208" i="38"/>
  <c r="GFQ208" i="38"/>
  <c r="GFP208" i="38"/>
  <c r="GFO208" i="38"/>
  <c r="GFN208" i="38"/>
  <c r="GFM208" i="38"/>
  <c r="GFL208" i="38"/>
  <c r="GFK208" i="38"/>
  <c r="GFJ208" i="38"/>
  <c r="GFI208" i="38"/>
  <c r="GFH208" i="38"/>
  <c r="GFG208" i="38"/>
  <c r="GFF208" i="38"/>
  <c r="GFE208" i="38"/>
  <c r="GFD208" i="38"/>
  <c r="GFC208" i="38"/>
  <c r="GFB208" i="38"/>
  <c r="GFA208" i="38"/>
  <c r="GEZ208" i="38"/>
  <c r="GEY208" i="38"/>
  <c r="GEX208" i="38"/>
  <c r="GEW208" i="38"/>
  <c r="GEV208" i="38"/>
  <c r="GEU208" i="38"/>
  <c r="GET208" i="38"/>
  <c r="GES208" i="38"/>
  <c r="GER208" i="38"/>
  <c r="GEQ208" i="38"/>
  <c r="GEP208" i="38"/>
  <c r="GEO208" i="38"/>
  <c r="GEN208" i="38"/>
  <c r="GEM208" i="38"/>
  <c r="GEL208" i="38"/>
  <c r="GEK208" i="38"/>
  <c r="GEJ208" i="38"/>
  <c r="GEI208" i="38"/>
  <c r="GEH208" i="38"/>
  <c r="GEG208" i="38"/>
  <c r="GEF208" i="38"/>
  <c r="GEE208" i="38"/>
  <c r="GED208" i="38"/>
  <c r="GEC208" i="38"/>
  <c r="GEB208" i="38"/>
  <c r="GEA208" i="38"/>
  <c r="GDZ208" i="38"/>
  <c r="GDY208" i="38"/>
  <c r="GDX208" i="38"/>
  <c r="GDW208" i="38"/>
  <c r="GDV208" i="38"/>
  <c r="GDU208" i="38"/>
  <c r="GDT208" i="38"/>
  <c r="GDS208" i="38"/>
  <c r="GDR208" i="38"/>
  <c r="GDQ208" i="38"/>
  <c r="GDP208" i="38"/>
  <c r="GDO208" i="38"/>
  <c r="GDN208" i="38"/>
  <c r="GDM208" i="38"/>
  <c r="GDL208" i="38"/>
  <c r="GDK208" i="38"/>
  <c r="GDJ208" i="38"/>
  <c r="GDI208" i="38"/>
  <c r="GDH208" i="38"/>
  <c r="GDG208" i="38"/>
  <c r="GDF208" i="38"/>
  <c r="GDE208" i="38"/>
  <c r="GDD208" i="38"/>
  <c r="GDC208" i="38"/>
  <c r="GDB208" i="38"/>
  <c r="GDA208" i="38"/>
  <c r="GCZ208" i="38"/>
  <c r="GCY208" i="38"/>
  <c r="GCX208" i="38"/>
  <c r="GCW208" i="38"/>
  <c r="GCV208" i="38"/>
  <c r="GCU208" i="38"/>
  <c r="GCT208" i="38"/>
  <c r="GCS208" i="38"/>
  <c r="GCR208" i="38"/>
  <c r="GCQ208" i="38"/>
  <c r="GCP208" i="38"/>
  <c r="GCO208" i="38"/>
  <c r="GCN208" i="38"/>
  <c r="GCM208" i="38"/>
  <c r="GCL208" i="38"/>
  <c r="GCK208" i="38"/>
  <c r="GCJ208" i="38"/>
  <c r="GCI208" i="38"/>
  <c r="GCH208" i="38"/>
  <c r="GCG208" i="38"/>
  <c r="GCF208" i="38"/>
  <c r="GCE208" i="38"/>
  <c r="GCD208" i="38"/>
  <c r="GCC208" i="38"/>
  <c r="GCB208" i="38"/>
  <c r="GCA208" i="38"/>
  <c r="GBZ208" i="38"/>
  <c r="GBY208" i="38"/>
  <c r="GBX208" i="38"/>
  <c r="GBW208" i="38"/>
  <c r="GBV208" i="38"/>
  <c r="GBU208" i="38"/>
  <c r="GBT208" i="38"/>
  <c r="GBS208" i="38"/>
  <c r="GBR208" i="38"/>
  <c r="GBQ208" i="38"/>
  <c r="GBP208" i="38"/>
  <c r="GBO208" i="38"/>
  <c r="GBN208" i="38"/>
  <c r="GBM208" i="38"/>
  <c r="GBL208" i="38"/>
  <c r="GBK208" i="38"/>
  <c r="GBJ208" i="38"/>
  <c r="GBI208" i="38"/>
  <c r="GBH208" i="38"/>
  <c r="GBG208" i="38"/>
  <c r="GBF208" i="38"/>
  <c r="GBE208" i="38"/>
  <c r="GBD208" i="38"/>
  <c r="GBC208" i="38"/>
  <c r="GBB208" i="38"/>
  <c r="GBA208" i="38"/>
  <c r="GAZ208" i="38"/>
  <c r="GAY208" i="38"/>
  <c r="GAX208" i="38"/>
  <c r="GAW208" i="38"/>
  <c r="GAV208" i="38"/>
  <c r="GAU208" i="38"/>
  <c r="GAT208" i="38"/>
  <c r="GAS208" i="38"/>
  <c r="GAR208" i="38"/>
  <c r="GAQ208" i="38"/>
  <c r="GAP208" i="38"/>
  <c r="GAO208" i="38"/>
  <c r="GAN208" i="38"/>
  <c r="GAM208" i="38"/>
  <c r="GAL208" i="38"/>
  <c r="GAK208" i="38"/>
  <c r="GAJ208" i="38"/>
  <c r="GAI208" i="38"/>
  <c r="GAH208" i="38"/>
  <c r="GAG208" i="38"/>
  <c r="GAF208" i="38"/>
  <c r="GAE208" i="38"/>
  <c r="GAD208" i="38"/>
  <c r="GAC208" i="38"/>
  <c r="GAB208" i="38"/>
  <c r="GAA208" i="38"/>
  <c r="FZZ208" i="38"/>
  <c r="FZY208" i="38"/>
  <c r="FZX208" i="38"/>
  <c r="FZW208" i="38"/>
  <c r="FZV208" i="38"/>
  <c r="FZU208" i="38"/>
  <c r="FZT208" i="38"/>
  <c r="FZS208" i="38"/>
  <c r="FZR208" i="38"/>
  <c r="FZQ208" i="38"/>
  <c r="FZP208" i="38"/>
  <c r="FZO208" i="38"/>
  <c r="FZN208" i="38"/>
  <c r="FZM208" i="38"/>
  <c r="FZL208" i="38"/>
  <c r="FZK208" i="38"/>
  <c r="FZJ208" i="38"/>
  <c r="FZI208" i="38"/>
  <c r="FZH208" i="38"/>
  <c r="FZG208" i="38"/>
  <c r="FZF208" i="38"/>
  <c r="FZE208" i="38"/>
  <c r="FZD208" i="38"/>
  <c r="FZC208" i="38"/>
  <c r="FZB208" i="38"/>
  <c r="FZA208" i="38"/>
  <c r="FYZ208" i="38"/>
  <c r="FYY208" i="38"/>
  <c r="FYX208" i="38"/>
  <c r="FYW208" i="38"/>
  <c r="FYV208" i="38"/>
  <c r="FYU208" i="38"/>
  <c r="FYT208" i="38"/>
  <c r="FYS208" i="38"/>
  <c r="FYR208" i="38"/>
  <c r="FYQ208" i="38"/>
  <c r="FYP208" i="38"/>
  <c r="FYO208" i="38"/>
  <c r="FYN208" i="38"/>
  <c r="FYM208" i="38"/>
  <c r="FYL208" i="38"/>
  <c r="FYK208" i="38"/>
  <c r="FYJ208" i="38"/>
  <c r="FYI208" i="38"/>
  <c r="FYH208" i="38"/>
  <c r="FYG208" i="38"/>
  <c r="FYF208" i="38"/>
  <c r="FYE208" i="38"/>
  <c r="FYD208" i="38"/>
  <c r="FYC208" i="38"/>
  <c r="FYB208" i="38"/>
  <c r="FYA208" i="38"/>
  <c r="FXZ208" i="38"/>
  <c r="FXY208" i="38"/>
  <c r="FXX208" i="38"/>
  <c r="FXW208" i="38"/>
  <c r="FXV208" i="38"/>
  <c r="FXU208" i="38"/>
  <c r="FXT208" i="38"/>
  <c r="FXS208" i="38"/>
  <c r="FXR208" i="38"/>
  <c r="FXQ208" i="38"/>
  <c r="FXP208" i="38"/>
  <c r="FXO208" i="38"/>
  <c r="FXN208" i="38"/>
  <c r="FXM208" i="38"/>
  <c r="FXL208" i="38"/>
  <c r="FXK208" i="38"/>
  <c r="FXJ208" i="38"/>
  <c r="FXI208" i="38"/>
  <c r="FXH208" i="38"/>
  <c r="FXG208" i="38"/>
  <c r="FXF208" i="38"/>
  <c r="FXE208" i="38"/>
  <c r="FXD208" i="38"/>
  <c r="FXC208" i="38"/>
  <c r="FXB208" i="38"/>
  <c r="FXA208" i="38"/>
  <c r="FWZ208" i="38"/>
  <c r="FWY208" i="38"/>
  <c r="FWX208" i="38"/>
  <c r="FWW208" i="38"/>
  <c r="FWV208" i="38"/>
  <c r="FWU208" i="38"/>
  <c r="FWT208" i="38"/>
  <c r="FWS208" i="38"/>
  <c r="FWR208" i="38"/>
  <c r="FWQ208" i="38"/>
  <c r="FWP208" i="38"/>
  <c r="FWO208" i="38"/>
  <c r="FWN208" i="38"/>
  <c r="FWM208" i="38"/>
  <c r="FWL208" i="38"/>
  <c r="FWK208" i="38"/>
  <c r="FWJ208" i="38"/>
  <c r="FWI208" i="38"/>
  <c r="FWH208" i="38"/>
  <c r="FWG208" i="38"/>
  <c r="FWF208" i="38"/>
  <c r="FWE208" i="38"/>
  <c r="FWD208" i="38"/>
  <c r="FWC208" i="38"/>
  <c r="FWB208" i="38"/>
  <c r="FWA208" i="38"/>
  <c r="FVZ208" i="38"/>
  <c r="FVY208" i="38"/>
  <c r="FVX208" i="38"/>
  <c r="FVW208" i="38"/>
  <c r="FVV208" i="38"/>
  <c r="FVU208" i="38"/>
  <c r="FVT208" i="38"/>
  <c r="FVS208" i="38"/>
  <c r="FVR208" i="38"/>
  <c r="FVQ208" i="38"/>
  <c r="FVP208" i="38"/>
  <c r="FVO208" i="38"/>
  <c r="FVN208" i="38"/>
  <c r="FVM208" i="38"/>
  <c r="FVL208" i="38"/>
  <c r="FVK208" i="38"/>
  <c r="FVJ208" i="38"/>
  <c r="FVI208" i="38"/>
  <c r="FVH208" i="38"/>
  <c r="FVG208" i="38"/>
  <c r="FVF208" i="38"/>
  <c r="FVE208" i="38"/>
  <c r="FVD208" i="38"/>
  <c r="FVC208" i="38"/>
  <c r="FVB208" i="38"/>
  <c r="FVA208" i="38"/>
  <c r="FUZ208" i="38"/>
  <c r="FUY208" i="38"/>
  <c r="FUX208" i="38"/>
  <c r="FUW208" i="38"/>
  <c r="FUV208" i="38"/>
  <c r="FUU208" i="38"/>
  <c r="FUT208" i="38"/>
  <c r="FUS208" i="38"/>
  <c r="FUR208" i="38"/>
  <c r="FUQ208" i="38"/>
  <c r="FUP208" i="38"/>
  <c r="FUO208" i="38"/>
  <c r="FUN208" i="38"/>
  <c r="FUM208" i="38"/>
  <c r="FUL208" i="38"/>
  <c r="FUK208" i="38"/>
  <c r="FUJ208" i="38"/>
  <c r="FUI208" i="38"/>
  <c r="FUH208" i="38"/>
  <c r="FUG208" i="38"/>
  <c r="FUF208" i="38"/>
  <c r="FUE208" i="38"/>
  <c r="FUD208" i="38"/>
  <c r="FUC208" i="38"/>
  <c r="FUB208" i="38"/>
  <c r="FUA208" i="38"/>
  <c r="FTZ208" i="38"/>
  <c r="FTY208" i="38"/>
  <c r="FTX208" i="38"/>
  <c r="FTW208" i="38"/>
  <c r="FTV208" i="38"/>
  <c r="FTU208" i="38"/>
  <c r="FTT208" i="38"/>
  <c r="FTS208" i="38"/>
  <c r="FTR208" i="38"/>
  <c r="FTQ208" i="38"/>
  <c r="FTP208" i="38"/>
  <c r="FTO208" i="38"/>
  <c r="FTN208" i="38"/>
  <c r="FTM208" i="38"/>
  <c r="FTL208" i="38"/>
  <c r="FTK208" i="38"/>
  <c r="FTJ208" i="38"/>
  <c r="FTI208" i="38"/>
  <c r="FTH208" i="38"/>
  <c r="FTG208" i="38"/>
  <c r="FTF208" i="38"/>
  <c r="FTE208" i="38"/>
  <c r="FTD208" i="38"/>
  <c r="FTC208" i="38"/>
  <c r="FTB208" i="38"/>
  <c r="FTA208" i="38"/>
  <c r="FSZ208" i="38"/>
  <c r="FSY208" i="38"/>
  <c r="FSX208" i="38"/>
  <c r="FSW208" i="38"/>
  <c r="FSV208" i="38"/>
  <c r="FSU208" i="38"/>
  <c r="FST208" i="38"/>
  <c r="FSS208" i="38"/>
  <c r="FSR208" i="38"/>
  <c r="FSQ208" i="38"/>
  <c r="FSP208" i="38"/>
  <c r="FSO208" i="38"/>
  <c r="FSN208" i="38"/>
  <c r="FSM208" i="38"/>
  <c r="FSL208" i="38"/>
  <c r="FSK208" i="38"/>
  <c r="FSJ208" i="38"/>
  <c r="FSI208" i="38"/>
  <c r="FSH208" i="38"/>
  <c r="FSG208" i="38"/>
  <c r="FSF208" i="38"/>
  <c r="FSE208" i="38"/>
  <c r="FSD208" i="38"/>
  <c r="FSC208" i="38"/>
  <c r="FSB208" i="38"/>
  <c r="FSA208" i="38"/>
  <c r="FRZ208" i="38"/>
  <c r="FRY208" i="38"/>
  <c r="FRX208" i="38"/>
  <c r="FRW208" i="38"/>
  <c r="FRV208" i="38"/>
  <c r="FRU208" i="38"/>
  <c r="FRT208" i="38"/>
  <c r="FRS208" i="38"/>
  <c r="FRR208" i="38"/>
  <c r="FRQ208" i="38"/>
  <c r="FRP208" i="38"/>
  <c r="FRO208" i="38"/>
  <c r="FRN208" i="38"/>
  <c r="FRM208" i="38"/>
  <c r="FRL208" i="38"/>
  <c r="FRK208" i="38"/>
  <c r="FRJ208" i="38"/>
  <c r="FRI208" i="38"/>
  <c r="FRH208" i="38"/>
  <c r="FRG208" i="38"/>
  <c r="FRF208" i="38"/>
  <c r="FRE208" i="38"/>
  <c r="FRD208" i="38"/>
  <c r="FRC208" i="38"/>
  <c r="FRB208" i="38"/>
  <c r="FRA208" i="38"/>
  <c r="FQZ208" i="38"/>
  <c r="FQY208" i="38"/>
  <c r="FQX208" i="38"/>
  <c r="FQW208" i="38"/>
  <c r="FQV208" i="38"/>
  <c r="FQU208" i="38"/>
  <c r="FQT208" i="38"/>
  <c r="FQS208" i="38"/>
  <c r="FQR208" i="38"/>
  <c r="FQQ208" i="38"/>
  <c r="FQP208" i="38"/>
  <c r="FQO208" i="38"/>
  <c r="FQN208" i="38"/>
  <c r="FQM208" i="38"/>
  <c r="FQL208" i="38"/>
  <c r="FQK208" i="38"/>
  <c r="FQJ208" i="38"/>
  <c r="FQI208" i="38"/>
  <c r="FQH208" i="38"/>
  <c r="FQG208" i="38"/>
  <c r="FQF208" i="38"/>
  <c r="FQE208" i="38"/>
  <c r="FQD208" i="38"/>
  <c r="FQC208" i="38"/>
  <c r="FQB208" i="38"/>
  <c r="FQA208" i="38"/>
  <c r="FPZ208" i="38"/>
  <c r="FPY208" i="38"/>
  <c r="FPX208" i="38"/>
  <c r="FPW208" i="38"/>
  <c r="FPV208" i="38"/>
  <c r="FPU208" i="38"/>
  <c r="FPT208" i="38"/>
  <c r="FPS208" i="38"/>
  <c r="FPR208" i="38"/>
  <c r="FPQ208" i="38"/>
  <c r="FPP208" i="38"/>
  <c r="FPO208" i="38"/>
  <c r="FPN208" i="38"/>
  <c r="FPM208" i="38"/>
  <c r="FPL208" i="38"/>
  <c r="FPK208" i="38"/>
  <c r="FPJ208" i="38"/>
  <c r="FPI208" i="38"/>
  <c r="FPH208" i="38"/>
  <c r="FPG208" i="38"/>
  <c r="FPF208" i="38"/>
  <c r="FPE208" i="38"/>
  <c r="FPD208" i="38"/>
  <c r="FPC208" i="38"/>
  <c r="FPB208" i="38"/>
  <c r="FPA208" i="38"/>
  <c r="FOZ208" i="38"/>
  <c r="FOY208" i="38"/>
  <c r="FOX208" i="38"/>
  <c r="FOW208" i="38"/>
  <c r="FOV208" i="38"/>
  <c r="FOU208" i="38"/>
  <c r="FOT208" i="38"/>
  <c r="FOS208" i="38"/>
  <c r="FOR208" i="38"/>
  <c r="FOQ208" i="38"/>
  <c r="FOP208" i="38"/>
  <c r="FOO208" i="38"/>
  <c r="FON208" i="38"/>
  <c r="FOM208" i="38"/>
  <c r="FOL208" i="38"/>
  <c r="FOK208" i="38"/>
  <c r="FOJ208" i="38"/>
  <c r="FOI208" i="38"/>
  <c r="FOH208" i="38"/>
  <c r="FOG208" i="38"/>
  <c r="FOF208" i="38"/>
  <c r="FOE208" i="38"/>
  <c r="FOD208" i="38"/>
  <c r="FOC208" i="38"/>
  <c r="FOB208" i="38"/>
  <c r="FOA208" i="38"/>
  <c r="FNZ208" i="38"/>
  <c r="FNY208" i="38"/>
  <c r="FNX208" i="38"/>
  <c r="FNW208" i="38"/>
  <c r="FNV208" i="38"/>
  <c r="FNU208" i="38"/>
  <c r="FNT208" i="38"/>
  <c r="FNS208" i="38"/>
  <c r="FNR208" i="38"/>
  <c r="FNQ208" i="38"/>
  <c r="FNP208" i="38"/>
  <c r="FNO208" i="38"/>
  <c r="FNN208" i="38"/>
  <c r="FNM208" i="38"/>
  <c r="FNL208" i="38"/>
  <c r="FNK208" i="38"/>
  <c r="FNJ208" i="38"/>
  <c r="FNI208" i="38"/>
  <c r="FNH208" i="38"/>
  <c r="FNG208" i="38"/>
  <c r="FNF208" i="38"/>
  <c r="FNE208" i="38"/>
  <c r="FND208" i="38"/>
  <c r="FNC208" i="38"/>
  <c r="FNB208" i="38"/>
  <c r="FNA208" i="38"/>
  <c r="FMZ208" i="38"/>
  <c r="FMY208" i="38"/>
  <c r="FMX208" i="38"/>
  <c r="FMW208" i="38"/>
  <c r="FMV208" i="38"/>
  <c r="FMU208" i="38"/>
  <c r="FMT208" i="38"/>
  <c r="FMS208" i="38"/>
  <c r="FMR208" i="38"/>
  <c r="FMQ208" i="38"/>
  <c r="FMP208" i="38"/>
  <c r="FMO208" i="38"/>
  <c r="FMN208" i="38"/>
  <c r="FMM208" i="38"/>
  <c r="FML208" i="38"/>
  <c r="FMK208" i="38"/>
  <c r="FMJ208" i="38"/>
  <c r="FMI208" i="38"/>
  <c r="FMH208" i="38"/>
  <c r="FMG208" i="38"/>
  <c r="FMF208" i="38"/>
  <c r="FME208" i="38"/>
  <c r="FMD208" i="38"/>
  <c r="FMC208" i="38"/>
  <c r="FMB208" i="38"/>
  <c r="FMA208" i="38"/>
  <c r="FLZ208" i="38"/>
  <c r="FLY208" i="38"/>
  <c r="FLX208" i="38"/>
  <c r="FLW208" i="38"/>
  <c r="FLV208" i="38"/>
  <c r="FLU208" i="38"/>
  <c r="FLT208" i="38"/>
  <c r="FLS208" i="38"/>
  <c r="FLR208" i="38"/>
  <c r="FLQ208" i="38"/>
  <c r="FLP208" i="38"/>
  <c r="FLO208" i="38"/>
  <c r="FLN208" i="38"/>
  <c r="FLM208" i="38"/>
  <c r="FLL208" i="38"/>
  <c r="FLK208" i="38"/>
  <c r="FLJ208" i="38"/>
  <c r="FLI208" i="38"/>
  <c r="FLH208" i="38"/>
  <c r="FLG208" i="38"/>
  <c r="FLF208" i="38"/>
  <c r="FLE208" i="38"/>
  <c r="FLD208" i="38"/>
  <c r="FLC208" i="38"/>
  <c r="FLB208" i="38"/>
  <c r="FLA208" i="38"/>
  <c r="FKZ208" i="38"/>
  <c r="FKY208" i="38"/>
  <c r="FKX208" i="38"/>
  <c r="FKW208" i="38"/>
  <c r="FKV208" i="38"/>
  <c r="FKU208" i="38"/>
  <c r="FKT208" i="38"/>
  <c r="FKS208" i="38"/>
  <c r="FKR208" i="38"/>
  <c r="FKQ208" i="38"/>
  <c r="FKP208" i="38"/>
  <c r="FKO208" i="38"/>
  <c r="FKN208" i="38"/>
  <c r="FKM208" i="38"/>
  <c r="FKL208" i="38"/>
  <c r="FKK208" i="38"/>
  <c r="FKJ208" i="38"/>
  <c r="FKI208" i="38"/>
  <c r="FKH208" i="38"/>
  <c r="FKG208" i="38"/>
  <c r="FKF208" i="38"/>
  <c r="FKE208" i="38"/>
  <c r="FKD208" i="38"/>
  <c r="FKC208" i="38"/>
  <c r="FKB208" i="38"/>
  <c r="FKA208" i="38"/>
  <c r="FJZ208" i="38"/>
  <c r="FJY208" i="38"/>
  <c r="FJX208" i="38"/>
  <c r="FJW208" i="38"/>
  <c r="FJV208" i="38"/>
  <c r="FJU208" i="38"/>
  <c r="FJT208" i="38"/>
  <c r="FJS208" i="38"/>
  <c r="FJR208" i="38"/>
  <c r="FJQ208" i="38"/>
  <c r="FJP208" i="38"/>
  <c r="FJO208" i="38"/>
  <c r="FJN208" i="38"/>
  <c r="FJM208" i="38"/>
  <c r="FJL208" i="38"/>
  <c r="FJK208" i="38"/>
  <c r="FJJ208" i="38"/>
  <c r="FJI208" i="38"/>
  <c r="FJH208" i="38"/>
  <c r="FJG208" i="38"/>
  <c r="FJF208" i="38"/>
  <c r="FJE208" i="38"/>
  <c r="FJD208" i="38"/>
  <c r="FJC208" i="38"/>
  <c r="FJB208" i="38"/>
  <c r="FJA208" i="38"/>
  <c r="FIZ208" i="38"/>
  <c r="FIY208" i="38"/>
  <c r="FIX208" i="38"/>
  <c r="FIW208" i="38"/>
  <c r="FIV208" i="38"/>
  <c r="FIU208" i="38"/>
  <c r="FIT208" i="38"/>
  <c r="FIS208" i="38"/>
  <c r="FIR208" i="38"/>
  <c r="FIQ208" i="38"/>
  <c r="FIP208" i="38"/>
  <c r="FIO208" i="38"/>
  <c r="FIN208" i="38"/>
  <c r="FIM208" i="38"/>
  <c r="FIL208" i="38"/>
  <c r="FIK208" i="38"/>
  <c r="FIJ208" i="38"/>
  <c r="FII208" i="38"/>
  <c r="FIH208" i="38"/>
  <c r="FIG208" i="38"/>
  <c r="FIF208" i="38"/>
  <c r="FIE208" i="38"/>
  <c r="FID208" i="38"/>
  <c r="FIC208" i="38"/>
  <c r="FIB208" i="38"/>
  <c r="FIA208" i="38"/>
  <c r="FHZ208" i="38"/>
  <c r="FHY208" i="38"/>
  <c r="FHX208" i="38"/>
  <c r="FHW208" i="38"/>
  <c r="FHV208" i="38"/>
  <c r="FHU208" i="38"/>
  <c r="FHT208" i="38"/>
  <c r="FHS208" i="38"/>
  <c r="FHR208" i="38"/>
  <c r="FHQ208" i="38"/>
  <c r="FHP208" i="38"/>
  <c r="FHO208" i="38"/>
  <c r="FHN208" i="38"/>
  <c r="FHM208" i="38"/>
  <c r="FHL208" i="38"/>
  <c r="FHK208" i="38"/>
  <c r="FHJ208" i="38"/>
  <c r="FHI208" i="38"/>
  <c r="FHH208" i="38"/>
  <c r="FHG208" i="38"/>
  <c r="FHF208" i="38"/>
  <c r="FHE208" i="38"/>
  <c r="FHD208" i="38"/>
  <c r="FHC208" i="38"/>
  <c r="FHB208" i="38"/>
  <c r="FHA208" i="38"/>
  <c r="FGZ208" i="38"/>
  <c r="FGY208" i="38"/>
  <c r="FGX208" i="38"/>
  <c r="FGW208" i="38"/>
  <c r="FGV208" i="38"/>
  <c r="FGU208" i="38"/>
  <c r="FGT208" i="38"/>
  <c r="FGS208" i="38"/>
  <c r="FGR208" i="38"/>
  <c r="FGQ208" i="38"/>
  <c r="FGP208" i="38"/>
  <c r="FGO208" i="38"/>
  <c r="FGN208" i="38"/>
  <c r="FGM208" i="38"/>
  <c r="FGL208" i="38"/>
  <c r="FGK208" i="38"/>
  <c r="FGJ208" i="38"/>
  <c r="FGI208" i="38"/>
  <c r="FGH208" i="38"/>
  <c r="FGG208" i="38"/>
  <c r="FGF208" i="38"/>
  <c r="FGE208" i="38"/>
  <c r="FGD208" i="38"/>
  <c r="FGC208" i="38"/>
  <c r="FGB208" i="38"/>
  <c r="FGA208" i="38"/>
  <c r="FFZ208" i="38"/>
  <c r="FFY208" i="38"/>
  <c r="FFX208" i="38"/>
  <c r="FFW208" i="38"/>
  <c r="FFV208" i="38"/>
  <c r="FFU208" i="38"/>
  <c r="FFT208" i="38"/>
  <c r="FFS208" i="38"/>
  <c r="FFR208" i="38"/>
  <c r="FFQ208" i="38"/>
  <c r="FFP208" i="38"/>
  <c r="FFO208" i="38"/>
  <c r="FFN208" i="38"/>
  <c r="FFM208" i="38"/>
  <c r="FFL208" i="38"/>
  <c r="FFK208" i="38"/>
  <c r="FFJ208" i="38"/>
  <c r="FFI208" i="38"/>
  <c r="FFH208" i="38"/>
  <c r="FFG208" i="38"/>
  <c r="FFF208" i="38"/>
  <c r="FFE208" i="38"/>
  <c r="FFD208" i="38"/>
  <c r="FFC208" i="38"/>
  <c r="FFB208" i="38"/>
  <c r="FFA208" i="38"/>
  <c r="FEZ208" i="38"/>
  <c r="FEY208" i="38"/>
  <c r="FEX208" i="38"/>
  <c r="FEW208" i="38"/>
  <c r="FEV208" i="38"/>
  <c r="FEU208" i="38"/>
  <c r="FET208" i="38"/>
  <c r="FES208" i="38"/>
  <c r="FER208" i="38"/>
  <c r="FEQ208" i="38"/>
  <c r="FEP208" i="38"/>
  <c r="FEO208" i="38"/>
  <c r="FEN208" i="38"/>
  <c r="FEM208" i="38"/>
  <c r="FEL208" i="38"/>
  <c r="FEK208" i="38"/>
  <c r="FEJ208" i="38"/>
  <c r="FEI208" i="38"/>
  <c r="FEH208" i="38"/>
  <c r="FEG208" i="38"/>
  <c r="FEF208" i="38"/>
  <c r="FEE208" i="38"/>
  <c r="FED208" i="38"/>
  <c r="FEC208" i="38"/>
  <c r="FEB208" i="38"/>
  <c r="FEA208" i="38"/>
  <c r="FDZ208" i="38"/>
  <c r="FDY208" i="38"/>
  <c r="FDX208" i="38"/>
  <c r="FDW208" i="38"/>
  <c r="FDV208" i="38"/>
  <c r="FDU208" i="38"/>
  <c r="FDT208" i="38"/>
  <c r="FDS208" i="38"/>
  <c r="FDR208" i="38"/>
  <c r="FDQ208" i="38"/>
  <c r="FDP208" i="38"/>
  <c r="FDO208" i="38"/>
  <c r="FDN208" i="38"/>
  <c r="FDM208" i="38"/>
  <c r="FDL208" i="38"/>
  <c r="FDK208" i="38"/>
  <c r="FDJ208" i="38"/>
  <c r="FDI208" i="38"/>
  <c r="FDH208" i="38"/>
  <c r="FDG208" i="38"/>
  <c r="FDF208" i="38"/>
  <c r="FDE208" i="38"/>
  <c r="FDD208" i="38"/>
  <c r="FDC208" i="38"/>
  <c r="FDB208" i="38"/>
  <c r="FDA208" i="38"/>
  <c r="FCZ208" i="38"/>
  <c r="FCY208" i="38"/>
  <c r="FCX208" i="38"/>
  <c r="FCW208" i="38"/>
  <c r="FCV208" i="38"/>
  <c r="FCU208" i="38"/>
  <c r="FCT208" i="38"/>
  <c r="FCS208" i="38"/>
  <c r="FCR208" i="38"/>
  <c r="FCQ208" i="38"/>
  <c r="FCP208" i="38"/>
  <c r="FCO208" i="38"/>
  <c r="FCN208" i="38"/>
  <c r="FCM208" i="38"/>
  <c r="FCL208" i="38"/>
  <c r="FCK208" i="38"/>
  <c r="FCJ208" i="38"/>
  <c r="FCI208" i="38"/>
  <c r="FCH208" i="38"/>
  <c r="FCG208" i="38"/>
  <c r="FCF208" i="38"/>
  <c r="FCE208" i="38"/>
  <c r="FCD208" i="38"/>
  <c r="FCC208" i="38"/>
  <c r="FCB208" i="38"/>
  <c r="FCA208" i="38"/>
  <c r="FBZ208" i="38"/>
  <c r="FBY208" i="38"/>
  <c r="FBX208" i="38"/>
  <c r="FBW208" i="38"/>
  <c r="FBV208" i="38"/>
  <c r="FBU208" i="38"/>
  <c r="FBT208" i="38"/>
  <c r="FBS208" i="38"/>
  <c r="FBR208" i="38"/>
  <c r="FBQ208" i="38"/>
  <c r="FBP208" i="38"/>
  <c r="FBO208" i="38"/>
  <c r="FBN208" i="38"/>
  <c r="FBM208" i="38"/>
  <c r="FBL208" i="38"/>
  <c r="FBK208" i="38"/>
  <c r="FBJ208" i="38"/>
  <c r="FBI208" i="38"/>
  <c r="FBH208" i="38"/>
  <c r="FBG208" i="38"/>
  <c r="FBF208" i="38"/>
  <c r="FBE208" i="38"/>
  <c r="FBD208" i="38"/>
  <c r="FBC208" i="38"/>
  <c r="FBB208" i="38"/>
  <c r="FBA208" i="38"/>
  <c r="FAZ208" i="38"/>
  <c r="FAY208" i="38"/>
  <c r="FAX208" i="38"/>
  <c r="FAW208" i="38"/>
  <c r="FAV208" i="38"/>
  <c r="FAU208" i="38"/>
  <c r="FAT208" i="38"/>
  <c r="FAS208" i="38"/>
  <c r="FAR208" i="38"/>
  <c r="FAQ208" i="38"/>
  <c r="FAP208" i="38"/>
  <c r="FAO208" i="38"/>
  <c r="FAN208" i="38"/>
  <c r="FAM208" i="38"/>
  <c r="FAL208" i="38"/>
  <c r="FAK208" i="38"/>
  <c r="FAJ208" i="38"/>
  <c r="FAI208" i="38"/>
  <c r="FAH208" i="38"/>
  <c r="FAG208" i="38"/>
  <c r="FAF208" i="38"/>
  <c r="FAE208" i="38"/>
  <c r="FAD208" i="38"/>
  <c r="FAC208" i="38"/>
  <c r="FAB208" i="38"/>
  <c r="FAA208" i="38"/>
  <c r="EZZ208" i="38"/>
  <c r="EZY208" i="38"/>
  <c r="EZX208" i="38"/>
  <c r="EZW208" i="38"/>
  <c r="EZV208" i="38"/>
  <c r="EZU208" i="38"/>
  <c r="EZT208" i="38"/>
  <c r="EZS208" i="38"/>
  <c r="EZR208" i="38"/>
  <c r="EZQ208" i="38"/>
  <c r="EZP208" i="38"/>
  <c r="EZO208" i="38"/>
  <c r="EZN208" i="38"/>
  <c r="EZM208" i="38"/>
  <c r="EZL208" i="38"/>
  <c r="EZK208" i="38"/>
  <c r="EZJ208" i="38"/>
  <c r="EZI208" i="38"/>
  <c r="EZH208" i="38"/>
  <c r="EZG208" i="38"/>
  <c r="EZF208" i="38"/>
  <c r="EZE208" i="38"/>
  <c r="EZD208" i="38"/>
  <c r="EZC208" i="38"/>
  <c r="EZB208" i="38"/>
  <c r="EZA208" i="38"/>
  <c r="EYZ208" i="38"/>
  <c r="EYY208" i="38"/>
  <c r="EYX208" i="38"/>
  <c r="EYW208" i="38"/>
  <c r="EYV208" i="38"/>
  <c r="EYU208" i="38"/>
  <c r="EYT208" i="38"/>
  <c r="EYS208" i="38"/>
  <c r="EYR208" i="38"/>
  <c r="EYQ208" i="38"/>
  <c r="EYP208" i="38"/>
  <c r="EYO208" i="38"/>
  <c r="EYN208" i="38"/>
  <c r="EYM208" i="38"/>
  <c r="EYL208" i="38"/>
  <c r="EYK208" i="38"/>
  <c r="EYJ208" i="38"/>
  <c r="EYI208" i="38"/>
  <c r="EYH208" i="38"/>
  <c r="EYG208" i="38"/>
  <c r="EYF208" i="38"/>
  <c r="EYE208" i="38"/>
  <c r="EYD208" i="38"/>
  <c r="EYC208" i="38"/>
  <c r="EYB208" i="38"/>
  <c r="EYA208" i="38"/>
  <c r="EXZ208" i="38"/>
  <c r="EXY208" i="38"/>
  <c r="EXX208" i="38"/>
  <c r="EXW208" i="38"/>
  <c r="EXV208" i="38"/>
  <c r="EXU208" i="38"/>
  <c r="EXT208" i="38"/>
  <c r="EXS208" i="38"/>
  <c r="EXR208" i="38"/>
  <c r="EXQ208" i="38"/>
  <c r="EXP208" i="38"/>
  <c r="EXO208" i="38"/>
  <c r="EXN208" i="38"/>
  <c r="EXM208" i="38"/>
  <c r="EXL208" i="38"/>
  <c r="EXK208" i="38"/>
  <c r="EXJ208" i="38"/>
  <c r="EXI208" i="38"/>
  <c r="EXH208" i="38"/>
  <c r="EXG208" i="38"/>
  <c r="EXF208" i="38"/>
  <c r="EXE208" i="38"/>
  <c r="EXD208" i="38"/>
  <c r="EXC208" i="38"/>
  <c r="EXB208" i="38"/>
  <c r="EXA208" i="38"/>
  <c r="EWZ208" i="38"/>
  <c r="EWY208" i="38"/>
  <c r="EWX208" i="38"/>
  <c r="EWW208" i="38"/>
  <c r="EWV208" i="38"/>
  <c r="EWU208" i="38"/>
  <c r="EWT208" i="38"/>
  <c r="EWS208" i="38"/>
  <c r="EWR208" i="38"/>
  <c r="EWQ208" i="38"/>
  <c r="EWP208" i="38"/>
  <c r="EWO208" i="38"/>
  <c r="EWN208" i="38"/>
  <c r="EWM208" i="38"/>
  <c r="EWL208" i="38"/>
  <c r="EWK208" i="38"/>
  <c r="EWJ208" i="38"/>
  <c r="EWI208" i="38"/>
  <c r="EWH208" i="38"/>
  <c r="EWG208" i="38"/>
  <c r="EWF208" i="38"/>
  <c r="EWE208" i="38"/>
  <c r="EWD208" i="38"/>
  <c r="EWC208" i="38"/>
  <c r="EWB208" i="38"/>
  <c r="EWA208" i="38"/>
  <c r="EVZ208" i="38"/>
  <c r="EVY208" i="38"/>
  <c r="EVX208" i="38"/>
  <c r="EVW208" i="38"/>
  <c r="EVV208" i="38"/>
  <c r="EVU208" i="38"/>
  <c r="EVT208" i="38"/>
  <c r="EVS208" i="38"/>
  <c r="EVR208" i="38"/>
  <c r="EVQ208" i="38"/>
  <c r="EVP208" i="38"/>
  <c r="EVO208" i="38"/>
  <c r="EVN208" i="38"/>
  <c r="EVM208" i="38"/>
  <c r="EVL208" i="38"/>
  <c r="EVK208" i="38"/>
  <c r="EVJ208" i="38"/>
  <c r="EVI208" i="38"/>
  <c r="EVH208" i="38"/>
  <c r="EVG208" i="38"/>
  <c r="EVF208" i="38"/>
  <c r="EVE208" i="38"/>
  <c r="EVD208" i="38"/>
  <c r="EVC208" i="38"/>
  <c r="EVB208" i="38"/>
  <c r="EVA208" i="38"/>
  <c r="EUZ208" i="38"/>
  <c r="EUY208" i="38"/>
  <c r="EUX208" i="38"/>
  <c r="EUW208" i="38"/>
  <c r="EUV208" i="38"/>
  <c r="EUU208" i="38"/>
  <c r="EUT208" i="38"/>
  <c r="EUS208" i="38"/>
  <c r="EUR208" i="38"/>
  <c r="EUQ208" i="38"/>
  <c r="EUP208" i="38"/>
  <c r="EUO208" i="38"/>
  <c r="EUN208" i="38"/>
  <c r="EUM208" i="38"/>
  <c r="EUL208" i="38"/>
  <c r="EUK208" i="38"/>
  <c r="EUJ208" i="38"/>
  <c r="EUI208" i="38"/>
  <c r="EUH208" i="38"/>
  <c r="EUG208" i="38"/>
  <c r="EUF208" i="38"/>
  <c r="EUE208" i="38"/>
  <c r="EUD208" i="38"/>
  <c r="EUC208" i="38"/>
  <c r="EUB208" i="38"/>
  <c r="EUA208" i="38"/>
  <c r="ETZ208" i="38"/>
  <c r="ETY208" i="38"/>
  <c r="ETX208" i="38"/>
  <c r="ETW208" i="38"/>
  <c r="ETV208" i="38"/>
  <c r="ETU208" i="38"/>
  <c r="ETT208" i="38"/>
  <c r="ETS208" i="38"/>
  <c r="ETR208" i="38"/>
  <c r="ETQ208" i="38"/>
  <c r="ETP208" i="38"/>
  <c r="ETO208" i="38"/>
  <c r="ETN208" i="38"/>
  <c r="ETM208" i="38"/>
  <c r="ETL208" i="38"/>
  <c r="ETK208" i="38"/>
  <c r="ETJ208" i="38"/>
  <c r="ETI208" i="38"/>
  <c r="ETH208" i="38"/>
  <c r="ETG208" i="38"/>
  <c r="ETF208" i="38"/>
  <c r="ETE208" i="38"/>
  <c r="ETD208" i="38"/>
  <c r="ETC208" i="38"/>
  <c r="ETB208" i="38"/>
  <c r="ETA208" i="38"/>
  <c r="ESZ208" i="38"/>
  <c r="ESY208" i="38"/>
  <c r="ESX208" i="38"/>
  <c r="ESW208" i="38"/>
  <c r="ESV208" i="38"/>
  <c r="ESU208" i="38"/>
  <c r="EST208" i="38"/>
  <c r="ESS208" i="38"/>
  <c r="ESR208" i="38"/>
  <c r="ESQ208" i="38"/>
  <c r="ESP208" i="38"/>
  <c r="ESO208" i="38"/>
  <c r="ESN208" i="38"/>
  <c r="ESM208" i="38"/>
  <c r="ESL208" i="38"/>
  <c r="ESK208" i="38"/>
  <c r="ESJ208" i="38"/>
  <c r="ESI208" i="38"/>
  <c r="ESH208" i="38"/>
  <c r="ESG208" i="38"/>
  <c r="ESF208" i="38"/>
  <c r="ESE208" i="38"/>
  <c r="ESD208" i="38"/>
  <c r="ESC208" i="38"/>
  <c r="ESB208" i="38"/>
  <c r="ESA208" i="38"/>
  <c r="ERZ208" i="38"/>
  <c r="ERY208" i="38"/>
  <c r="ERX208" i="38"/>
  <c r="ERW208" i="38"/>
  <c r="ERV208" i="38"/>
  <c r="ERU208" i="38"/>
  <c r="ERT208" i="38"/>
  <c r="ERS208" i="38"/>
  <c r="ERR208" i="38"/>
  <c r="ERQ208" i="38"/>
  <c r="ERP208" i="38"/>
  <c r="ERO208" i="38"/>
  <c r="ERN208" i="38"/>
  <c r="ERM208" i="38"/>
  <c r="ERL208" i="38"/>
  <c r="ERK208" i="38"/>
  <c r="ERJ208" i="38"/>
  <c r="ERI208" i="38"/>
  <c r="ERH208" i="38"/>
  <c r="ERG208" i="38"/>
  <c r="ERF208" i="38"/>
  <c r="ERE208" i="38"/>
  <c r="ERD208" i="38"/>
  <c r="ERC208" i="38"/>
  <c r="ERB208" i="38"/>
  <c r="ERA208" i="38"/>
  <c r="EQZ208" i="38"/>
  <c r="EQY208" i="38"/>
  <c r="EQX208" i="38"/>
  <c r="EQW208" i="38"/>
  <c r="EQV208" i="38"/>
  <c r="EQU208" i="38"/>
  <c r="EQT208" i="38"/>
  <c r="EQS208" i="38"/>
  <c r="EQR208" i="38"/>
  <c r="EQQ208" i="38"/>
  <c r="EQP208" i="38"/>
  <c r="EQO208" i="38"/>
  <c r="EQN208" i="38"/>
  <c r="EQM208" i="38"/>
  <c r="EQL208" i="38"/>
  <c r="EQK208" i="38"/>
  <c r="EQJ208" i="38"/>
  <c r="EQI208" i="38"/>
  <c r="EQH208" i="38"/>
  <c r="EQG208" i="38"/>
  <c r="EQF208" i="38"/>
  <c r="EQE208" i="38"/>
  <c r="EQD208" i="38"/>
  <c r="EQC208" i="38"/>
  <c r="EQB208" i="38"/>
  <c r="EQA208" i="38"/>
  <c r="EPZ208" i="38"/>
  <c r="EPY208" i="38"/>
  <c r="EPX208" i="38"/>
  <c r="EPW208" i="38"/>
  <c r="EPV208" i="38"/>
  <c r="EPU208" i="38"/>
  <c r="EPT208" i="38"/>
  <c r="EPS208" i="38"/>
  <c r="EPR208" i="38"/>
  <c r="EPQ208" i="38"/>
  <c r="EPP208" i="38"/>
  <c r="EPO208" i="38"/>
  <c r="EPN208" i="38"/>
  <c r="EPM208" i="38"/>
  <c r="EPL208" i="38"/>
  <c r="EPK208" i="38"/>
  <c r="EPJ208" i="38"/>
  <c r="EPI208" i="38"/>
  <c r="EPH208" i="38"/>
  <c r="EPG208" i="38"/>
  <c r="EPF208" i="38"/>
  <c r="EPE208" i="38"/>
  <c r="EPD208" i="38"/>
  <c r="EPC208" i="38"/>
  <c r="EPB208" i="38"/>
  <c r="EPA208" i="38"/>
  <c r="EOZ208" i="38"/>
  <c r="EOY208" i="38"/>
  <c r="EOX208" i="38"/>
  <c r="EOW208" i="38"/>
  <c r="EOV208" i="38"/>
  <c r="EOU208" i="38"/>
  <c r="EOT208" i="38"/>
  <c r="EOS208" i="38"/>
  <c r="EOR208" i="38"/>
  <c r="EOQ208" i="38"/>
  <c r="EOP208" i="38"/>
  <c r="EOO208" i="38"/>
  <c r="EON208" i="38"/>
  <c r="EOM208" i="38"/>
  <c r="EOL208" i="38"/>
  <c r="EOK208" i="38"/>
  <c r="EOJ208" i="38"/>
  <c r="EOI208" i="38"/>
  <c r="EOH208" i="38"/>
  <c r="EOG208" i="38"/>
  <c r="EOF208" i="38"/>
  <c r="EOE208" i="38"/>
  <c r="EOD208" i="38"/>
  <c r="EOC208" i="38"/>
  <c r="EOB208" i="38"/>
  <c r="EOA208" i="38"/>
  <c r="ENZ208" i="38"/>
  <c r="ENY208" i="38"/>
  <c r="ENX208" i="38"/>
  <c r="ENW208" i="38"/>
  <c r="ENV208" i="38"/>
  <c r="ENU208" i="38"/>
  <c r="ENT208" i="38"/>
  <c r="ENS208" i="38"/>
  <c r="ENR208" i="38"/>
  <c r="ENQ208" i="38"/>
  <c r="ENP208" i="38"/>
  <c r="ENO208" i="38"/>
  <c r="ENN208" i="38"/>
  <c r="ENM208" i="38"/>
  <c r="ENL208" i="38"/>
  <c r="ENK208" i="38"/>
  <c r="ENJ208" i="38"/>
  <c r="ENI208" i="38"/>
  <c r="ENH208" i="38"/>
  <c r="ENG208" i="38"/>
  <c r="ENF208" i="38"/>
  <c r="ENE208" i="38"/>
  <c r="END208" i="38"/>
  <c r="ENC208" i="38"/>
  <c r="ENB208" i="38"/>
  <c r="ENA208" i="38"/>
  <c r="EMZ208" i="38"/>
  <c r="EMY208" i="38"/>
  <c r="EMX208" i="38"/>
  <c r="EMW208" i="38"/>
  <c r="EMV208" i="38"/>
  <c r="EMU208" i="38"/>
  <c r="EMT208" i="38"/>
  <c r="EMS208" i="38"/>
  <c r="EMR208" i="38"/>
  <c r="EMQ208" i="38"/>
  <c r="EMP208" i="38"/>
  <c r="EMO208" i="38"/>
  <c r="EMN208" i="38"/>
  <c r="EMM208" i="38"/>
  <c r="EML208" i="38"/>
  <c r="EMK208" i="38"/>
  <c r="EMJ208" i="38"/>
  <c r="EMI208" i="38"/>
  <c r="EMH208" i="38"/>
  <c r="EMG208" i="38"/>
  <c r="EMF208" i="38"/>
  <c r="EME208" i="38"/>
  <c r="EMD208" i="38"/>
  <c r="EMC208" i="38"/>
  <c r="EMB208" i="38"/>
  <c r="EMA208" i="38"/>
  <c r="ELZ208" i="38"/>
  <c r="ELY208" i="38"/>
  <c r="ELX208" i="38"/>
  <c r="ELW208" i="38"/>
  <c r="ELV208" i="38"/>
  <c r="ELU208" i="38"/>
  <c r="ELT208" i="38"/>
  <c r="ELS208" i="38"/>
  <c r="ELR208" i="38"/>
  <c r="ELQ208" i="38"/>
  <c r="ELP208" i="38"/>
  <c r="ELO208" i="38"/>
  <c r="ELN208" i="38"/>
  <c r="ELM208" i="38"/>
  <c r="ELL208" i="38"/>
  <c r="ELK208" i="38"/>
  <c r="ELJ208" i="38"/>
  <c r="ELI208" i="38"/>
  <c r="ELH208" i="38"/>
  <c r="ELG208" i="38"/>
  <c r="ELF208" i="38"/>
  <c r="ELE208" i="38"/>
  <c r="ELD208" i="38"/>
  <c r="ELC208" i="38"/>
  <c r="ELB208" i="38"/>
  <c r="ELA208" i="38"/>
  <c r="EKZ208" i="38"/>
  <c r="EKY208" i="38"/>
  <c r="EKX208" i="38"/>
  <c r="EKW208" i="38"/>
  <c r="EKV208" i="38"/>
  <c r="EKU208" i="38"/>
  <c r="EKT208" i="38"/>
  <c r="EKS208" i="38"/>
  <c r="EKR208" i="38"/>
  <c r="EKQ208" i="38"/>
  <c r="EKP208" i="38"/>
  <c r="EKO208" i="38"/>
  <c r="EKN208" i="38"/>
  <c r="EKM208" i="38"/>
  <c r="EKL208" i="38"/>
  <c r="EKK208" i="38"/>
  <c r="EKJ208" i="38"/>
  <c r="EKI208" i="38"/>
  <c r="EKH208" i="38"/>
  <c r="EKG208" i="38"/>
  <c r="EKF208" i="38"/>
  <c r="EKE208" i="38"/>
  <c r="EKD208" i="38"/>
  <c r="EKC208" i="38"/>
  <c r="EKB208" i="38"/>
  <c r="EKA208" i="38"/>
  <c r="EJZ208" i="38"/>
  <c r="EJY208" i="38"/>
  <c r="EJX208" i="38"/>
  <c r="EJW208" i="38"/>
  <c r="EJV208" i="38"/>
  <c r="EJU208" i="38"/>
  <c r="EJT208" i="38"/>
  <c r="EJS208" i="38"/>
  <c r="EJR208" i="38"/>
  <c r="EJQ208" i="38"/>
  <c r="EJP208" i="38"/>
  <c r="EJO208" i="38"/>
  <c r="EJN208" i="38"/>
  <c r="EJM208" i="38"/>
  <c r="EJL208" i="38"/>
  <c r="EJK208" i="38"/>
  <c r="EJJ208" i="38"/>
  <c r="EJI208" i="38"/>
  <c r="EJH208" i="38"/>
  <c r="EJG208" i="38"/>
  <c r="EJF208" i="38"/>
  <c r="EJE208" i="38"/>
  <c r="EJD208" i="38"/>
  <c r="EJC208" i="38"/>
  <c r="EJB208" i="38"/>
  <c r="EJA208" i="38"/>
  <c r="EIZ208" i="38"/>
  <c r="EIY208" i="38"/>
  <c r="EIX208" i="38"/>
  <c r="EIW208" i="38"/>
  <c r="EIV208" i="38"/>
  <c r="EIU208" i="38"/>
  <c r="EIT208" i="38"/>
  <c r="EIS208" i="38"/>
  <c r="EIR208" i="38"/>
  <c r="EIQ208" i="38"/>
  <c r="EIP208" i="38"/>
  <c r="EIO208" i="38"/>
  <c r="EIN208" i="38"/>
  <c r="EIM208" i="38"/>
  <c r="EIL208" i="38"/>
  <c r="EIK208" i="38"/>
  <c r="EIJ208" i="38"/>
  <c r="EII208" i="38"/>
  <c r="EIH208" i="38"/>
  <c r="EIG208" i="38"/>
  <c r="EIF208" i="38"/>
  <c r="EIE208" i="38"/>
  <c r="EID208" i="38"/>
  <c r="EIC208" i="38"/>
  <c r="EIB208" i="38"/>
  <c r="EIA208" i="38"/>
  <c r="EHZ208" i="38"/>
  <c r="EHY208" i="38"/>
  <c r="EHX208" i="38"/>
  <c r="EHW208" i="38"/>
  <c r="EHV208" i="38"/>
  <c r="EHU208" i="38"/>
  <c r="EHT208" i="38"/>
  <c r="EHS208" i="38"/>
  <c r="EHR208" i="38"/>
  <c r="EHQ208" i="38"/>
  <c r="EHP208" i="38"/>
  <c r="EHO208" i="38"/>
  <c r="EHN208" i="38"/>
  <c r="EHM208" i="38"/>
  <c r="EHL208" i="38"/>
  <c r="EHK208" i="38"/>
  <c r="EHJ208" i="38"/>
  <c r="EHI208" i="38"/>
  <c r="EHH208" i="38"/>
  <c r="EHG208" i="38"/>
  <c r="EHF208" i="38"/>
  <c r="EHE208" i="38"/>
  <c r="EHD208" i="38"/>
  <c r="EHC208" i="38"/>
  <c r="EHB208" i="38"/>
  <c r="EHA208" i="38"/>
  <c r="EGZ208" i="38"/>
  <c r="EGY208" i="38"/>
  <c r="EGX208" i="38"/>
  <c r="EGW208" i="38"/>
  <c r="EGV208" i="38"/>
  <c r="EGU208" i="38"/>
  <c r="EGT208" i="38"/>
  <c r="EGS208" i="38"/>
  <c r="EGR208" i="38"/>
  <c r="EGQ208" i="38"/>
  <c r="EGP208" i="38"/>
  <c r="EGO208" i="38"/>
  <c r="EGN208" i="38"/>
  <c r="EGM208" i="38"/>
  <c r="EGL208" i="38"/>
  <c r="EGK208" i="38"/>
  <c r="EGJ208" i="38"/>
  <c r="EGI208" i="38"/>
  <c r="EGH208" i="38"/>
  <c r="EGG208" i="38"/>
  <c r="EGF208" i="38"/>
  <c r="EGE208" i="38"/>
  <c r="EGD208" i="38"/>
  <c r="EGC208" i="38"/>
  <c r="EGB208" i="38"/>
  <c r="EGA208" i="38"/>
  <c r="EFZ208" i="38"/>
  <c r="EFY208" i="38"/>
  <c r="EFX208" i="38"/>
  <c r="EFW208" i="38"/>
  <c r="EFV208" i="38"/>
  <c r="EFU208" i="38"/>
  <c r="EFT208" i="38"/>
  <c r="EFS208" i="38"/>
  <c r="EFR208" i="38"/>
  <c r="EFQ208" i="38"/>
  <c r="EFP208" i="38"/>
  <c r="EFO208" i="38"/>
  <c r="EFN208" i="38"/>
  <c r="EFM208" i="38"/>
  <c r="EFL208" i="38"/>
  <c r="EFK208" i="38"/>
  <c r="EFJ208" i="38"/>
  <c r="EFI208" i="38"/>
  <c r="EFH208" i="38"/>
  <c r="EFG208" i="38"/>
  <c r="EFF208" i="38"/>
  <c r="EFE208" i="38"/>
  <c r="EFD208" i="38"/>
  <c r="EFC208" i="38"/>
  <c r="EFB208" i="38"/>
  <c r="EFA208" i="38"/>
  <c r="EEZ208" i="38"/>
  <c r="EEY208" i="38"/>
  <c r="EEX208" i="38"/>
  <c r="EEW208" i="38"/>
  <c r="EEV208" i="38"/>
  <c r="EEU208" i="38"/>
  <c r="EET208" i="38"/>
  <c r="EES208" i="38"/>
  <c r="EER208" i="38"/>
  <c r="EEQ208" i="38"/>
  <c r="EEP208" i="38"/>
  <c r="EEO208" i="38"/>
  <c r="EEN208" i="38"/>
  <c r="EEM208" i="38"/>
  <c r="EEL208" i="38"/>
  <c r="EEK208" i="38"/>
  <c r="EEJ208" i="38"/>
  <c r="EEI208" i="38"/>
  <c r="EEH208" i="38"/>
  <c r="EEG208" i="38"/>
  <c r="EEF208" i="38"/>
  <c r="EEE208" i="38"/>
  <c r="EED208" i="38"/>
  <c r="EEC208" i="38"/>
  <c r="EEB208" i="38"/>
  <c r="EEA208" i="38"/>
  <c r="EDZ208" i="38"/>
  <c r="EDY208" i="38"/>
  <c r="EDX208" i="38"/>
  <c r="EDW208" i="38"/>
  <c r="EDV208" i="38"/>
  <c r="EDU208" i="38"/>
  <c r="EDT208" i="38"/>
  <c r="EDS208" i="38"/>
  <c r="EDR208" i="38"/>
  <c r="EDQ208" i="38"/>
  <c r="EDP208" i="38"/>
  <c r="EDO208" i="38"/>
  <c r="EDN208" i="38"/>
  <c r="EDM208" i="38"/>
  <c r="EDL208" i="38"/>
  <c r="EDK208" i="38"/>
  <c r="EDJ208" i="38"/>
  <c r="EDI208" i="38"/>
  <c r="EDH208" i="38"/>
  <c r="EDG208" i="38"/>
  <c r="EDF208" i="38"/>
  <c r="EDE208" i="38"/>
  <c r="EDD208" i="38"/>
  <c r="EDC208" i="38"/>
  <c r="EDB208" i="38"/>
  <c r="EDA208" i="38"/>
  <c r="ECZ208" i="38"/>
  <c r="ECY208" i="38"/>
  <c r="ECX208" i="38"/>
  <c r="ECW208" i="38"/>
  <c r="ECV208" i="38"/>
  <c r="ECU208" i="38"/>
  <c r="ECT208" i="38"/>
  <c r="ECS208" i="38"/>
  <c r="ECR208" i="38"/>
  <c r="ECQ208" i="38"/>
  <c r="ECP208" i="38"/>
  <c r="ECO208" i="38"/>
  <c r="ECN208" i="38"/>
  <c r="ECM208" i="38"/>
  <c r="ECL208" i="38"/>
  <c r="ECK208" i="38"/>
  <c r="ECJ208" i="38"/>
  <c r="ECI208" i="38"/>
  <c r="ECH208" i="38"/>
  <c r="ECG208" i="38"/>
  <c r="ECF208" i="38"/>
  <c r="ECE208" i="38"/>
  <c r="ECD208" i="38"/>
  <c r="ECC208" i="38"/>
  <c r="ECB208" i="38"/>
  <c r="ECA208" i="38"/>
  <c r="EBZ208" i="38"/>
  <c r="EBY208" i="38"/>
  <c r="EBX208" i="38"/>
  <c r="EBW208" i="38"/>
  <c r="EBV208" i="38"/>
  <c r="EBU208" i="38"/>
  <c r="EBT208" i="38"/>
  <c r="EBS208" i="38"/>
  <c r="EBR208" i="38"/>
  <c r="EBQ208" i="38"/>
  <c r="EBP208" i="38"/>
  <c r="EBO208" i="38"/>
  <c r="EBN208" i="38"/>
  <c r="EBM208" i="38"/>
  <c r="EBL208" i="38"/>
  <c r="EBK208" i="38"/>
  <c r="EBJ208" i="38"/>
  <c r="EBI208" i="38"/>
  <c r="EBH208" i="38"/>
  <c r="EBG208" i="38"/>
  <c r="EBF208" i="38"/>
  <c r="EBE208" i="38"/>
  <c r="EBD208" i="38"/>
  <c r="EBC208" i="38"/>
  <c r="EBB208" i="38"/>
  <c r="EBA208" i="38"/>
  <c r="EAZ208" i="38"/>
  <c r="EAY208" i="38"/>
  <c r="EAX208" i="38"/>
  <c r="EAW208" i="38"/>
  <c r="EAV208" i="38"/>
  <c r="EAU208" i="38"/>
  <c r="EAT208" i="38"/>
  <c r="EAS208" i="38"/>
  <c r="EAR208" i="38"/>
  <c r="EAQ208" i="38"/>
  <c r="EAP208" i="38"/>
  <c r="EAO208" i="38"/>
  <c r="EAN208" i="38"/>
  <c r="EAM208" i="38"/>
  <c r="EAL208" i="38"/>
  <c r="EAK208" i="38"/>
  <c r="EAJ208" i="38"/>
  <c r="EAI208" i="38"/>
  <c r="EAH208" i="38"/>
  <c r="EAG208" i="38"/>
  <c r="EAF208" i="38"/>
  <c r="EAE208" i="38"/>
  <c r="EAD208" i="38"/>
  <c r="EAC208" i="38"/>
  <c r="EAB208" i="38"/>
  <c r="EAA208" i="38"/>
  <c r="DZZ208" i="38"/>
  <c r="DZY208" i="38"/>
  <c r="DZX208" i="38"/>
  <c r="DZW208" i="38"/>
  <c r="DZV208" i="38"/>
  <c r="DZU208" i="38"/>
  <c r="DZT208" i="38"/>
  <c r="DZS208" i="38"/>
  <c r="DZR208" i="38"/>
  <c r="DZQ208" i="38"/>
  <c r="DZP208" i="38"/>
  <c r="DZO208" i="38"/>
  <c r="DZN208" i="38"/>
  <c r="DZM208" i="38"/>
  <c r="DZL208" i="38"/>
  <c r="DZK208" i="38"/>
  <c r="DZJ208" i="38"/>
  <c r="DZI208" i="38"/>
  <c r="DZH208" i="38"/>
  <c r="DZG208" i="38"/>
  <c r="DZF208" i="38"/>
  <c r="DZE208" i="38"/>
  <c r="DZD208" i="38"/>
  <c r="DZC208" i="38"/>
  <c r="DZB208" i="38"/>
  <c r="DZA208" i="38"/>
  <c r="DYZ208" i="38"/>
  <c r="DYY208" i="38"/>
  <c r="DYX208" i="38"/>
  <c r="DYW208" i="38"/>
  <c r="DYV208" i="38"/>
  <c r="DYU208" i="38"/>
  <c r="DYT208" i="38"/>
  <c r="DYS208" i="38"/>
  <c r="DYR208" i="38"/>
  <c r="DYQ208" i="38"/>
  <c r="DYP208" i="38"/>
  <c r="DYO208" i="38"/>
  <c r="DYN208" i="38"/>
  <c r="DYM208" i="38"/>
  <c r="DYL208" i="38"/>
  <c r="DYK208" i="38"/>
  <c r="DYJ208" i="38"/>
  <c r="DYI208" i="38"/>
  <c r="DYH208" i="38"/>
  <c r="DYG208" i="38"/>
  <c r="DYF208" i="38"/>
  <c r="DYE208" i="38"/>
  <c r="DYD208" i="38"/>
  <c r="DYC208" i="38"/>
  <c r="DYB208" i="38"/>
  <c r="DYA208" i="38"/>
  <c r="DXZ208" i="38"/>
  <c r="DXY208" i="38"/>
  <c r="DXX208" i="38"/>
  <c r="DXW208" i="38"/>
  <c r="DXV208" i="38"/>
  <c r="DXU208" i="38"/>
  <c r="DXT208" i="38"/>
  <c r="DXS208" i="38"/>
  <c r="DXR208" i="38"/>
  <c r="DXQ208" i="38"/>
  <c r="DXP208" i="38"/>
  <c r="DXO208" i="38"/>
  <c r="DXN208" i="38"/>
  <c r="DXM208" i="38"/>
  <c r="DXL208" i="38"/>
  <c r="DXK208" i="38"/>
  <c r="DXJ208" i="38"/>
  <c r="DXI208" i="38"/>
  <c r="DXH208" i="38"/>
  <c r="DXG208" i="38"/>
  <c r="DXF208" i="38"/>
  <c r="DXE208" i="38"/>
  <c r="DXD208" i="38"/>
  <c r="DXC208" i="38"/>
  <c r="DXB208" i="38"/>
  <c r="DXA208" i="38"/>
  <c r="DWZ208" i="38"/>
  <c r="DWY208" i="38"/>
  <c r="DWX208" i="38"/>
  <c r="DWW208" i="38"/>
  <c r="DWV208" i="38"/>
  <c r="DWU208" i="38"/>
  <c r="DWT208" i="38"/>
  <c r="DWS208" i="38"/>
  <c r="DWR208" i="38"/>
  <c r="DWQ208" i="38"/>
  <c r="DWP208" i="38"/>
  <c r="DWO208" i="38"/>
  <c r="DWN208" i="38"/>
  <c r="DWM208" i="38"/>
  <c r="DWL208" i="38"/>
  <c r="DWK208" i="38"/>
  <c r="DWJ208" i="38"/>
  <c r="DWI208" i="38"/>
  <c r="DWH208" i="38"/>
  <c r="DWG208" i="38"/>
  <c r="DWF208" i="38"/>
  <c r="DWE208" i="38"/>
  <c r="DWD208" i="38"/>
  <c r="DWC208" i="38"/>
  <c r="DWB208" i="38"/>
  <c r="DWA208" i="38"/>
  <c r="DVZ208" i="38"/>
  <c r="DVY208" i="38"/>
  <c r="DVX208" i="38"/>
  <c r="DVW208" i="38"/>
  <c r="DVV208" i="38"/>
  <c r="DVU208" i="38"/>
  <c r="DVT208" i="38"/>
  <c r="DVS208" i="38"/>
  <c r="DVR208" i="38"/>
  <c r="DVQ208" i="38"/>
  <c r="DVP208" i="38"/>
  <c r="DVO208" i="38"/>
  <c r="DVN208" i="38"/>
  <c r="DVM208" i="38"/>
  <c r="DVL208" i="38"/>
  <c r="DVK208" i="38"/>
  <c r="DVJ208" i="38"/>
  <c r="DVI208" i="38"/>
  <c r="DVH208" i="38"/>
  <c r="DVG208" i="38"/>
  <c r="DVF208" i="38"/>
  <c r="DVE208" i="38"/>
  <c r="DVD208" i="38"/>
  <c r="DVC208" i="38"/>
  <c r="DVB208" i="38"/>
  <c r="DVA208" i="38"/>
  <c r="DUZ208" i="38"/>
  <c r="DUY208" i="38"/>
  <c r="DUX208" i="38"/>
  <c r="DUW208" i="38"/>
  <c r="DUV208" i="38"/>
  <c r="DUU208" i="38"/>
  <c r="DUT208" i="38"/>
  <c r="DUS208" i="38"/>
  <c r="DUR208" i="38"/>
  <c r="DUQ208" i="38"/>
  <c r="DUP208" i="38"/>
  <c r="DUO208" i="38"/>
  <c r="DUN208" i="38"/>
  <c r="DUM208" i="38"/>
  <c r="DUL208" i="38"/>
  <c r="DUK208" i="38"/>
  <c r="DUJ208" i="38"/>
  <c r="DUI208" i="38"/>
  <c r="DUH208" i="38"/>
  <c r="DUG208" i="38"/>
  <c r="DUF208" i="38"/>
  <c r="DUE208" i="38"/>
  <c r="DUD208" i="38"/>
  <c r="DUC208" i="38"/>
  <c r="DUB208" i="38"/>
  <c r="DUA208" i="38"/>
  <c r="DTZ208" i="38"/>
  <c r="DTY208" i="38"/>
  <c r="DTX208" i="38"/>
  <c r="DTW208" i="38"/>
  <c r="DTV208" i="38"/>
  <c r="DTU208" i="38"/>
  <c r="DTT208" i="38"/>
  <c r="DTS208" i="38"/>
  <c r="DTR208" i="38"/>
  <c r="DTQ208" i="38"/>
  <c r="DTP208" i="38"/>
  <c r="DTO208" i="38"/>
  <c r="DTN208" i="38"/>
  <c r="DTM208" i="38"/>
  <c r="DTL208" i="38"/>
  <c r="DTK208" i="38"/>
  <c r="DTJ208" i="38"/>
  <c r="DTI208" i="38"/>
  <c r="DTH208" i="38"/>
  <c r="DTG208" i="38"/>
  <c r="DTF208" i="38"/>
  <c r="DTE208" i="38"/>
  <c r="DTD208" i="38"/>
  <c r="DTC208" i="38"/>
  <c r="DTB208" i="38"/>
  <c r="DTA208" i="38"/>
  <c r="DSZ208" i="38"/>
  <c r="DSY208" i="38"/>
  <c r="DSX208" i="38"/>
  <c r="DSW208" i="38"/>
  <c r="DSV208" i="38"/>
  <c r="DSU208" i="38"/>
  <c r="DST208" i="38"/>
  <c r="DSS208" i="38"/>
  <c r="DSR208" i="38"/>
  <c r="DSQ208" i="38"/>
  <c r="DSP208" i="38"/>
  <c r="DSO208" i="38"/>
  <c r="DSN208" i="38"/>
  <c r="DSM208" i="38"/>
  <c r="DSL208" i="38"/>
  <c r="DSK208" i="38"/>
  <c r="DSJ208" i="38"/>
  <c r="DSI208" i="38"/>
  <c r="DSH208" i="38"/>
  <c r="DSG208" i="38"/>
  <c r="DSF208" i="38"/>
  <c r="DSE208" i="38"/>
  <c r="DSD208" i="38"/>
  <c r="DSC208" i="38"/>
  <c r="DSB208" i="38"/>
  <c r="DSA208" i="38"/>
  <c r="DRZ208" i="38"/>
  <c r="DRY208" i="38"/>
  <c r="DRX208" i="38"/>
  <c r="DRW208" i="38"/>
  <c r="DRV208" i="38"/>
  <c r="DRU208" i="38"/>
  <c r="DRT208" i="38"/>
  <c r="DRS208" i="38"/>
  <c r="DRR208" i="38"/>
  <c r="DRQ208" i="38"/>
  <c r="DRP208" i="38"/>
  <c r="DRO208" i="38"/>
  <c r="DRN208" i="38"/>
  <c r="DRM208" i="38"/>
  <c r="DRL208" i="38"/>
  <c r="DRK208" i="38"/>
  <c r="DRJ208" i="38"/>
  <c r="DRI208" i="38"/>
  <c r="DRH208" i="38"/>
  <c r="DRG208" i="38"/>
  <c r="DRF208" i="38"/>
  <c r="DRE208" i="38"/>
  <c r="DRD208" i="38"/>
  <c r="DRC208" i="38"/>
  <c r="DRB208" i="38"/>
  <c r="DRA208" i="38"/>
  <c r="DQZ208" i="38"/>
  <c r="DQY208" i="38"/>
  <c r="DQX208" i="38"/>
  <c r="DQW208" i="38"/>
  <c r="DQV208" i="38"/>
  <c r="DQU208" i="38"/>
  <c r="DQT208" i="38"/>
  <c r="DQS208" i="38"/>
  <c r="DQR208" i="38"/>
  <c r="DQQ208" i="38"/>
  <c r="DQP208" i="38"/>
  <c r="DQO208" i="38"/>
  <c r="DQN208" i="38"/>
  <c r="DQM208" i="38"/>
  <c r="DQL208" i="38"/>
  <c r="DQK208" i="38"/>
  <c r="DQJ208" i="38"/>
  <c r="DQI208" i="38"/>
  <c r="DQH208" i="38"/>
  <c r="DQG208" i="38"/>
  <c r="DQF208" i="38"/>
  <c r="DQE208" i="38"/>
  <c r="DQD208" i="38"/>
  <c r="DQC208" i="38"/>
  <c r="DQB208" i="38"/>
  <c r="DQA208" i="38"/>
  <c r="DPZ208" i="38"/>
  <c r="DPY208" i="38"/>
  <c r="DPX208" i="38"/>
  <c r="DPW208" i="38"/>
  <c r="DPV208" i="38"/>
  <c r="DPU208" i="38"/>
  <c r="DPT208" i="38"/>
  <c r="DPS208" i="38"/>
  <c r="DPR208" i="38"/>
  <c r="DPQ208" i="38"/>
  <c r="DPP208" i="38"/>
  <c r="DPO208" i="38"/>
  <c r="DPN208" i="38"/>
  <c r="DPM208" i="38"/>
  <c r="DPL208" i="38"/>
  <c r="DPK208" i="38"/>
  <c r="DPJ208" i="38"/>
  <c r="DPI208" i="38"/>
  <c r="DPH208" i="38"/>
  <c r="DPG208" i="38"/>
  <c r="DPF208" i="38"/>
  <c r="DPE208" i="38"/>
  <c r="DPD208" i="38"/>
  <c r="DPC208" i="38"/>
  <c r="DPB208" i="38"/>
  <c r="DPA208" i="38"/>
  <c r="DOZ208" i="38"/>
  <c r="DOY208" i="38"/>
  <c r="DOX208" i="38"/>
  <c r="DOW208" i="38"/>
  <c r="DOV208" i="38"/>
  <c r="DOU208" i="38"/>
  <c r="DOT208" i="38"/>
  <c r="DOS208" i="38"/>
  <c r="DOR208" i="38"/>
  <c r="DOQ208" i="38"/>
  <c r="DOP208" i="38"/>
  <c r="DOO208" i="38"/>
  <c r="DON208" i="38"/>
  <c r="DOM208" i="38"/>
  <c r="DOL208" i="38"/>
  <c r="DOK208" i="38"/>
  <c r="DOJ208" i="38"/>
  <c r="DOI208" i="38"/>
  <c r="DOH208" i="38"/>
  <c r="DOG208" i="38"/>
  <c r="DOF208" i="38"/>
  <c r="DOE208" i="38"/>
  <c r="DOD208" i="38"/>
  <c r="DOC208" i="38"/>
  <c r="DOB208" i="38"/>
  <c r="DOA208" i="38"/>
  <c r="DNZ208" i="38"/>
  <c r="DNY208" i="38"/>
  <c r="DNX208" i="38"/>
  <c r="DNW208" i="38"/>
  <c r="DNV208" i="38"/>
  <c r="DNU208" i="38"/>
  <c r="DNT208" i="38"/>
  <c r="DNS208" i="38"/>
  <c r="DNR208" i="38"/>
  <c r="DNQ208" i="38"/>
  <c r="DNP208" i="38"/>
  <c r="DNO208" i="38"/>
  <c r="DNN208" i="38"/>
  <c r="DNM208" i="38"/>
  <c r="DNL208" i="38"/>
  <c r="DNK208" i="38"/>
  <c r="DNJ208" i="38"/>
  <c r="DNI208" i="38"/>
  <c r="DNH208" i="38"/>
  <c r="DNG208" i="38"/>
  <c r="DNF208" i="38"/>
  <c r="DNE208" i="38"/>
  <c r="DND208" i="38"/>
  <c r="DNC208" i="38"/>
  <c r="DNB208" i="38"/>
  <c r="DNA208" i="38"/>
  <c r="DMZ208" i="38"/>
  <c r="DMY208" i="38"/>
  <c r="DMX208" i="38"/>
  <c r="DMW208" i="38"/>
  <c r="DMV208" i="38"/>
  <c r="DMU208" i="38"/>
  <c r="DMT208" i="38"/>
  <c r="DMS208" i="38"/>
  <c r="DMR208" i="38"/>
  <c r="DMQ208" i="38"/>
  <c r="DMP208" i="38"/>
  <c r="DMO208" i="38"/>
  <c r="DMN208" i="38"/>
  <c r="DMM208" i="38"/>
  <c r="DML208" i="38"/>
  <c r="DMK208" i="38"/>
  <c r="DMJ208" i="38"/>
  <c r="DMI208" i="38"/>
  <c r="DMH208" i="38"/>
  <c r="DMG208" i="38"/>
  <c r="DMF208" i="38"/>
  <c r="DME208" i="38"/>
  <c r="DMD208" i="38"/>
  <c r="DMC208" i="38"/>
  <c r="DMB208" i="38"/>
  <c r="DMA208" i="38"/>
  <c r="DLZ208" i="38"/>
  <c r="DLY208" i="38"/>
  <c r="DLX208" i="38"/>
  <c r="DLW208" i="38"/>
  <c r="DLV208" i="38"/>
  <c r="DLU208" i="38"/>
  <c r="DLT208" i="38"/>
  <c r="DLS208" i="38"/>
  <c r="DLR208" i="38"/>
  <c r="DLQ208" i="38"/>
  <c r="DLP208" i="38"/>
  <c r="DLO208" i="38"/>
  <c r="DLN208" i="38"/>
  <c r="DLM208" i="38"/>
  <c r="DLL208" i="38"/>
  <c r="DLK208" i="38"/>
  <c r="DLJ208" i="38"/>
  <c r="DLI208" i="38"/>
  <c r="DLH208" i="38"/>
  <c r="DLG208" i="38"/>
  <c r="DLF208" i="38"/>
  <c r="DLE208" i="38"/>
  <c r="DLD208" i="38"/>
  <c r="DLC208" i="38"/>
  <c r="DLB208" i="38"/>
  <c r="DLA208" i="38"/>
  <c r="DKZ208" i="38"/>
  <c r="DKY208" i="38"/>
  <c r="DKX208" i="38"/>
  <c r="DKW208" i="38"/>
  <c r="DKV208" i="38"/>
  <c r="DKU208" i="38"/>
  <c r="DKT208" i="38"/>
  <c r="DKS208" i="38"/>
  <c r="DKR208" i="38"/>
  <c r="DKQ208" i="38"/>
  <c r="DKP208" i="38"/>
  <c r="DKO208" i="38"/>
  <c r="DKN208" i="38"/>
  <c r="DKM208" i="38"/>
  <c r="DKL208" i="38"/>
  <c r="DKK208" i="38"/>
  <c r="DKJ208" i="38"/>
  <c r="DKI208" i="38"/>
  <c r="DKH208" i="38"/>
  <c r="DKG208" i="38"/>
  <c r="DKF208" i="38"/>
  <c r="DKE208" i="38"/>
  <c r="DKD208" i="38"/>
  <c r="DKC208" i="38"/>
  <c r="DKB208" i="38"/>
  <c r="DKA208" i="38"/>
  <c r="DJZ208" i="38"/>
  <c r="DJY208" i="38"/>
  <c r="DJX208" i="38"/>
  <c r="DJW208" i="38"/>
  <c r="DJV208" i="38"/>
  <c r="DJU208" i="38"/>
  <c r="DJT208" i="38"/>
  <c r="DJS208" i="38"/>
  <c r="DJR208" i="38"/>
  <c r="DJQ208" i="38"/>
  <c r="DJP208" i="38"/>
  <c r="DJO208" i="38"/>
  <c r="DJN208" i="38"/>
  <c r="DJM208" i="38"/>
  <c r="DJL208" i="38"/>
  <c r="DJK208" i="38"/>
  <c r="DJJ208" i="38"/>
  <c r="DJI208" i="38"/>
  <c r="DJH208" i="38"/>
  <c r="DJG208" i="38"/>
  <c r="DJF208" i="38"/>
  <c r="DJE208" i="38"/>
  <c r="DJD208" i="38"/>
  <c r="DJC208" i="38"/>
  <c r="DJB208" i="38"/>
  <c r="DJA208" i="38"/>
  <c r="DIZ208" i="38"/>
  <c r="DIY208" i="38"/>
  <c r="DIX208" i="38"/>
  <c r="DIW208" i="38"/>
  <c r="DIV208" i="38"/>
  <c r="DIU208" i="38"/>
  <c r="DIT208" i="38"/>
  <c r="DIS208" i="38"/>
  <c r="DIR208" i="38"/>
  <c r="DIQ208" i="38"/>
  <c r="DIP208" i="38"/>
  <c r="DIO208" i="38"/>
  <c r="DIN208" i="38"/>
  <c r="DIM208" i="38"/>
  <c r="DIL208" i="38"/>
  <c r="DIK208" i="38"/>
  <c r="DIJ208" i="38"/>
  <c r="DII208" i="38"/>
  <c r="DIH208" i="38"/>
  <c r="DIG208" i="38"/>
  <c r="DIF208" i="38"/>
  <c r="DIE208" i="38"/>
  <c r="DID208" i="38"/>
  <c r="DIC208" i="38"/>
  <c r="DIB208" i="38"/>
  <c r="DIA208" i="38"/>
  <c r="DHZ208" i="38"/>
  <c r="DHY208" i="38"/>
  <c r="DHX208" i="38"/>
  <c r="DHW208" i="38"/>
  <c r="DHV208" i="38"/>
  <c r="DHU208" i="38"/>
  <c r="DHT208" i="38"/>
  <c r="DHS208" i="38"/>
  <c r="DHR208" i="38"/>
  <c r="DHQ208" i="38"/>
  <c r="DHP208" i="38"/>
  <c r="DHO208" i="38"/>
  <c r="DHN208" i="38"/>
  <c r="DHM208" i="38"/>
  <c r="DHL208" i="38"/>
  <c r="DHK208" i="38"/>
  <c r="DHJ208" i="38"/>
  <c r="DHI208" i="38"/>
  <c r="DHH208" i="38"/>
  <c r="DHG208" i="38"/>
  <c r="DHF208" i="38"/>
  <c r="DHE208" i="38"/>
  <c r="DHD208" i="38"/>
  <c r="DHC208" i="38"/>
  <c r="DHB208" i="38"/>
  <c r="DHA208" i="38"/>
  <c r="DGZ208" i="38"/>
  <c r="DGY208" i="38"/>
  <c r="DGX208" i="38"/>
  <c r="DGW208" i="38"/>
  <c r="DGV208" i="38"/>
  <c r="DGU208" i="38"/>
  <c r="DGT208" i="38"/>
  <c r="DGS208" i="38"/>
  <c r="DGR208" i="38"/>
  <c r="DGQ208" i="38"/>
  <c r="DGP208" i="38"/>
  <c r="DGO208" i="38"/>
  <c r="DGN208" i="38"/>
  <c r="DGM208" i="38"/>
  <c r="DGL208" i="38"/>
  <c r="DGK208" i="38"/>
  <c r="DGJ208" i="38"/>
  <c r="DGI208" i="38"/>
  <c r="DGH208" i="38"/>
  <c r="DGG208" i="38"/>
  <c r="DGF208" i="38"/>
  <c r="DGE208" i="38"/>
  <c r="DGD208" i="38"/>
  <c r="DGC208" i="38"/>
  <c r="DGB208" i="38"/>
  <c r="DGA208" i="38"/>
  <c r="DFZ208" i="38"/>
  <c r="DFY208" i="38"/>
  <c r="DFX208" i="38"/>
  <c r="DFW208" i="38"/>
  <c r="DFV208" i="38"/>
  <c r="DFU208" i="38"/>
  <c r="DFT208" i="38"/>
  <c r="DFS208" i="38"/>
  <c r="DFR208" i="38"/>
  <c r="DFQ208" i="38"/>
  <c r="DFP208" i="38"/>
  <c r="DFO208" i="38"/>
  <c r="DFN208" i="38"/>
  <c r="DFM208" i="38"/>
  <c r="DFL208" i="38"/>
  <c r="DFK208" i="38"/>
  <c r="DFJ208" i="38"/>
  <c r="DFI208" i="38"/>
  <c r="DFH208" i="38"/>
  <c r="DFG208" i="38"/>
  <c r="DFF208" i="38"/>
  <c r="DFE208" i="38"/>
  <c r="DFD208" i="38"/>
  <c r="DFC208" i="38"/>
  <c r="DFB208" i="38"/>
  <c r="DFA208" i="38"/>
  <c r="DEZ208" i="38"/>
  <c r="DEY208" i="38"/>
  <c r="DEX208" i="38"/>
  <c r="DEW208" i="38"/>
  <c r="DEV208" i="38"/>
  <c r="DEU208" i="38"/>
  <c r="DET208" i="38"/>
  <c r="DES208" i="38"/>
  <c r="DER208" i="38"/>
  <c r="DEQ208" i="38"/>
  <c r="DEP208" i="38"/>
  <c r="DEO208" i="38"/>
  <c r="DEN208" i="38"/>
  <c r="DEM208" i="38"/>
  <c r="DEL208" i="38"/>
  <c r="DEK208" i="38"/>
  <c r="DEJ208" i="38"/>
  <c r="DEI208" i="38"/>
  <c r="DEH208" i="38"/>
  <c r="DEG208" i="38"/>
  <c r="DEF208" i="38"/>
  <c r="DEE208" i="38"/>
  <c r="DED208" i="38"/>
  <c r="DEC208" i="38"/>
  <c r="DEB208" i="38"/>
  <c r="DEA208" i="38"/>
  <c r="DDZ208" i="38"/>
  <c r="DDY208" i="38"/>
  <c r="DDX208" i="38"/>
  <c r="DDW208" i="38"/>
  <c r="DDV208" i="38"/>
  <c r="DDU208" i="38"/>
  <c r="DDT208" i="38"/>
  <c r="DDS208" i="38"/>
  <c r="DDR208" i="38"/>
  <c r="DDQ208" i="38"/>
  <c r="DDP208" i="38"/>
  <c r="DDO208" i="38"/>
  <c r="DDN208" i="38"/>
  <c r="DDM208" i="38"/>
  <c r="DDL208" i="38"/>
  <c r="DDK208" i="38"/>
  <c r="DDJ208" i="38"/>
  <c r="DDI208" i="38"/>
  <c r="DDH208" i="38"/>
  <c r="DDG208" i="38"/>
  <c r="DDF208" i="38"/>
  <c r="DDE208" i="38"/>
  <c r="DDD208" i="38"/>
  <c r="DDC208" i="38"/>
  <c r="DDB208" i="38"/>
  <c r="DDA208" i="38"/>
  <c r="DCZ208" i="38"/>
  <c r="DCY208" i="38"/>
  <c r="DCX208" i="38"/>
  <c r="DCW208" i="38"/>
  <c r="DCV208" i="38"/>
  <c r="DCU208" i="38"/>
  <c r="DCT208" i="38"/>
  <c r="DCS208" i="38"/>
  <c r="DCR208" i="38"/>
  <c r="DCQ208" i="38"/>
  <c r="DCP208" i="38"/>
  <c r="DCO208" i="38"/>
  <c r="DCN208" i="38"/>
  <c r="DCM208" i="38"/>
  <c r="DCL208" i="38"/>
  <c r="DCK208" i="38"/>
  <c r="DCJ208" i="38"/>
  <c r="DCI208" i="38"/>
  <c r="DCH208" i="38"/>
  <c r="DCG208" i="38"/>
  <c r="DCF208" i="38"/>
  <c r="DCE208" i="38"/>
  <c r="DCD208" i="38"/>
  <c r="DCC208" i="38"/>
  <c r="DCB208" i="38"/>
  <c r="DCA208" i="38"/>
  <c r="DBZ208" i="38"/>
  <c r="DBY208" i="38"/>
  <c r="DBX208" i="38"/>
  <c r="DBW208" i="38"/>
  <c r="DBV208" i="38"/>
  <c r="DBU208" i="38"/>
  <c r="DBT208" i="38"/>
  <c r="DBS208" i="38"/>
  <c r="DBR208" i="38"/>
  <c r="DBQ208" i="38"/>
  <c r="DBP208" i="38"/>
  <c r="DBO208" i="38"/>
  <c r="DBN208" i="38"/>
  <c r="DBM208" i="38"/>
  <c r="DBL208" i="38"/>
  <c r="DBK208" i="38"/>
  <c r="DBJ208" i="38"/>
  <c r="DBI208" i="38"/>
  <c r="DBH208" i="38"/>
  <c r="DBG208" i="38"/>
  <c r="DBF208" i="38"/>
  <c r="DBE208" i="38"/>
  <c r="DBD208" i="38"/>
  <c r="DBC208" i="38"/>
  <c r="DBB208" i="38"/>
  <c r="DBA208" i="38"/>
  <c r="DAZ208" i="38"/>
  <c r="DAY208" i="38"/>
  <c r="DAX208" i="38"/>
  <c r="DAW208" i="38"/>
  <c r="DAV208" i="38"/>
  <c r="DAU208" i="38"/>
  <c r="DAT208" i="38"/>
  <c r="DAS208" i="38"/>
  <c r="DAR208" i="38"/>
  <c r="DAQ208" i="38"/>
  <c r="DAP208" i="38"/>
  <c r="DAO208" i="38"/>
  <c r="DAN208" i="38"/>
  <c r="DAM208" i="38"/>
  <c r="DAL208" i="38"/>
  <c r="DAK208" i="38"/>
  <c r="DAJ208" i="38"/>
  <c r="DAI208" i="38"/>
  <c r="DAH208" i="38"/>
  <c r="DAG208" i="38"/>
  <c r="DAF208" i="38"/>
  <c r="DAE208" i="38"/>
  <c r="DAD208" i="38"/>
  <c r="DAC208" i="38"/>
  <c r="DAB208" i="38"/>
  <c r="DAA208" i="38"/>
  <c r="CZZ208" i="38"/>
  <c r="CZY208" i="38"/>
  <c r="CZX208" i="38"/>
  <c r="CZW208" i="38"/>
  <c r="CZV208" i="38"/>
  <c r="CZU208" i="38"/>
  <c r="CZT208" i="38"/>
  <c r="CZS208" i="38"/>
  <c r="CZR208" i="38"/>
  <c r="CZQ208" i="38"/>
  <c r="CZP208" i="38"/>
  <c r="CZO208" i="38"/>
  <c r="CZN208" i="38"/>
  <c r="CZM208" i="38"/>
  <c r="CZL208" i="38"/>
  <c r="CZK208" i="38"/>
  <c r="CZJ208" i="38"/>
  <c r="CZI208" i="38"/>
  <c r="CZH208" i="38"/>
  <c r="CZG208" i="38"/>
  <c r="CZF208" i="38"/>
  <c r="CZE208" i="38"/>
  <c r="CZD208" i="38"/>
  <c r="CZC208" i="38"/>
  <c r="CZB208" i="38"/>
  <c r="CZA208" i="38"/>
  <c r="CYZ208" i="38"/>
  <c r="CYY208" i="38"/>
  <c r="CYX208" i="38"/>
  <c r="CYW208" i="38"/>
  <c r="CYV208" i="38"/>
  <c r="CYU208" i="38"/>
  <c r="CYT208" i="38"/>
  <c r="CYS208" i="38"/>
  <c r="CYR208" i="38"/>
  <c r="CYQ208" i="38"/>
  <c r="CYP208" i="38"/>
  <c r="CYO208" i="38"/>
  <c r="CYN208" i="38"/>
  <c r="CYM208" i="38"/>
  <c r="CYL208" i="38"/>
  <c r="CYK208" i="38"/>
  <c r="CYJ208" i="38"/>
  <c r="CYI208" i="38"/>
  <c r="CYH208" i="38"/>
  <c r="CYG208" i="38"/>
  <c r="CYF208" i="38"/>
  <c r="CYE208" i="38"/>
  <c r="CYD208" i="38"/>
  <c r="CYC208" i="38"/>
  <c r="CYB208" i="38"/>
  <c r="CYA208" i="38"/>
  <c r="CXZ208" i="38"/>
  <c r="CXY208" i="38"/>
  <c r="CXX208" i="38"/>
  <c r="CXW208" i="38"/>
  <c r="CXV208" i="38"/>
  <c r="CXU208" i="38"/>
  <c r="CXT208" i="38"/>
  <c r="CXS208" i="38"/>
  <c r="CXR208" i="38"/>
  <c r="CXQ208" i="38"/>
  <c r="CXP208" i="38"/>
  <c r="CXO208" i="38"/>
  <c r="CXN208" i="38"/>
  <c r="CXM208" i="38"/>
  <c r="CXL208" i="38"/>
  <c r="CXK208" i="38"/>
  <c r="CXJ208" i="38"/>
  <c r="CXI208" i="38"/>
  <c r="CXH208" i="38"/>
  <c r="CXG208" i="38"/>
  <c r="CXF208" i="38"/>
  <c r="CXE208" i="38"/>
  <c r="CXD208" i="38"/>
  <c r="CXC208" i="38"/>
  <c r="CXB208" i="38"/>
  <c r="CXA208" i="38"/>
  <c r="CWZ208" i="38"/>
  <c r="CWY208" i="38"/>
  <c r="CWX208" i="38"/>
  <c r="CWW208" i="38"/>
  <c r="CWV208" i="38"/>
  <c r="CWU208" i="38"/>
  <c r="CWT208" i="38"/>
  <c r="CWS208" i="38"/>
  <c r="CWR208" i="38"/>
  <c r="CWQ208" i="38"/>
  <c r="CWP208" i="38"/>
  <c r="CWO208" i="38"/>
  <c r="CWN208" i="38"/>
  <c r="CWM208" i="38"/>
  <c r="CWL208" i="38"/>
  <c r="CWK208" i="38"/>
  <c r="CWJ208" i="38"/>
  <c r="CWI208" i="38"/>
  <c r="CWH208" i="38"/>
  <c r="CWG208" i="38"/>
  <c r="CWF208" i="38"/>
  <c r="CWE208" i="38"/>
  <c r="CWD208" i="38"/>
  <c r="CWC208" i="38"/>
  <c r="CWB208" i="38"/>
  <c r="CWA208" i="38"/>
  <c r="CVZ208" i="38"/>
  <c r="CVY208" i="38"/>
  <c r="CVX208" i="38"/>
  <c r="CVW208" i="38"/>
  <c r="CVV208" i="38"/>
  <c r="CVU208" i="38"/>
  <c r="CVT208" i="38"/>
  <c r="CVS208" i="38"/>
  <c r="CVR208" i="38"/>
  <c r="CVQ208" i="38"/>
  <c r="CVP208" i="38"/>
  <c r="CVO208" i="38"/>
  <c r="CVN208" i="38"/>
  <c r="CVM208" i="38"/>
  <c r="CVL208" i="38"/>
  <c r="CVK208" i="38"/>
  <c r="CVJ208" i="38"/>
  <c r="CVI208" i="38"/>
  <c r="CVH208" i="38"/>
  <c r="CVG208" i="38"/>
  <c r="CVF208" i="38"/>
  <c r="CVE208" i="38"/>
  <c r="CVD208" i="38"/>
  <c r="CVC208" i="38"/>
  <c r="CVB208" i="38"/>
  <c r="CVA208" i="38"/>
  <c r="CUZ208" i="38"/>
  <c r="CUY208" i="38"/>
  <c r="CUX208" i="38"/>
  <c r="CUW208" i="38"/>
  <c r="CUV208" i="38"/>
  <c r="CUU208" i="38"/>
  <c r="CUT208" i="38"/>
  <c r="CUS208" i="38"/>
  <c r="CUR208" i="38"/>
  <c r="CUQ208" i="38"/>
  <c r="CUP208" i="38"/>
  <c r="CUO208" i="38"/>
  <c r="CUN208" i="38"/>
  <c r="CUM208" i="38"/>
  <c r="CUL208" i="38"/>
  <c r="CUK208" i="38"/>
  <c r="CUJ208" i="38"/>
  <c r="CUI208" i="38"/>
  <c r="CUH208" i="38"/>
  <c r="CUG208" i="38"/>
  <c r="CUF208" i="38"/>
  <c r="CUE208" i="38"/>
  <c r="CUD208" i="38"/>
  <c r="CUC208" i="38"/>
  <c r="CUB208" i="38"/>
  <c r="CUA208" i="38"/>
  <c r="CTZ208" i="38"/>
  <c r="CTY208" i="38"/>
  <c r="CTX208" i="38"/>
  <c r="CTW208" i="38"/>
  <c r="CTV208" i="38"/>
  <c r="CTU208" i="38"/>
  <c r="CTT208" i="38"/>
  <c r="CTS208" i="38"/>
  <c r="CTR208" i="38"/>
  <c r="CTQ208" i="38"/>
  <c r="CTP208" i="38"/>
  <c r="CTO208" i="38"/>
  <c r="CTN208" i="38"/>
  <c r="CTM208" i="38"/>
  <c r="CTL208" i="38"/>
  <c r="CTK208" i="38"/>
  <c r="CTJ208" i="38"/>
  <c r="CTI208" i="38"/>
  <c r="CTH208" i="38"/>
  <c r="CTG208" i="38"/>
  <c r="CTF208" i="38"/>
  <c r="CTE208" i="38"/>
  <c r="CTD208" i="38"/>
  <c r="CTC208" i="38"/>
  <c r="CTB208" i="38"/>
  <c r="CTA208" i="38"/>
  <c r="CSZ208" i="38"/>
  <c r="CSY208" i="38"/>
  <c r="CSX208" i="38"/>
  <c r="CSW208" i="38"/>
  <c r="CSV208" i="38"/>
  <c r="CSU208" i="38"/>
  <c r="CST208" i="38"/>
  <c r="CSS208" i="38"/>
  <c r="CSR208" i="38"/>
  <c r="CSQ208" i="38"/>
  <c r="CSP208" i="38"/>
  <c r="CSO208" i="38"/>
  <c r="CSN208" i="38"/>
  <c r="CSM208" i="38"/>
  <c r="CSL208" i="38"/>
  <c r="CSK208" i="38"/>
  <c r="CSJ208" i="38"/>
  <c r="CSI208" i="38"/>
  <c r="CSH208" i="38"/>
  <c r="CSG208" i="38"/>
  <c r="CSF208" i="38"/>
  <c r="CSE208" i="38"/>
  <c r="CSD208" i="38"/>
  <c r="CSC208" i="38"/>
  <c r="CSB208" i="38"/>
  <c r="CSA208" i="38"/>
  <c r="CRZ208" i="38"/>
  <c r="CRY208" i="38"/>
  <c r="CRX208" i="38"/>
  <c r="CRW208" i="38"/>
  <c r="CRV208" i="38"/>
  <c r="CRU208" i="38"/>
  <c r="CRT208" i="38"/>
  <c r="CRS208" i="38"/>
  <c r="CRR208" i="38"/>
  <c r="CRQ208" i="38"/>
  <c r="CRP208" i="38"/>
  <c r="CRO208" i="38"/>
  <c r="CRN208" i="38"/>
  <c r="CRM208" i="38"/>
  <c r="CRL208" i="38"/>
  <c r="CRK208" i="38"/>
  <c r="CRJ208" i="38"/>
  <c r="CRI208" i="38"/>
  <c r="CRH208" i="38"/>
  <c r="CRG208" i="38"/>
  <c r="CRF208" i="38"/>
  <c r="CRE208" i="38"/>
  <c r="CRD208" i="38"/>
  <c r="CRC208" i="38"/>
  <c r="CRB208" i="38"/>
  <c r="CRA208" i="38"/>
  <c r="CQZ208" i="38"/>
  <c r="CQY208" i="38"/>
  <c r="CQX208" i="38"/>
  <c r="CQW208" i="38"/>
  <c r="CQV208" i="38"/>
  <c r="CQU208" i="38"/>
  <c r="CQT208" i="38"/>
  <c r="CQS208" i="38"/>
  <c r="CQR208" i="38"/>
  <c r="CQQ208" i="38"/>
  <c r="CQP208" i="38"/>
  <c r="CQO208" i="38"/>
  <c r="CQN208" i="38"/>
  <c r="CQM208" i="38"/>
  <c r="CQL208" i="38"/>
  <c r="CQK208" i="38"/>
  <c r="CQJ208" i="38"/>
  <c r="CQI208" i="38"/>
  <c r="CQH208" i="38"/>
  <c r="CQG208" i="38"/>
  <c r="CQF208" i="38"/>
  <c r="CQE208" i="38"/>
  <c r="CQD208" i="38"/>
  <c r="CQC208" i="38"/>
  <c r="CQB208" i="38"/>
  <c r="CQA208" i="38"/>
  <c r="CPZ208" i="38"/>
  <c r="CPY208" i="38"/>
  <c r="CPX208" i="38"/>
  <c r="CPW208" i="38"/>
  <c r="CPV208" i="38"/>
  <c r="CPU208" i="38"/>
  <c r="CPT208" i="38"/>
  <c r="CPS208" i="38"/>
  <c r="CPR208" i="38"/>
  <c r="CPQ208" i="38"/>
  <c r="CPP208" i="38"/>
  <c r="CPO208" i="38"/>
  <c r="CPN208" i="38"/>
  <c r="CPM208" i="38"/>
  <c r="CPL208" i="38"/>
  <c r="CPK208" i="38"/>
  <c r="CPJ208" i="38"/>
  <c r="CPI208" i="38"/>
  <c r="CPH208" i="38"/>
  <c r="CPG208" i="38"/>
  <c r="CPF208" i="38"/>
  <c r="CPE208" i="38"/>
  <c r="CPD208" i="38"/>
  <c r="CPC208" i="38"/>
  <c r="CPB208" i="38"/>
  <c r="CPA208" i="38"/>
  <c r="COZ208" i="38"/>
  <c r="COY208" i="38"/>
  <c r="COX208" i="38"/>
  <c r="COW208" i="38"/>
  <c r="COV208" i="38"/>
  <c r="COU208" i="38"/>
  <c r="COT208" i="38"/>
  <c r="COS208" i="38"/>
  <c r="COR208" i="38"/>
  <c r="COQ208" i="38"/>
  <c r="COP208" i="38"/>
  <c r="COO208" i="38"/>
  <c r="CON208" i="38"/>
  <c r="COM208" i="38"/>
  <c r="COL208" i="38"/>
  <c r="COK208" i="38"/>
  <c r="COJ208" i="38"/>
  <c r="COI208" i="38"/>
  <c r="COH208" i="38"/>
  <c r="COG208" i="38"/>
  <c r="COF208" i="38"/>
  <c r="COE208" i="38"/>
  <c r="COD208" i="38"/>
  <c r="COC208" i="38"/>
  <c r="COB208" i="38"/>
  <c r="COA208" i="38"/>
  <c r="CNZ208" i="38"/>
  <c r="CNY208" i="38"/>
  <c r="CNX208" i="38"/>
  <c r="CNW208" i="38"/>
  <c r="CNV208" i="38"/>
  <c r="CNU208" i="38"/>
  <c r="CNT208" i="38"/>
  <c r="CNS208" i="38"/>
  <c r="CNR208" i="38"/>
  <c r="CNQ208" i="38"/>
  <c r="CNP208" i="38"/>
  <c r="CNO208" i="38"/>
  <c r="CNN208" i="38"/>
  <c r="CNM208" i="38"/>
  <c r="CNL208" i="38"/>
  <c r="CNK208" i="38"/>
  <c r="CNJ208" i="38"/>
  <c r="CNI208" i="38"/>
  <c r="CNH208" i="38"/>
  <c r="CNG208" i="38"/>
  <c r="CNF208" i="38"/>
  <c r="CNE208" i="38"/>
  <c r="CND208" i="38"/>
  <c r="CNC208" i="38"/>
  <c r="CNB208" i="38"/>
  <c r="CNA208" i="38"/>
  <c r="CMZ208" i="38"/>
  <c r="CMY208" i="38"/>
  <c r="CMX208" i="38"/>
  <c r="CMW208" i="38"/>
  <c r="CMV208" i="38"/>
  <c r="CMU208" i="38"/>
  <c r="CMT208" i="38"/>
  <c r="CMS208" i="38"/>
  <c r="CMR208" i="38"/>
  <c r="CMQ208" i="38"/>
  <c r="CMP208" i="38"/>
  <c r="CMO208" i="38"/>
  <c r="CMN208" i="38"/>
  <c r="CMM208" i="38"/>
  <c r="CML208" i="38"/>
  <c r="CMK208" i="38"/>
  <c r="CMJ208" i="38"/>
  <c r="CMI208" i="38"/>
  <c r="CMH208" i="38"/>
  <c r="CMG208" i="38"/>
  <c r="CMF208" i="38"/>
  <c r="CME208" i="38"/>
  <c r="CMD208" i="38"/>
  <c r="CMC208" i="38"/>
  <c r="CMB208" i="38"/>
  <c r="CMA208" i="38"/>
  <c r="CLZ208" i="38"/>
  <c r="CLY208" i="38"/>
  <c r="CLX208" i="38"/>
  <c r="CLW208" i="38"/>
  <c r="CLV208" i="38"/>
  <c r="CLU208" i="38"/>
  <c r="CLT208" i="38"/>
  <c r="CLS208" i="38"/>
  <c r="CLR208" i="38"/>
  <c r="CLQ208" i="38"/>
  <c r="CLP208" i="38"/>
  <c r="CLO208" i="38"/>
  <c r="CLN208" i="38"/>
  <c r="CLM208" i="38"/>
  <c r="CLL208" i="38"/>
  <c r="CLK208" i="38"/>
  <c r="CLJ208" i="38"/>
  <c r="CLI208" i="38"/>
  <c r="CLH208" i="38"/>
  <c r="CLG208" i="38"/>
  <c r="CLF208" i="38"/>
  <c r="CLE208" i="38"/>
  <c r="CLD208" i="38"/>
  <c r="CLC208" i="38"/>
  <c r="CLB208" i="38"/>
  <c r="CLA208" i="38"/>
  <c r="CKZ208" i="38"/>
  <c r="CKY208" i="38"/>
  <c r="CKX208" i="38"/>
  <c r="CKW208" i="38"/>
  <c r="CKV208" i="38"/>
  <c r="CKU208" i="38"/>
  <c r="CKT208" i="38"/>
  <c r="CKS208" i="38"/>
  <c r="CKR208" i="38"/>
  <c r="CKQ208" i="38"/>
  <c r="CKP208" i="38"/>
  <c r="CKO208" i="38"/>
  <c r="CKN208" i="38"/>
  <c r="CKM208" i="38"/>
  <c r="CKL208" i="38"/>
  <c r="CKK208" i="38"/>
  <c r="CKJ208" i="38"/>
  <c r="CKI208" i="38"/>
  <c r="CKH208" i="38"/>
  <c r="CKG208" i="38"/>
  <c r="CKF208" i="38"/>
  <c r="CKE208" i="38"/>
  <c r="CKD208" i="38"/>
  <c r="CKC208" i="38"/>
  <c r="CKB208" i="38"/>
  <c r="CKA208" i="38"/>
  <c r="CJZ208" i="38"/>
  <c r="CJY208" i="38"/>
  <c r="CJX208" i="38"/>
  <c r="CJW208" i="38"/>
  <c r="CJV208" i="38"/>
  <c r="CJU208" i="38"/>
  <c r="CJT208" i="38"/>
  <c r="CJS208" i="38"/>
  <c r="CJR208" i="38"/>
  <c r="CJQ208" i="38"/>
  <c r="CJP208" i="38"/>
  <c r="CJO208" i="38"/>
  <c r="CJN208" i="38"/>
  <c r="CJM208" i="38"/>
  <c r="CJL208" i="38"/>
  <c r="CJK208" i="38"/>
  <c r="CJJ208" i="38"/>
  <c r="CJI208" i="38"/>
  <c r="CJH208" i="38"/>
  <c r="CJG208" i="38"/>
  <c r="CJF208" i="38"/>
  <c r="CJE208" i="38"/>
  <c r="CJD208" i="38"/>
  <c r="CJC208" i="38"/>
  <c r="CJB208" i="38"/>
  <c r="CJA208" i="38"/>
  <c r="CIZ208" i="38"/>
  <c r="CIY208" i="38"/>
  <c r="CIX208" i="38"/>
  <c r="CIW208" i="38"/>
  <c r="CIV208" i="38"/>
  <c r="CIU208" i="38"/>
  <c r="CIT208" i="38"/>
  <c r="CIS208" i="38"/>
  <c r="CIR208" i="38"/>
  <c r="CIQ208" i="38"/>
  <c r="CIP208" i="38"/>
  <c r="CIO208" i="38"/>
  <c r="CIN208" i="38"/>
  <c r="CIM208" i="38"/>
  <c r="CIL208" i="38"/>
  <c r="CIK208" i="38"/>
  <c r="CIJ208" i="38"/>
  <c r="CII208" i="38"/>
  <c r="CIH208" i="38"/>
  <c r="CIG208" i="38"/>
  <c r="CIF208" i="38"/>
  <c r="CIE208" i="38"/>
  <c r="CID208" i="38"/>
  <c r="CIC208" i="38"/>
  <c r="CIB208" i="38"/>
  <c r="CIA208" i="38"/>
  <c r="CHZ208" i="38"/>
  <c r="CHY208" i="38"/>
  <c r="CHX208" i="38"/>
  <c r="CHW208" i="38"/>
  <c r="CHV208" i="38"/>
  <c r="CHU208" i="38"/>
  <c r="CHT208" i="38"/>
  <c r="CHS208" i="38"/>
  <c r="CHR208" i="38"/>
  <c r="CHQ208" i="38"/>
  <c r="CHP208" i="38"/>
  <c r="CHO208" i="38"/>
  <c r="CHN208" i="38"/>
  <c r="CHM208" i="38"/>
  <c r="CHL208" i="38"/>
  <c r="CHK208" i="38"/>
  <c r="CHJ208" i="38"/>
  <c r="CHI208" i="38"/>
  <c r="CHH208" i="38"/>
  <c r="CHG208" i="38"/>
  <c r="CHF208" i="38"/>
  <c r="CHE208" i="38"/>
  <c r="CHD208" i="38"/>
  <c r="CHC208" i="38"/>
  <c r="CHB208" i="38"/>
  <c r="CHA208" i="38"/>
  <c r="CGZ208" i="38"/>
  <c r="CGY208" i="38"/>
  <c r="CGX208" i="38"/>
  <c r="CGW208" i="38"/>
  <c r="CGV208" i="38"/>
  <c r="CGU208" i="38"/>
  <c r="CGT208" i="38"/>
  <c r="CGS208" i="38"/>
  <c r="CGR208" i="38"/>
  <c r="CGQ208" i="38"/>
  <c r="CGP208" i="38"/>
  <c r="CGO208" i="38"/>
  <c r="CGN208" i="38"/>
  <c r="CGM208" i="38"/>
  <c r="CGL208" i="38"/>
  <c r="CGK208" i="38"/>
  <c r="CGJ208" i="38"/>
  <c r="CGI208" i="38"/>
  <c r="CGH208" i="38"/>
  <c r="CGG208" i="38"/>
  <c r="CGF208" i="38"/>
  <c r="CGE208" i="38"/>
  <c r="CGD208" i="38"/>
  <c r="CGC208" i="38"/>
  <c r="CGB208" i="38"/>
  <c r="CGA208" i="38"/>
  <c r="CFZ208" i="38"/>
  <c r="CFY208" i="38"/>
  <c r="CFX208" i="38"/>
  <c r="CFW208" i="38"/>
  <c r="CFV208" i="38"/>
  <c r="CFU208" i="38"/>
  <c r="CFT208" i="38"/>
  <c r="CFS208" i="38"/>
  <c r="CFR208" i="38"/>
  <c r="CFQ208" i="38"/>
  <c r="CFP208" i="38"/>
  <c r="CFO208" i="38"/>
  <c r="CFN208" i="38"/>
  <c r="CFM208" i="38"/>
  <c r="CFL208" i="38"/>
  <c r="CFK208" i="38"/>
  <c r="CFJ208" i="38"/>
  <c r="CFI208" i="38"/>
  <c r="CFH208" i="38"/>
  <c r="CFG208" i="38"/>
  <c r="CFF208" i="38"/>
  <c r="CFE208" i="38"/>
  <c r="CFD208" i="38"/>
  <c r="CFC208" i="38"/>
  <c r="CFB208" i="38"/>
  <c r="CFA208" i="38"/>
  <c r="CEZ208" i="38"/>
  <c r="CEY208" i="38"/>
  <c r="CEX208" i="38"/>
  <c r="CEW208" i="38"/>
  <c r="CEV208" i="38"/>
  <c r="CEU208" i="38"/>
  <c r="CET208" i="38"/>
  <c r="CES208" i="38"/>
  <c r="CER208" i="38"/>
  <c r="CEQ208" i="38"/>
  <c r="CEP208" i="38"/>
  <c r="CEO208" i="38"/>
  <c r="CEN208" i="38"/>
  <c r="CEM208" i="38"/>
  <c r="CEL208" i="38"/>
  <c r="CEK208" i="38"/>
  <c r="CEJ208" i="38"/>
  <c r="CEI208" i="38"/>
  <c r="CEH208" i="38"/>
  <c r="CEG208" i="38"/>
  <c r="CEF208" i="38"/>
  <c r="CEE208" i="38"/>
  <c r="CED208" i="38"/>
  <c r="CEC208" i="38"/>
  <c r="CEB208" i="38"/>
  <c r="CEA208" i="38"/>
  <c r="CDZ208" i="38"/>
  <c r="CDY208" i="38"/>
  <c r="CDX208" i="38"/>
  <c r="CDW208" i="38"/>
  <c r="CDV208" i="38"/>
  <c r="CDU208" i="38"/>
  <c r="CDT208" i="38"/>
  <c r="CDS208" i="38"/>
  <c r="CDR208" i="38"/>
  <c r="CDQ208" i="38"/>
  <c r="CDP208" i="38"/>
  <c r="CDO208" i="38"/>
  <c r="CDN208" i="38"/>
  <c r="CDM208" i="38"/>
  <c r="CDL208" i="38"/>
  <c r="CDK208" i="38"/>
  <c r="CDJ208" i="38"/>
  <c r="CDI208" i="38"/>
  <c r="CDH208" i="38"/>
  <c r="CDG208" i="38"/>
  <c r="CDF208" i="38"/>
  <c r="CDE208" i="38"/>
  <c r="CDD208" i="38"/>
  <c r="CDC208" i="38"/>
  <c r="CDB208" i="38"/>
  <c r="CDA208" i="38"/>
  <c r="CCZ208" i="38"/>
  <c r="CCY208" i="38"/>
  <c r="CCX208" i="38"/>
  <c r="CCW208" i="38"/>
  <c r="CCV208" i="38"/>
  <c r="CCU208" i="38"/>
  <c r="CCT208" i="38"/>
  <c r="CCS208" i="38"/>
  <c r="CCR208" i="38"/>
  <c r="CCQ208" i="38"/>
  <c r="CCP208" i="38"/>
  <c r="CCO208" i="38"/>
  <c r="CCN208" i="38"/>
  <c r="CCM208" i="38"/>
  <c r="CCL208" i="38"/>
  <c r="CCK208" i="38"/>
  <c r="CCJ208" i="38"/>
  <c r="CCI208" i="38"/>
  <c r="CCH208" i="38"/>
  <c r="CCG208" i="38"/>
  <c r="CCF208" i="38"/>
  <c r="CCE208" i="38"/>
  <c r="CCD208" i="38"/>
  <c r="CCC208" i="38"/>
  <c r="CCB208" i="38"/>
  <c r="CCA208" i="38"/>
  <c r="CBZ208" i="38"/>
  <c r="CBY208" i="38"/>
  <c r="CBX208" i="38"/>
  <c r="CBW208" i="38"/>
  <c r="CBV208" i="38"/>
  <c r="CBU208" i="38"/>
  <c r="CBT208" i="38"/>
  <c r="CBS208" i="38"/>
  <c r="CBR208" i="38"/>
  <c r="CBQ208" i="38"/>
  <c r="CBP208" i="38"/>
  <c r="CBO208" i="38"/>
  <c r="CBN208" i="38"/>
  <c r="CBM208" i="38"/>
  <c r="CBL208" i="38"/>
  <c r="CBK208" i="38"/>
  <c r="CBJ208" i="38"/>
  <c r="CBI208" i="38"/>
  <c r="CBH208" i="38"/>
  <c r="CBG208" i="38"/>
  <c r="CBF208" i="38"/>
  <c r="CBE208" i="38"/>
  <c r="CBD208" i="38"/>
  <c r="CBC208" i="38"/>
  <c r="CBB208" i="38"/>
  <c r="CBA208" i="38"/>
  <c r="CAZ208" i="38"/>
  <c r="CAY208" i="38"/>
  <c r="CAX208" i="38"/>
  <c r="CAW208" i="38"/>
  <c r="CAV208" i="38"/>
  <c r="CAU208" i="38"/>
  <c r="CAT208" i="38"/>
  <c r="CAS208" i="38"/>
  <c r="CAR208" i="38"/>
  <c r="CAQ208" i="38"/>
  <c r="CAP208" i="38"/>
  <c r="CAO208" i="38"/>
  <c r="CAN208" i="38"/>
  <c r="CAM208" i="38"/>
  <c r="CAL208" i="38"/>
  <c r="CAK208" i="38"/>
  <c r="CAJ208" i="38"/>
  <c r="CAI208" i="38"/>
  <c r="CAH208" i="38"/>
  <c r="CAG208" i="38"/>
  <c r="CAF208" i="38"/>
  <c r="CAE208" i="38"/>
  <c r="CAD208" i="38"/>
  <c r="CAC208" i="38"/>
  <c r="CAB208" i="38"/>
  <c r="CAA208" i="38"/>
  <c r="BZZ208" i="38"/>
  <c r="BZY208" i="38"/>
  <c r="BZX208" i="38"/>
  <c r="BZW208" i="38"/>
  <c r="BZV208" i="38"/>
  <c r="BZU208" i="38"/>
  <c r="BZT208" i="38"/>
  <c r="BZS208" i="38"/>
  <c r="BZR208" i="38"/>
  <c r="BZQ208" i="38"/>
  <c r="BZP208" i="38"/>
  <c r="BZO208" i="38"/>
  <c r="BZN208" i="38"/>
  <c r="BZM208" i="38"/>
  <c r="BZL208" i="38"/>
  <c r="BZK208" i="38"/>
  <c r="BZJ208" i="38"/>
  <c r="BZI208" i="38"/>
  <c r="BZH208" i="38"/>
  <c r="BZG208" i="38"/>
  <c r="BZF208" i="38"/>
  <c r="BZE208" i="38"/>
  <c r="BZD208" i="38"/>
  <c r="BZC208" i="38"/>
  <c r="BZB208" i="38"/>
  <c r="BZA208" i="38"/>
  <c r="BYZ208" i="38"/>
  <c r="BYY208" i="38"/>
  <c r="BYX208" i="38"/>
  <c r="BYW208" i="38"/>
  <c r="BYV208" i="38"/>
  <c r="BYU208" i="38"/>
  <c r="BYT208" i="38"/>
  <c r="BYS208" i="38"/>
  <c r="BYR208" i="38"/>
  <c r="BYQ208" i="38"/>
  <c r="BYP208" i="38"/>
  <c r="BYO208" i="38"/>
  <c r="BYN208" i="38"/>
  <c r="BYM208" i="38"/>
  <c r="BYL208" i="38"/>
  <c r="BYK208" i="38"/>
  <c r="BYJ208" i="38"/>
  <c r="BYI208" i="38"/>
  <c r="BYH208" i="38"/>
  <c r="BYG208" i="38"/>
  <c r="BYF208" i="38"/>
  <c r="BYE208" i="38"/>
  <c r="BYD208" i="38"/>
  <c r="BYC208" i="38"/>
  <c r="BYB208" i="38"/>
  <c r="BYA208" i="38"/>
  <c r="BXZ208" i="38"/>
  <c r="BXY208" i="38"/>
  <c r="BXX208" i="38"/>
  <c r="BXW208" i="38"/>
  <c r="BXV208" i="38"/>
  <c r="BXU208" i="38"/>
  <c r="BXT208" i="38"/>
  <c r="BXS208" i="38"/>
  <c r="BXR208" i="38"/>
  <c r="BXQ208" i="38"/>
  <c r="BXP208" i="38"/>
  <c r="BXO208" i="38"/>
  <c r="BXN208" i="38"/>
  <c r="BXM208" i="38"/>
  <c r="BXL208" i="38"/>
  <c r="BXK208" i="38"/>
  <c r="BXJ208" i="38"/>
  <c r="BXI208" i="38"/>
  <c r="BXH208" i="38"/>
  <c r="BXG208" i="38"/>
  <c r="BXF208" i="38"/>
  <c r="BXE208" i="38"/>
  <c r="BXD208" i="38"/>
  <c r="BXC208" i="38"/>
  <c r="BXB208" i="38"/>
  <c r="BXA208" i="38"/>
  <c r="BWZ208" i="38"/>
  <c r="BWY208" i="38"/>
  <c r="BWX208" i="38"/>
  <c r="BWW208" i="38"/>
  <c r="BWV208" i="38"/>
  <c r="BWU208" i="38"/>
  <c r="BWT208" i="38"/>
  <c r="BWS208" i="38"/>
  <c r="BWR208" i="38"/>
  <c r="BWQ208" i="38"/>
  <c r="BWP208" i="38"/>
  <c r="BWO208" i="38"/>
  <c r="BWN208" i="38"/>
  <c r="BWM208" i="38"/>
  <c r="BWL208" i="38"/>
  <c r="BWK208" i="38"/>
  <c r="BWJ208" i="38"/>
  <c r="BWI208" i="38"/>
  <c r="BWH208" i="38"/>
  <c r="BWG208" i="38"/>
  <c r="BWF208" i="38"/>
  <c r="BWE208" i="38"/>
  <c r="BWD208" i="38"/>
  <c r="BWC208" i="38"/>
  <c r="BWB208" i="38"/>
  <c r="BWA208" i="38"/>
  <c r="BVZ208" i="38"/>
  <c r="BVY208" i="38"/>
  <c r="BVX208" i="38"/>
  <c r="BVW208" i="38"/>
  <c r="BVV208" i="38"/>
  <c r="BVU208" i="38"/>
  <c r="BVT208" i="38"/>
  <c r="BVS208" i="38"/>
  <c r="BVR208" i="38"/>
  <c r="BVQ208" i="38"/>
  <c r="BVP208" i="38"/>
  <c r="BVO208" i="38"/>
  <c r="BVN208" i="38"/>
  <c r="BVM208" i="38"/>
  <c r="BVL208" i="38"/>
  <c r="BVK208" i="38"/>
  <c r="BVJ208" i="38"/>
  <c r="BVI208" i="38"/>
  <c r="BVH208" i="38"/>
  <c r="BVG208" i="38"/>
  <c r="BVF208" i="38"/>
  <c r="BVE208" i="38"/>
  <c r="BVD208" i="38"/>
  <c r="BVC208" i="38"/>
  <c r="BVB208" i="38"/>
  <c r="BVA208" i="38"/>
  <c r="BUZ208" i="38"/>
  <c r="BUY208" i="38"/>
  <c r="BUX208" i="38"/>
  <c r="BUW208" i="38"/>
  <c r="BUV208" i="38"/>
  <c r="BUU208" i="38"/>
  <c r="BUT208" i="38"/>
  <c r="BUS208" i="38"/>
  <c r="BUR208" i="38"/>
  <c r="BUQ208" i="38"/>
  <c r="BUP208" i="38"/>
  <c r="BUO208" i="38"/>
  <c r="BUN208" i="38"/>
  <c r="BUM208" i="38"/>
  <c r="BUL208" i="38"/>
  <c r="BUK208" i="38"/>
  <c r="BUJ208" i="38"/>
  <c r="BUI208" i="38"/>
  <c r="BUH208" i="38"/>
  <c r="BUG208" i="38"/>
  <c r="BUF208" i="38"/>
  <c r="BUE208" i="38"/>
  <c r="BUD208" i="38"/>
  <c r="BUC208" i="38"/>
  <c r="BUB208" i="38"/>
  <c r="BUA208" i="38"/>
  <c r="BTZ208" i="38"/>
  <c r="BTY208" i="38"/>
  <c r="BTX208" i="38"/>
  <c r="BTW208" i="38"/>
  <c r="BTV208" i="38"/>
  <c r="BTU208" i="38"/>
  <c r="BTT208" i="38"/>
  <c r="BTS208" i="38"/>
  <c r="BTR208" i="38"/>
  <c r="BTQ208" i="38"/>
  <c r="BTP208" i="38"/>
  <c r="BTO208" i="38"/>
  <c r="BTN208" i="38"/>
  <c r="BTM208" i="38"/>
  <c r="BTL208" i="38"/>
  <c r="BTK208" i="38"/>
  <c r="BTJ208" i="38"/>
  <c r="BTI208" i="38"/>
  <c r="BTH208" i="38"/>
  <c r="BTG208" i="38"/>
  <c r="BTF208" i="38"/>
  <c r="BTE208" i="38"/>
  <c r="BTD208" i="38"/>
  <c r="BTC208" i="38"/>
  <c r="BTB208" i="38"/>
  <c r="BTA208" i="38"/>
  <c r="BSZ208" i="38"/>
  <c r="BSY208" i="38"/>
  <c r="BSX208" i="38"/>
  <c r="BSW208" i="38"/>
  <c r="BSV208" i="38"/>
  <c r="BSU208" i="38"/>
  <c r="BST208" i="38"/>
  <c r="BSS208" i="38"/>
  <c r="BSR208" i="38"/>
  <c r="BSQ208" i="38"/>
  <c r="BSP208" i="38"/>
  <c r="BSO208" i="38"/>
  <c r="BSN208" i="38"/>
  <c r="BSM208" i="38"/>
  <c r="BSL208" i="38"/>
  <c r="BSK208" i="38"/>
  <c r="BSJ208" i="38"/>
  <c r="BSI208" i="38"/>
  <c r="BSH208" i="38"/>
  <c r="BSG208" i="38"/>
  <c r="BSF208" i="38"/>
  <c r="BSE208" i="38"/>
  <c r="BSD208" i="38"/>
  <c r="BSC208" i="38"/>
  <c r="BSB208" i="38"/>
  <c r="BSA208" i="38"/>
  <c r="BRZ208" i="38"/>
  <c r="BRY208" i="38"/>
  <c r="BRX208" i="38"/>
  <c r="BRW208" i="38"/>
  <c r="BRV208" i="38"/>
  <c r="BRU208" i="38"/>
  <c r="BRT208" i="38"/>
  <c r="BRS208" i="38"/>
  <c r="BRR208" i="38"/>
  <c r="BRQ208" i="38"/>
  <c r="BRP208" i="38"/>
  <c r="BRO208" i="38"/>
  <c r="BRN208" i="38"/>
  <c r="BRM208" i="38"/>
  <c r="BRL208" i="38"/>
  <c r="BRK208" i="38"/>
  <c r="BRJ208" i="38"/>
  <c r="BRI208" i="38"/>
  <c r="BRH208" i="38"/>
  <c r="BRG208" i="38"/>
  <c r="BRF208" i="38"/>
  <c r="BRE208" i="38"/>
  <c r="BRD208" i="38"/>
  <c r="BRC208" i="38"/>
  <c r="BRB208" i="38"/>
  <c r="BRA208" i="38"/>
  <c r="BQZ208" i="38"/>
  <c r="BQY208" i="38"/>
  <c r="BQX208" i="38"/>
  <c r="BQW208" i="38"/>
  <c r="BQV208" i="38"/>
  <c r="BQU208" i="38"/>
  <c r="BQT208" i="38"/>
  <c r="BQS208" i="38"/>
  <c r="BQR208" i="38"/>
  <c r="BQQ208" i="38"/>
  <c r="BQP208" i="38"/>
  <c r="BQO208" i="38"/>
  <c r="BQN208" i="38"/>
  <c r="BQM208" i="38"/>
  <c r="BQL208" i="38"/>
  <c r="BQK208" i="38"/>
  <c r="BQJ208" i="38"/>
  <c r="BQI208" i="38"/>
  <c r="BQH208" i="38"/>
  <c r="BQG208" i="38"/>
  <c r="BQF208" i="38"/>
  <c r="BQE208" i="38"/>
  <c r="BQD208" i="38"/>
  <c r="BQC208" i="38"/>
  <c r="BQB208" i="38"/>
  <c r="BQA208" i="38"/>
  <c r="BPZ208" i="38"/>
  <c r="BPY208" i="38"/>
  <c r="BPX208" i="38"/>
  <c r="BPW208" i="38"/>
  <c r="BPV208" i="38"/>
  <c r="BPU208" i="38"/>
  <c r="BPT208" i="38"/>
  <c r="BPS208" i="38"/>
  <c r="BPR208" i="38"/>
  <c r="BPQ208" i="38"/>
  <c r="BPP208" i="38"/>
  <c r="BPO208" i="38"/>
  <c r="BPN208" i="38"/>
  <c r="BPM208" i="38"/>
  <c r="BPL208" i="38"/>
  <c r="BPK208" i="38"/>
  <c r="BPJ208" i="38"/>
  <c r="BPI208" i="38"/>
  <c r="BPH208" i="38"/>
  <c r="BPG208" i="38"/>
  <c r="BPF208" i="38"/>
  <c r="BPE208" i="38"/>
  <c r="BPD208" i="38"/>
  <c r="BPC208" i="38"/>
  <c r="BPB208" i="38"/>
  <c r="BPA208" i="38"/>
  <c r="BOZ208" i="38"/>
  <c r="BOY208" i="38"/>
  <c r="BOX208" i="38"/>
  <c r="BOW208" i="38"/>
  <c r="BOV208" i="38"/>
  <c r="BOU208" i="38"/>
  <c r="BOT208" i="38"/>
  <c r="BOS208" i="38"/>
  <c r="BOR208" i="38"/>
  <c r="BOQ208" i="38"/>
  <c r="BOP208" i="38"/>
  <c r="BOO208" i="38"/>
  <c r="BON208" i="38"/>
  <c r="BOM208" i="38"/>
  <c r="BOL208" i="38"/>
  <c r="BOK208" i="38"/>
  <c r="BOJ208" i="38"/>
  <c r="BOI208" i="38"/>
  <c r="BOH208" i="38"/>
  <c r="BOG208" i="38"/>
  <c r="BOF208" i="38"/>
  <c r="BOE208" i="38"/>
  <c r="BOD208" i="38"/>
  <c r="BOC208" i="38"/>
  <c r="BOB208" i="38"/>
  <c r="BOA208" i="38"/>
  <c r="BNZ208" i="38"/>
  <c r="BNY208" i="38"/>
  <c r="BNX208" i="38"/>
  <c r="BNW208" i="38"/>
  <c r="BNV208" i="38"/>
  <c r="BNU208" i="38"/>
  <c r="BNT208" i="38"/>
  <c r="BNS208" i="38"/>
  <c r="BNR208" i="38"/>
  <c r="BNQ208" i="38"/>
  <c r="BNP208" i="38"/>
  <c r="BNO208" i="38"/>
  <c r="BNN208" i="38"/>
  <c r="BNM208" i="38"/>
  <c r="BNL208" i="38"/>
  <c r="BNK208" i="38"/>
  <c r="BNJ208" i="38"/>
  <c r="BNI208" i="38"/>
  <c r="BNH208" i="38"/>
  <c r="BNG208" i="38"/>
  <c r="BNF208" i="38"/>
  <c r="BNE208" i="38"/>
  <c r="BND208" i="38"/>
  <c r="BNC208" i="38"/>
  <c r="BNB208" i="38"/>
  <c r="BNA208" i="38"/>
  <c r="BMZ208" i="38"/>
  <c r="BMY208" i="38"/>
  <c r="BMX208" i="38"/>
  <c r="BMW208" i="38"/>
  <c r="BMV208" i="38"/>
  <c r="BMU208" i="38"/>
  <c r="BMT208" i="38"/>
  <c r="BMS208" i="38"/>
  <c r="BMR208" i="38"/>
  <c r="BMQ208" i="38"/>
  <c r="BMP208" i="38"/>
  <c r="BMO208" i="38"/>
  <c r="BMN208" i="38"/>
  <c r="BMM208" i="38"/>
  <c r="BML208" i="38"/>
  <c r="BMK208" i="38"/>
  <c r="BMJ208" i="38"/>
  <c r="BMI208" i="38"/>
  <c r="BMH208" i="38"/>
  <c r="BMG208" i="38"/>
  <c r="BMF208" i="38"/>
  <c r="BME208" i="38"/>
  <c r="BMD208" i="38"/>
  <c r="BMC208" i="38"/>
  <c r="BMB208" i="38"/>
  <c r="BMA208" i="38"/>
  <c r="BLZ208" i="38"/>
  <c r="BLY208" i="38"/>
  <c r="BLX208" i="38"/>
  <c r="BLW208" i="38"/>
  <c r="BLV208" i="38"/>
  <c r="BLU208" i="38"/>
  <c r="BLT208" i="38"/>
  <c r="BLS208" i="38"/>
  <c r="BLR208" i="38"/>
  <c r="BLQ208" i="38"/>
  <c r="BLP208" i="38"/>
  <c r="BLO208" i="38"/>
  <c r="BLN208" i="38"/>
  <c r="BLM208" i="38"/>
  <c r="BLL208" i="38"/>
  <c r="BLK208" i="38"/>
  <c r="BLJ208" i="38"/>
  <c r="BLI208" i="38"/>
  <c r="BLH208" i="38"/>
  <c r="BLG208" i="38"/>
  <c r="BLF208" i="38"/>
  <c r="BLE208" i="38"/>
  <c r="BLD208" i="38"/>
  <c r="BLC208" i="38"/>
  <c r="BLB208" i="38"/>
  <c r="BLA208" i="38"/>
  <c r="BKZ208" i="38"/>
  <c r="BKY208" i="38"/>
  <c r="BKX208" i="38"/>
  <c r="BKW208" i="38"/>
  <c r="BKV208" i="38"/>
  <c r="BKU208" i="38"/>
  <c r="BKT208" i="38"/>
  <c r="BKS208" i="38"/>
  <c r="BKR208" i="38"/>
  <c r="BKQ208" i="38"/>
  <c r="BKP208" i="38"/>
  <c r="BKO208" i="38"/>
  <c r="BKN208" i="38"/>
  <c r="BKM208" i="38"/>
  <c r="BKL208" i="38"/>
  <c r="BKK208" i="38"/>
  <c r="BKJ208" i="38"/>
  <c r="BKI208" i="38"/>
  <c r="BKH208" i="38"/>
  <c r="BKG208" i="38"/>
  <c r="BKF208" i="38"/>
  <c r="BKE208" i="38"/>
  <c r="BKD208" i="38"/>
  <c r="BKC208" i="38"/>
  <c r="BKB208" i="38"/>
  <c r="BKA208" i="38"/>
  <c r="BJZ208" i="38"/>
  <c r="BJY208" i="38"/>
  <c r="BJX208" i="38"/>
  <c r="BJW208" i="38"/>
  <c r="BJV208" i="38"/>
  <c r="BJU208" i="38"/>
  <c r="BJT208" i="38"/>
  <c r="BJS208" i="38"/>
  <c r="BJR208" i="38"/>
  <c r="BJQ208" i="38"/>
  <c r="BJP208" i="38"/>
  <c r="BJO208" i="38"/>
  <c r="BJN208" i="38"/>
  <c r="BJM208" i="38"/>
  <c r="BJL208" i="38"/>
  <c r="BJK208" i="38"/>
  <c r="BJJ208" i="38"/>
  <c r="BJI208" i="38"/>
  <c r="BJH208" i="38"/>
  <c r="BJG208" i="38"/>
  <c r="BJF208" i="38"/>
  <c r="BJE208" i="38"/>
  <c r="BJD208" i="38"/>
  <c r="BJC208" i="38"/>
  <c r="BJB208" i="38"/>
  <c r="BJA208" i="38"/>
  <c r="BIZ208" i="38"/>
  <c r="BIY208" i="38"/>
  <c r="BIX208" i="38"/>
  <c r="BIW208" i="38"/>
  <c r="BIV208" i="38"/>
  <c r="BIU208" i="38"/>
  <c r="BIT208" i="38"/>
  <c r="BIS208" i="38"/>
  <c r="BIR208" i="38"/>
  <c r="BIQ208" i="38"/>
  <c r="BIP208" i="38"/>
  <c r="BIO208" i="38"/>
  <c r="BIN208" i="38"/>
  <c r="BIM208" i="38"/>
  <c r="BIL208" i="38"/>
  <c r="BIK208" i="38"/>
  <c r="BIJ208" i="38"/>
  <c r="BII208" i="38"/>
  <c r="BIH208" i="38"/>
  <c r="BIG208" i="38"/>
  <c r="BIF208" i="38"/>
  <c r="BIE208" i="38"/>
  <c r="BID208" i="38"/>
  <c r="BIC208" i="38"/>
  <c r="BIB208" i="38"/>
  <c r="BIA208" i="38"/>
  <c r="BHZ208" i="38"/>
  <c r="BHY208" i="38"/>
  <c r="BHX208" i="38"/>
  <c r="BHW208" i="38"/>
  <c r="BHV208" i="38"/>
  <c r="BHU208" i="38"/>
  <c r="BHT208" i="38"/>
  <c r="BHS208" i="38"/>
  <c r="BHR208" i="38"/>
  <c r="BHQ208" i="38"/>
  <c r="BHP208" i="38"/>
  <c r="BHO208" i="38"/>
  <c r="BHN208" i="38"/>
  <c r="BHM208" i="38"/>
  <c r="BHL208" i="38"/>
  <c r="BHK208" i="38"/>
  <c r="BHJ208" i="38"/>
  <c r="BHI208" i="38"/>
  <c r="BHH208" i="38"/>
  <c r="BHG208" i="38"/>
  <c r="BHF208" i="38"/>
  <c r="BHE208" i="38"/>
  <c r="BHD208" i="38"/>
  <c r="BHC208" i="38"/>
  <c r="BHB208" i="38"/>
  <c r="BHA208" i="38"/>
  <c r="BGZ208" i="38"/>
  <c r="BGY208" i="38"/>
  <c r="BGX208" i="38"/>
  <c r="BGW208" i="38"/>
  <c r="BGV208" i="38"/>
  <c r="BGU208" i="38"/>
  <c r="BGT208" i="38"/>
  <c r="BGS208" i="38"/>
  <c r="BGR208" i="38"/>
  <c r="BGQ208" i="38"/>
  <c r="BGP208" i="38"/>
  <c r="BGO208" i="38"/>
  <c r="BGN208" i="38"/>
  <c r="BGM208" i="38"/>
  <c r="BGL208" i="38"/>
  <c r="BGK208" i="38"/>
  <c r="BGJ208" i="38"/>
  <c r="BGI208" i="38"/>
  <c r="BGH208" i="38"/>
  <c r="BGG208" i="38"/>
  <c r="BGF208" i="38"/>
  <c r="BGE208" i="38"/>
  <c r="BGD208" i="38"/>
  <c r="BGC208" i="38"/>
  <c r="BGB208" i="38"/>
  <c r="BGA208" i="38"/>
  <c r="BFZ208" i="38"/>
  <c r="BFY208" i="38"/>
  <c r="BFX208" i="38"/>
  <c r="BFW208" i="38"/>
  <c r="BFV208" i="38"/>
  <c r="BFU208" i="38"/>
  <c r="BFT208" i="38"/>
  <c r="BFS208" i="38"/>
  <c r="BFR208" i="38"/>
  <c r="BFQ208" i="38"/>
  <c r="BFP208" i="38"/>
  <c r="BFO208" i="38"/>
  <c r="BFN208" i="38"/>
  <c r="BFM208" i="38"/>
  <c r="BFL208" i="38"/>
  <c r="BFK208" i="38"/>
  <c r="BFJ208" i="38"/>
  <c r="BFI208" i="38"/>
  <c r="BFH208" i="38"/>
  <c r="BFG208" i="38"/>
  <c r="BFF208" i="38"/>
  <c r="BFE208" i="38"/>
  <c r="BFD208" i="38"/>
  <c r="BFC208" i="38"/>
  <c r="BFB208" i="38"/>
  <c r="BFA208" i="38"/>
  <c r="BEZ208" i="38"/>
  <c r="BEY208" i="38"/>
  <c r="BEX208" i="38"/>
  <c r="BEW208" i="38"/>
  <c r="BEV208" i="38"/>
  <c r="BEU208" i="38"/>
  <c r="BET208" i="38"/>
  <c r="BES208" i="38"/>
  <c r="BER208" i="38"/>
  <c r="BEQ208" i="38"/>
  <c r="BEP208" i="38"/>
  <c r="BEO208" i="38"/>
  <c r="BEN208" i="38"/>
  <c r="BEM208" i="38"/>
  <c r="BEL208" i="38"/>
  <c r="BEK208" i="38"/>
  <c r="BEJ208" i="38"/>
  <c r="BEI208" i="38"/>
  <c r="BEH208" i="38"/>
  <c r="BEG208" i="38"/>
  <c r="BEF208" i="38"/>
  <c r="BEE208" i="38"/>
  <c r="BED208" i="38"/>
  <c r="BEC208" i="38"/>
  <c r="BEB208" i="38"/>
  <c r="BEA208" i="38"/>
  <c r="BDZ208" i="38"/>
  <c r="BDY208" i="38"/>
  <c r="BDX208" i="38"/>
  <c r="BDW208" i="38"/>
  <c r="BDV208" i="38"/>
  <c r="BDU208" i="38"/>
  <c r="BDT208" i="38"/>
  <c r="BDS208" i="38"/>
  <c r="BDR208" i="38"/>
  <c r="BDQ208" i="38"/>
  <c r="BDP208" i="38"/>
  <c r="BDO208" i="38"/>
  <c r="BDN208" i="38"/>
  <c r="BDM208" i="38"/>
  <c r="BDL208" i="38"/>
  <c r="BDK208" i="38"/>
  <c r="BDJ208" i="38"/>
  <c r="BDI208" i="38"/>
  <c r="BDH208" i="38"/>
  <c r="BDG208" i="38"/>
  <c r="BDF208" i="38"/>
  <c r="BDE208" i="38"/>
  <c r="BDD208" i="38"/>
  <c r="BDC208" i="38"/>
  <c r="BDB208" i="38"/>
  <c r="BDA208" i="38"/>
  <c r="BCZ208" i="38"/>
  <c r="BCY208" i="38"/>
  <c r="BCX208" i="38"/>
  <c r="BCW208" i="38"/>
  <c r="BCV208" i="38"/>
  <c r="BCU208" i="38"/>
  <c r="BCT208" i="38"/>
  <c r="BCS208" i="38"/>
  <c r="BCR208" i="38"/>
  <c r="BCQ208" i="38"/>
  <c r="BCP208" i="38"/>
  <c r="BCO208" i="38"/>
  <c r="BCN208" i="38"/>
  <c r="BCM208" i="38"/>
  <c r="BCL208" i="38"/>
  <c r="BCK208" i="38"/>
  <c r="BCJ208" i="38"/>
  <c r="BCI208" i="38"/>
  <c r="BCH208" i="38"/>
  <c r="BCG208" i="38"/>
  <c r="BCF208" i="38"/>
  <c r="BCE208" i="38"/>
  <c r="BCD208" i="38"/>
  <c r="BCC208" i="38"/>
  <c r="BCB208" i="38"/>
  <c r="BCA208" i="38"/>
  <c r="BBZ208" i="38"/>
  <c r="BBY208" i="38"/>
  <c r="BBX208" i="38"/>
  <c r="BBW208" i="38"/>
  <c r="BBV208" i="38"/>
  <c r="BBU208" i="38"/>
  <c r="BBT208" i="38"/>
  <c r="BBS208" i="38"/>
  <c r="BBR208" i="38"/>
  <c r="BBQ208" i="38"/>
  <c r="BBP208" i="38"/>
  <c r="BBO208" i="38"/>
  <c r="BBN208" i="38"/>
  <c r="BBM208" i="38"/>
  <c r="BBL208" i="38"/>
  <c r="BBK208" i="38"/>
  <c r="BBJ208" i="38"/>
  <c r="BBI208" i="38"/>
  <c r="BBH208" i="38"/>
  <c r="BBG208" i="38"/>
  <c r="BBF208" i="38"/>
  <c r="BBE208" i="38"/>
  <c r="BBD208" i="38"/>
  <c r="BBC208" i="38"/>
  <c r="BBB208" i="38"/>
  <c r="BBA208" i="38"/>
  <c r="BAZ208" i="38"/>
  <c r="BAY208" i="38"/>
  <c r="BAX208" i="38"/>
  <c r="BAW208" i="38"/>
  <c r="BAV208" i="38"/>
  <c r="BAU208" i="38"/>
  <c r="BAT208" i="38"/>
  <c r="BAS208" i="38"/>
  <c r="BAR208" i="38"/>
  <c r="BAQ208" i="38"/>
  <c r="BAP208" i="38"/>
  <c r="BAO208" i="38"/>
  <c r="BAN208" i="38"/>
  <c r="BAM208" i="38"/>
  <c r="BAL208" i="38"/>
  <c r="BAK208" i="38"/>
  <c r="BAJ208" i="38"/>
  <c r="BAI208" i="38"/>
  <c r="BAH208" i="38"/>
  <c r="BAG208" i="38"/>
  <c r="BAF208" i="38"/>
  <c r="BAE208" i="38"/>
  <c r="BAD208" i="38"/>
  <c r="BAC208" i="38"/>
  <c r="BAB208" i="38"/>
  <c r="BAA208" i="38"/>
  <c r="AZZ208" i="38"/>
  <c r="AZY208" i="38"/>
  <c r="AZX208" i="38"/>
  <c r="AZW208" i="38"/>
  <c r="AZV208" i="38"/>
  <c r="AZU208" i="38"/>
  <c r="AZT208" i="38"/>
  <c r="AZS208" i="38"/>
  <c r="AZR208" i="38"/>
  <c r="AZQ208" i="38"/>
  <c r="AZP208" i="38"/>
  <c r="AZO208" i="38"/>
  <c r="AZN208" i="38"/>
  <c r="AZM208" i="38"/>
  <c r="AZL208" i="38"/>
  <c r="AZK208" i="38"/>
  <c r="AZJ208" i="38"/>
  <c r="AZI208" i="38"/>
  <c r="AZH208" i="38"/>
  <c r="AZG208" i="38"/>
  <c r="AZF208" i="38"/>
  <c r="AZE208" i="38"/>
  <c r="AZD208" i="38"/>
  <c r="AZC208" i="38"/>
  <c r="AZB208" i="38"/>
  <c r="AZA208" i="38"/>
  <c r="AYZ208" i="38"/>
  <c r="AYY208" i="38"/>
  <c r="AYX208" i="38"/>
  <c r="AYW208" i="38"/>
  <c r="AYV208" i="38"/>
  <c r="AYU208" i="38"/>
  <c r="AYT208" i="38"/>
  <c r="AYS208" i="38"/>
  <c r="AYR208" i="38"/>
  <c r="AYQ208" i="38"/>
  <c r="AYP208" i="38"/>
  <c r="AYO208" i="38"/>
  <c r="AYN208" i="38"/>
  <c r="AYM208" i="38"/>
  <c r="AYL208" i="38"/>
  <c r="AYK208" i="38"/>
  <c r="AYJ208" i="38"/>
  <c r="AYI208" i="38"/>
  <c r="AYH208" i="38"/>
  <c r="AYG208" i="38"/>
  <c r="AYF208" i="38"/>
  <c r="AYE208" i="38"/>
  <c r="AYD208" i="38"/>
  <c r="AYC208" i="38"/>
  <c r="AYB208" i="38"/>
  <c r="AYA208" i="38"/>
  <c r="AXZ208" i="38"/>
  <c r="AXY208" i="38"/>
  <c r="AXX208" i="38"/>
  <c r="AXW208" i="38"/>
  <c r="AXV208" i="38"/>
  <c r="AXU208" i="38"/>
  <c r="AXT208" i="38"/>
  <c r="AXS208" i="38"/>
  <c r="AXR208" i="38"/>
  <c r="AXQ208" i="38"/>
  <c r="AXP208" i="38"/>
  <c r="AXO208" i="38"/>
  <c r="AXN208" i="38"/>
  <c r="AXM208" i="38"/>
  <c r="AXL208" i="38"/>
  <c r="AXK208" i="38"/>
  <c r="AXJ208" i="38"/>
  <c r="AXI208" i="38"/>
  <c r="AXH208" i="38"/>
  <c r="AXG208" i="38"/>
  <c r="AXF208" i="38"/>
  <c r="AXE208" i="38"/>
  <c r="AXD208" i="38"/>
  <c r="AXC208" i="38"/>
  <c r="AXB208" i="38"/>
  <c r="AXA208" i="38"/>
  <c r="AWZ208" i="38"/>
  <c r="AWY208" i="38"/>
  <c r="AWX208" i="38"/>
  <c r="AWW208" i="38"/>
  <c r="AWV208" i="38"/>
  <c r="AWU208" i="38"/>
  <c r="AWT208" i="38"/>
  <c r="AWS208" i="38"/>
  <c r="AWR208" i="38"/>
  <c r="AWQ208" i="38"/>
  <c r="AWP208" i="38"/>
  <c r="AWO208" i="38"/>
  <c r="AWN208" i="38"/>
  <c r="AWM208" i="38"/>
  <c r="AWL208" i="38"/>
  <c r="AWK208" i="38"/>
  <c r="AWJ208" i="38"/>
  <c r="AWI208" i="38"/>
  <c r="AWH208" i="38"/>
  <c r="AWG208" i="38"/>
  <c r="AWF208" i="38"/>
  <c r="AWE208" i="38"/>
  <c r="AWD208" i="38"/>
  <c r="AWC208" i="38"/>
  <c r="AWB208" i="38"/>
  <c r="AWA208" i="38"/>
  <c r="AVZ208" i="38"/>
  <c r="AVY208" i="38"/>
  <c r="AVX208" i="38"/>
  <c r="AVW208" i="38"/>
  <c r="AVV208" i="38"/>
  <c r="AVU208" i="38"/>
  <c r="AVT208" i="38"/>
  <c r="AVS208" i="38"/>
  <c r="AVR208" i="38"/>
  <c r="AVQ208" i="38"/>
  <c r="AVP208" i="38"/>
  <c r="AVO208" i="38"/>
  <c r="AVN208" i="38"/>
  <c r="AVM208" i="38"/>
  <c r="AVL208" i="38"/>
  <c r="AVK208" i="38"/>
  <c r="AVJ208" i="38"/>
  <c r="AVI208" i="38"/>
  <c r="AVH208" i="38"/>
  <c r="AVG208" i="38"/>
  <c r="AVF208" i="38"/>
  <c r="AVE208" i="38"/>
  <c r="AVD208" i="38"/>
  <c r="AVC208" i="38"/>
  <c r="AVB208" i="38"/>
  <c r="AVA208" i="38"/>
  <c r="AUZ208" i="38"/>
  <c r="AUY208" i="38"/>
  <c r="AUX208" i="38"/>
  <c r="AUW208" i="38"/>
  <c r="AUV208" i="38"/>
  <c r="AUU208" i="38"/>
  <c r="AUT208" i="38"/>
  <c r="AUS208" i="38"/>
  <c r="AUR208" i="38"/>
  <c r="AUQ208" i="38"/>
  <c r="AUP208" i="38"/>
  <c r="AUO208" i="38"/>
  <c r="AUN208" i="38"/>
  <c r="AUM208" i="38"/>
  <c r="AUL208" i="38"/>
  <c r="AUK208" i="38"/>
  <c r="AUJ208" i="38"/>
  <c r="AUI208" i="38"/>
  <c r="AUH208" i="38"/>
  <c r="AUG208" i="38"/>
  <c r="AUF208" i="38"/>
  <c r="AUE208" i="38"/>
  <c r="AUD208" i="38"/>
  <c r="AUC208" i="38"/>
  <c r="AUB208" i="38"/>
  <c r="AUA208" i="38"/>
  <c r="ATZ208" i="38"/>
  <c r="ATY208" i="38"/>
  <c r="ATX208" i="38"/>
  <c r="ATW208" i="38"/>
  <c r="ATV208" i="38"/>
  <c r="ATU208" i="38"/>
  <c r="ATT208" i="38"/>
  <c r="ATS208" i="38"/>
  <c r="ATR208" i="38"/>
  <c r="ATQ208" i="38"/>
  <c r="ATP208" i="38"/>
  <c r="ATO208" i="38"/>
  <c r="ATN208" i="38"/>
  <c r="ATM208" i="38"/>
  <c r="ATL208" i="38"/>
  <c r="ATK208" i="38"/>
  <c r="ATJ208" i="38"/>
  <c r="ATI208" i="38"/>
  <c r="ATH208" i="38"/>
  <c r="ATG208" i="38"/>
  <c r="ATF208" i="38"/>
  <c r="ATE208" i="38"/>
  <c r="ATD208" i="38"/>
  <c r="ATC208" i="38"/>
  <c r="ATB208" i="38"/>
  <c r="ATA208" i="38"/>
  <c r="ASZ208" i="38"/>
  <c r="ASY208" i="38"/>
  <c r="ASX208" i="38"/>
  <c r="ASW208" i="38"/>
  <c r="ASV208" i="38"/>
  <c r="ASU208" i="38"/>
  <c r="AST208" i="38"/>
  <c r="ASS208" i="38"/>
  <c r="ASR208" i="38"/>
  <c r="ASQ208" i="38"/>
  <c r="ASP208" i="38"/>
  <c r="ASO208" i="38"/>
  <c r="ASN208" i="38"/>
  <c r="ASM208" i="38"/>
  <c r="ASL208" i="38"/>
  <c r="ASK208" i="38"/>
  <c r="ASJ208" i="38"/>
  <c r="ASI208" i="38"/>
  <c r="ASH208" i="38"/>
  <c r="ASG208" i="38"/>
  <c r="ASF208" i="38"/>
  <c r="ASE208" i="38"/>
  <c r="ASD208" i="38"/>
  <c r="ASC208" i="38"/>
  <c r="ASB208" i="38"/>
  <c r="ASA208" i="38"/>
  <c r="ARZ208" i="38"/>
  <c r="ARY208" i="38"/>
  <c r="ARX208" i="38"/>
  <c r="ARW208" i="38"/>
  <c r="ARV208" i="38"/>
  <c r="ARU208" i="38"/>
  <c r="ART208" i="38"/>
  <c r="ARS208" i="38"/>
  <c r="ARR208" i="38"/>
  <c r="ARQ208" i="38"/>
  <c r="ARP208" i="38"/>
  <c r="ARO208" i="38"/>
  <c r="ARN208" i="38"/>
  <c r="ARM208" i="38"/>
  <c r="ARL208" i="38"/>
  <c r="ARK208" i="38"/>
  <c r="ARJ208" i="38"/>
  <c r="ARI208" i="38"/>
  <c r="ARH208" i="38"/>
  <c r="ARG208" i="38"/>
  <c r="ARF208" i="38"/>
  <c r="ARE208" i="38"/>
  <c r="ARD208" i="38"/>
  <c r="ARC208" i="38"/>
  <c r="ARB208" i="38"/>
  <c r="ARA208" i="38"/>
  <c r="AQZ208" i="38"/>
  <c r="AQY208" i="38"/>
  <c r="AQX208" i="38"/>
  <c r="AQW208" i="38"/>
  <c r="AQV208" i="38"/>
  <c r="AQU208" i="38"/>
  <c r="AQT208" i="38"/>
  <c r="AQS208" i="38"/>
  <c r="AQR208" i="38"/>
  <c r="AQQ208" i="38"/>
  <c r="AQP208" i="38"/>
  <c r="AQO208" i="38"/>
  <c r="AQN208" i="38"/>
  <c r="AQM208" i="38"/>
  <c r="AQL208" i="38"/>
  <c r="AQK208" i="38"/>
  <c r="AQJ208" i="38"/>
  <c r="AQI208" i="38"/>
  <c r="AQH208" i="38"/>
  <c r="AQG208" i="38"/>
  <c r="AQF208" i="38"/>
  <c r="AQE208" i="38"/>
  <c r="AQD208" i="38"/>
  <c r="AQC208" i="38"/>
  <c r="AQB208" i="38"/>
  <c r="AQA208" i="38"/>
  <c r="APZ208" i="38"/>
  <c r="APY208" i="38"/>
  <c r="APX208" i="38"/>
  <c r="APW208" i="38"/>
  <c r="APV208" i="38"/>
  <c r="APU208" i="38"/>
  <c r="APT208" i="38"/>
  <c r="APS208" i="38"/>
  <c r="APR208" i="38"/>
  <c r="APQ208" i="38"/>
  <c r="APP208" i="38"/>
  <c r="APO208" i="38"/>
  <c r="APN208" i="38"/>
  <c r="APM208" i="38"/>
  <c r="APL208" i="38"/>
  <c r="APK208" i="38"/>
  <c r="APJ208" i="38"/>
  <c r="API208" i="38"/>
  <c r="APH208" i="38"/>
  <c r="APG208" i="38"/>
  <c r="APF208" i="38"/>
  <c r="APE208" i="38"/>
  <c r="APD208" i="38"/>
  <c r="APC208" i="38"/>
  <c r="APB208" i="38"/>
  <c r="APA208" i="38"/>
  <c r="AOZ208" i="38"/>
  <c r="AOY208" i="38"/>
  <c r="AOX208" i="38"/>
  <c r="AOW208" i="38"/>
  <c r="AOV208" i="38"/>
  <c r="AOU208" i="38"/>
  <c r="AOT208" i="38"/>
  <c r="AOS208" i="38"/>
  <c r="AOR208" i="38"/>
  <c r="AOQ208" i="38"/>
  <c r="AOP208" i="38"/>
  <c r="AOO208" i="38"/>
  <c r="AON208" i="38"/>
  <c r="AOM208" i="38"/>
  <c r="AOL208" i="38"/>
  <c r="AOK208" i="38"/>
  <c r="AOJ208" i="38"/>
  <c r="AOI208" i="38"/>
  <c r="AOH208" i="38"/>
  <c r="AOG208" i="38"/>
  <c r="AOF208" i="38"/>
  <c r="AOE208" i="38"/>
  <c r="AOD208" i="38"/>
  <c r="AOC208" i="38"/>
  <c r="AOB208" i="38"/>
  <c r="AOA208" i="38"/>
  <c r="ANZ208" i="38"/>
  <c r="ANY208" i="38"/>
  <c r="ANX208" i="38"/>
  <c r="ANW208" i="38"/>
  <c r="ANV208" i="38"/>
  <c r="ANU208" i="38"/>
  <c r="ANT208" i="38"/>
  <c r="ANS208" i="38"/>
  <c r="ANR208" i="38"/>
  <c r="ANQ208" i="38"/>
  <c r="ANP208" i="38"/>
  <c r="ANO208" i="38"/>
  <c r="ANN208" i="38"/>
  <c r="ANM208" i="38"/>
  <c r="ANL208" i="38"/>
  <c r="ANK208" i="38"/>
  <c r="ANJ208" i="38"/>
  <c r="ANI208" i="38"/>
  <c r="ANH208" i="38"/>
  <c r="ANG208" i="38"/>
  <c r="ANF208" i="38"/>
  <c r="ANE208" i="38"/>
  <c r="AND208" i="38"/>
  <c r="ANC208" i="38"/>
  <c r="ANB208" i="38"/>
  <c r="ANA208" i="38"/>
  <c r="AMZ208" i="38"/>
  <c r="AMY208" i="38"/>
  <c r="AMX208" i="38"/>
  <c r="AMW208" i="38"/>
  <c r="AMV208" i="38"/>
  <c r="AMU208" i="38"/>
  <c r="AMT208" i="38"/>
  <c r="AMS208" i="38"/>
  <c r="AMR208" i="38"/>
  <c r="AMQ208" i="38"/>
  <c r="AMP208" i="38"/>
  <c r="AMO208" i="38"/>
  <c r="AMN208" i="38"/>
  <c r="AMM208" i="38"/>
  <c r="AML208" i="38"/>
  <c r="AMK208" i="38"/>
  <c r="AMJ208" i="38"/>
  <c r="AMI208" i="38"/>
  <c r="AMH208" i="38"/>
  <c r="AMG208" i="38"/>
  <c r="AMF208" i="38"/>
  <c r="AME208" i="38"/>
  <c r="AMD208" i="38"/>
  <c r="AMC208" i="38"/>
  <c r="AMB208" i="38"/>
  <c r="AMA208" i="38"/>
  <c r="ALZ208" i="38"/>
  <c r="ALY208" i="38"/>
  <c r="ALX208" i="38"/>
  <c r="ALW208" i="38"/>
  <c r="ALV208" i="38"/>
  <c r="ALU208" i="38"/>
  <c r="ALT208" i="38"/>
  <c r="ALS208" i="38"/>
  <c r="ALR208" i="38"/>
  <c r="ALQ208" i="38"/>
  <c r="ALP208" i="38"/>
  <c r="ALO208" i="38"/>
  <c r="ALN208" i="38"/>
  <c r="ALM208" i="38"/>
  <c r="ALL208" i="38"/>
  <c r="ALK208" i="38"/>
  <c r="ALJ208" i="38"/>
  <c r="ALI208" i="38"/>
  <c r="ALH208" i="38"/>
  <c r="ALG208" i="38"/>
  <c r="ALF208" i="38"/>
  <c r="ALE208" i="38"/>
  <c r="ALD208" i="38"/>
  <c r="ALC208" i="38"/>
  <c r="ALB208" i="38"/>
  <c r="ALA208" i="38"/>
  <c r="AKZ208" i="38"/>
  <c r="AKY208" i="38"/>
  <c r="AKX208" i="38"/>
  <c r="AKW208" i="38"/>
  <c r="AKV208" i="38"/>
  <c r="AKU208" i="38"/>
  <c r="AKT208" i="38"/>
  <c r="AKS208" i="38"/>
  <c r="AKR208" i="38"/>
  <c r="AKQ208" i="38"/>
  <c r="AKP208" i="38"/>
  <c r="AKO208" i="38"/>
  <c r="AKN208" i="38"/>
  <c r="AKM208" i="38"/>
  <c r="AKL208" i="38"/>
  <c r="AKK208" i="38"/>
  <c r="AKJ208" i="38"/>
  <c r="AKI208" i="38"/>
  <c r="AKH208" i="38"/>
  <c r="AKG208" i="38"/>
  <c r="AKF208" i="38"/>
  <c r="AKE208" i="38"/>
  <c r="AKD208" i="38"/>
  <c r="AKC208" i="38"/>
  <c r="AKB208" i="38"/>
  <c r="AKA208" i="38"/>
  <c r="AJZ208" i="38"/>
  <c r="AJY208" i="38"/>
  <c r="AJX208" i="38"/>
  <c r="AJW208" i="38"/>
  <c r="AJV208" i="38"/>
  <c r="AJU208" i="38"/>
  <c r="AJT208" i="38"/>
  <c r="AJS208" i="38"/>
  <c r="AJR208" i="38"/>
  <c r="AJQ208" i="38"/>
  <c r="AJP208" i="38"/>
  <c r="AJO208" i="38"/>
  <c r="AJN208" i="38"/>
  <c r="AJM208" i="38"/>
  <c r="AJL208" i="38"/>
  <c r="AJK208" i="38"/>
  <c r="AJJ208" i="38"/>
  <c r="AJI208" i="38"/>
  <c r="AJH208" i="38"/>
  <c r="AJG208" i="38"/>
  <c r="AJF208" i="38"/>
  <c r="AJE208" i="38"/>
  <c r="AJD208" i="38"/>
  <c r="AJC208" i="38"/>
  <c r="AJB208" i="38"/>
  <c r="AJA208" i="38"/>
  <c r="AIZ208" i="38"/>
  <c r="AIY208" i="38"/>
  <c r="AIX208" i="38"/>
  <c r="AIW208" i="38"/>
  <c r="AIV208" i="38"/>
  <c r="AIU208" i="38"/>
  <c r="AIT208" i="38"/>
  <c r="AIS208" i="38"/>
  <c r="AIR208" i="38"/>
  <c r="AIQ208" i="38"/>
  <c r="AIP208" i="38"/>
  <c r="AIO208" i="38"/>
  <c r="AIN208" i="38"/>
  <c r="AIM208" i="38"/>
  <c r="AIL208" i="38"/>
  <c r="AIK208" i="38"/>
  <c r="AIJ208" i="38"/>
  <c r="AII208" i="38"/>
  <c r="AIH208" i="38"/>
  <c r="AIG208" i="38"/>
  <c r="AIF208" i="38"/>
  <c r="AIE208" i="38"/>
  <c r="AID208" i="38"/>
  <c r="AIC208" i="38"/>
  <c r="AIB208" i="38"/>
  <c r="AIA208" i="38"/>
  <c r="AHZ208" i="38"/>
  <c r="AHY208" i="38"/>
  <c r="AHX208" i="38"/>
  <c r="AHW208" i="38"/>
  <c r="AHV208" i="38"/>
  <c r="AHU208" i="38"/>
  <c r="AHT208" i="38"/>
  <c r="AHS208" i="38"/>
  <c r="AHR208" i="38"/>
  <c r="AHQ208" i="38"/>
  <c r="AHP208" i="38"/>
  <c r="AHO208" i="38"/>
  <c r="AHN208" i="38"/>
  <c r="AHM208" i="38"/>
  <c r="AHL208" i="38"/>
  <c r="AHK208" i="38"/>
  <c r="AHJ208" i="38"/>
  <c r="AHI208" i="38"/>
  <c r="AHH208" i="38"/>
  <c r="AHG208" i="38"/>
  <c r="AHF208" i="38"/>
  <c r="AHE208" i="38"/>
  <c r="AHD208" i="38"/>
  <c r="AHC208" i="38"/>
  <c r="AHB208" i="38"/>
  <c r="AHA208" i="38"/>
  <c r="AGZ208" i="38"/>
  <c r="AGY208" i="38"/>
  <c r="AGX208" i="38"/>
  <c r="AGW208" i="38"/>
  <c r="AGV208" i="38"/>
  <c r="AGU208" i="38"/>
  <c r="AGT208" i="38"/>
  <c r="AGS208" i="38"/>
  <c r="AGR208" i="38"/>
  <c r="AGQ208" i="38"/>
  <c r="AGP208" i="38"/>
  <c r="AGO208" i="38"/>
  <c r="AGN208" i="38"/>
  <c r="AGM208" i="38"/>
  <c r="AGL208" i="38"/>
  <c r="AGK208" i="38"/>
  <c r="AGJ208" i="38"/>
  <c r="AGI208" i="38"/>
  <c r="AGH208" i="38"/>
  <c r="AGG208" i="38"/>
  <c r="AGF208" i="38"/>
  <c r="AGE208" i="38"/>
  <c r="AGD208" i="38"/>
  <c r="AGC208" i="38"/>
  <c r="AGB208" i="38"/>
  <c r="AGA208" i="38"/>
  <c r="AFZ208" i="38"/>
  <c r="AFY208" i="38"/>
  <c r="AFX208" i="38"/>
  <c r="AFW208" i="38"/>
  <c r="AFV208" i="38"/>
  <c r="AFU208" i="38"/>
  <c r="AFT208" i="38"/>
  <c r="AFS208" i="38"/>
  <c r="AFR208" i="38"/>
  <c r="AFQ208" i="38"/>
  <c r="AFP208" i="38"/>
  <c r="AFO208" i="38"/>
  <c r="AFN208" i="38"/>
  <c r="AFM208" i="38"/>
  <c r="AFL208" i="38"/>
  <c r="AFK208" i="38"/>
  <c r="AFJ208" i="38"/>
  <c r="AFI208" i="38"/>
  <c r="AFH208" i="38"/>
  <c r="AFG208" i="38"/>
  <c r="AFF208" i="38"/>
  <c r="AFE208" i="38"/>
  <c r="AFD208" i="38"/>
  <c r="AFC208" i="38"/>
  <c r="AFB208" i="38"/>
  <c r="AFA208" i="38"/>
  <c r="AEZ208" i="38"/>
  <c r="AEY208" i="38"/>
  <c r="AEX208" i="38"/>
  <c r="AEW208" i="38"/>
  <c r="AEV208" i="38"/>
  <c r="AEU208" i="38"/>
  <c r="AET208" i="38"/>
  <c r="AES208" i="38"/>
  <c r="AER208" i="38"/>
  <c r="AEQ208" i="38"/>
  <c r="AEP208" i="38"/>
  <c r="AEO208" i="38"/>
  <c r="AEN208" i="38"/>
  <c r="AEM208" i="38"/>
  <c r="AEL208" i="38"/>
  <c r="AEK208" i="38"/>
  <c r="AEJ208" i="38"/>
  <c r="AEI208" i="38"/>
  <c r="AEH208" i="38"/>
  <c r="AEG208" i="38"/>
  <c r="AEF208" i="38"/>
  <c r="AEE208" i="38"/>
  <c r="AED208" i="38"/>
  <c r="AEC208" i="38"/>
  <c r="AEB208" i="38"/>
  <c r="AEA208" i="38"/>
  <c r="ADZ208" i="38"/>
  <c r="ADY208" i="38"/>
  <c r="ADX208" i="38"/>
  <c r="ADW208" i="38"/>
  <c r="ADV208" i="38"/>
  <c r="ADU208" i="38"/>
  <c r="ADT208" i="38"/>
  <c r="ADS208" i="38"/>
  <c r="ADR208" i="38"/>
  <c r="ADQ208" i="38"/>
  <c r="ADP208" i="38"/>
  <c r="ADO208" i="38"/>
  <c r="ADN208" i="38"/>
  <c r="ADM208" i="38"/>
  <c r="ADL208" i="38"/>
  <c r="ADK208" i="38"/>
  <c r="ADJ208" i="38"/>
  <c r="ADI208" i="38"/>
  <c r="ADH208" i="38"/>
  <c r="ADG208" i="38"/>
  <c r="ADF208" i="38"/>
  <c r="ADE208" i="38"/>
  <c r="ADD208" i="38"/>
  <c r="ADC208" i="38"/>
  <c r="ADB208" i="38"/>
  <c r="ADA208" i="38"/>
  <c r="ACZ208" i="38"/>
  <c r="ACY208" i="38"/>
  <c r="ACX208" i="38"/>
  <c r="ACW208" i="38"/>
  <c r="ACV208" i="38"/>
  <c r="ACU208" i="38"/>
  <c r="ACT208" i="38"/>
  <c r="ACS208" i="38"/>
  <c r="ACR208" i="38"/>
  <c r="ACQ208" i="38"/>
  <c r="ACP208" i="38"/>
  <c r="ACO208" i="38"/>
  <c r="ACN208" i="38"/>
  <c r="ACM208" i="38"/>
  <c r="ACL208" i="38"/>
  <c r="ACK208" i="38"/>
  <c r="ACJ208" i="38"/>
  <c r="ACI208" i="38"/>
  <c r="ACH208" i="38"/>
  <c r="ACG208" i="38"/>
  <c r="ACF208" i="38"/>
  <c r="ACE208" i="38"/>
  <c r="ACD208" i="38"/>
  <c r="ACC208" i="38"/>
  <c r="ACB208" i="38"/>
  <c r="ACA208" i="38"/>
  <c r="ABZ208" i="38"/>
  <c r="ABY208" i="38"/>
  <c r="ABX208" i="38"/>
  <c r="ABW208" i="38"/>
  <c r="ABV208" i="38"/>
  <c r="ABU208" i="38"/>
  <c r="ABT208" i="38"/>
  <c r="ABS208" i="38"/>
  <c r="ABR208" i="38"/>
  <c r="ABQ208" i="38"/>
  <c r="ABP208" i="38"/>
  <c r="ABO208" i="38"/>
  <c r="ABN208" i="38"/>
  <c r="ABM208" i="38"/>
  <c r="ABL208" i="38"/>
  <c r="ABK208" i="38"/>
  <c r="ABJ208" i="38"/>
  <c r="ABI208" i="38"/>
  <c r="ABH208" i="38"/>
  <c r="ABG208" i="38"/>
  <c r="ABF208" i="38"/>
  <c r="ABE208" i="38"/>
  <c r="ABD208" i="38"/>
  <c r="ABC208" i="38"/>
  <c r="ABB208" i="38"/>
  <c r="ABA208" i="38"/>
  <c r="AAZ208" i="38"/>
  <c r="AAY208" i="38"/>
  <c r="AAX208" i="38"/>
  <c r="AAW208" i="38"/>
  <c r="AAV208" i="38"/>
  <c r="AAU208" i="38"/>
  <c r="AAT208" i="38"/>
  <c r="AAS208" i="38"/>
  <c r="AAR208" i="38"/>
  <c r="AAQ208" i="38"/>
  <c r="AAP208" i="38"/>
  <c r="AAO208" i="38"/>
  <c r="AAN208" i="38"/>
  <c r="AAM208" i="38"/>
  <c r="AAL208" i="38"/>
  <c r="AAK208" i="38"/>
  <c r="AAJ208" i="38"/>
  <c r="AAI208" i="38"/>
  <c r="AAH208" i="38"/>
  <c r="AAG208" i="38"/>
  <c r="AAF208" i="38"/>
  <c r="AAE208" i="38"/>
  <c r="AAD208" i="38"/>
  <c r="AAC208" i="38"/>
  <c r="AAB208" i="38"/>
  <c r="AAA208" i="38"/>
  <c r="ZZ208" i="38"/>
  <c r="ZY208" i="38"/>
  <c r="ZX208" i="38"/>
  <c r="ZW208" i="38"/>
  <c r="ZV208" i="38"/>
  <c r="ZU208" i="38"/>
  <c r="ZT208" i="38"/>
  <c r="ZS208" i="38"/>
  <c r="ZR208" i="38"/>
  <c r="ZQ208" i="38"/>
  <c r="ZP208" i="38"/>
  <c r="ZO208" i="38"/>
  <c r="ZN208" i="38"/>
  <c r="ZM208" i="38"/>
  <c r="ZL208" i="38"/>
  <c r="ZK208" i="38"/>
  <c r="ZJ208" i="38"/>
  <c r="ZI208" i="38"/>
  <c r="ZH208" i="38"/>
  <c r="ZG208" i="38"/>
  <c r="ZF208" i="38"/>
  <c r="ZE208" i="38"/>
  <c r="ZD208" i="38"/>
  <c r="ZC208" i="38"/>
  <c r="ZB208" i="38"/>
  <c r="ZA208" i="38"/>
  <c r="YZ208" i="38"/>
  <c r="YY208" i="38"/>
  <c r="YX208" i="38"/>
  <c r="YW208" i="38"/>
  <c r="YV208" i="38"/>
  <c r="YU208" i="38"/>
  <c r="YT208" i="38"/>
  <c r="YS208" i="38"/>
  <c r="YR208" i="38"/>
  <c r="YQ208" i="38"/>
  <c r="YP208" i="38"/>
  <c r="YO208" i="38"/>
  <c r="YN208" i="38"/>
  <c r="YM208" i="38"/>
  <c r="YL208" i="38"/>
  <c r="YK208" i="38"/>
  <c r="YJ208" i="38"/>
  <c r="YI208" i="38"/>
  <c r="YH208" i="38"/>
  <c r="YG208" i="38"/>
  <c r="YF208" i="38"/>
  <c r="YE208" i="38"/>
  <c r="YD208" i="38"/>
  <c r="YC208" i="38"/>
  <c r="YB208" i="38"/>
  <c r="YA208" i="38"/>
  <c r="XZ208" i="38"/>
  <c r="XY208" i="38"/>
  <c r="XX208" i="38"/>
  <c r="XW208" i="38"/>
  <c r="XV208" i="38"/>
  <c r="XU208" i="38"/>
  <c r="XT208" i="38"/>
  <c r="XS208" i="38"/>
  <c r="XR208" i="38"/>
  <c r="XQ208" i="38"/>
  <c r="XP208" i="38"/>
  <c r="XO208" i="38"/>
  <c r="XN208" i="38"/>
  <c r="XM208" i="38"/>
  <c r="XL208" i="38"/>
  <c r="XK208" i="38"/>
  <c r="XJ208" i="38"/>
  <c r="XI208" i="38"/>
  <c r="XH208" i="38"/>
  <c r="XG208" i="38"/>
  <c r="XF208" i="38"/>
  <c r="XE208" i="38"/>
  <c r="XD208" i="38"/>
  <c r="XC208" i="38"/>
  <c r="XB208" i="38"/>
  <c r="XA208" i="38"/>
  <c r="WZ208" i="38"/>
  <c r="WY208" i="38"/>
  <c r="WX208" i="38"/>
  <c r="WW208" i="38"/>
  <c r="WV208" i="38"/>
  <c r="WU208" i="38"/>
  <c r="WT208" i="38"/>
  <c r="WS208" i="38"/>
  <c r="WR208" i="38"/>
  <c r="WQ208" i="38"/>
  <c r="WP208" i="38"/>
  <c r="WO208" i="38"/>
  <c r="WN208" i="38"/>
  <c r="WM208" i="38"/>
  <c r="WL208" i="38"/>
  <c r="WK208" i="38"/>
  <c r="WJ208" i="38"/>
  <c r="WI208" i="38"/>
  <c r="WH208" i="38"/>
  <c r="WG208" i="38"/>
  <c r="WF208" i="38"/>
  <c r="WE208" i="38"/>
  <c r="WD208" i="38"/>
  <c r="WC208" i="38"/>
  <c r="WB208" i="38"/>
  <c r="WA208" i="38"/>
  <c r="VZ208" i="38"/>
  <c r="VY208" i="38"/>
  <c r="VX208" i="38"/>
  <c r="VW208" i="38"/>
  <c r="VV208" i="38"/>
  <c r="VU208" i="38"/>
  <c r="VT208" i="38"/>
  <c r="VS208" i="38"/>
  <c r="VR208" i="38"/>
  <c r="VQ208" i="38"/>
  <c r="VP208" i="38"/>
  <c r="VO208" i="38"/>
  <c r="VN208" i="38"/>
  <c r="VM208" i="38"/>
  <c r="VL208" i="38"/>
  <c r="VK208" i="38"/>
  <c r="VJ208" i="38"/>
  <c r="VI208" i="38"/>
  <c r="VH208" i="38"/>
  <c r="VG208" i="38"/>
  <c r="VF208" i="38"/>
  <c r="VE208" i="38"/>
  <c r="VD208" i="38"/>
  <c r="VC208" i="38"/>
  <c r="VB208" i="38"/>
  <c r="VA208" i="38"/>
  <c r="UZ208" i="38"/>
  <c r="UY208" i="38"/>
  <c r="UX208" i="38"/>
  <c r="UW208" i="38"/>
  <c r="UV208" i="38"/>
  <c r="UU208" i="38"/>
  <c r="UT208" i="38"/>
  <c r="US208" i="38"/>
  <c r="UR208" i="38"/>
  <c r="UQ208" i="38"/>
  <c r="UP208" i="38"/>
  <c r="UO208" i="38"/>
  <c r="UN208" i="38"/>
  <c r="UM208" i="38"/>
  <c r="UL208" i="38"/>
  <c r="UK208" i="38"/>
  <c r="UJ208" i="38"/>
  <c r="UI208" i="38"/>
  <c r="UH208" i="38"/>
  <c r="UG208" i="38"/>
  <c r="UF208" i="38"/>
  <c r="UE208" i="38"/>
  <c r="UD208" i="38"/>
  <c r="UC208" i="38"/>
  <c r="UB208" i="38"/>
  <c r="UA208" i="38"/>
  <c r="TZ208" i="38"/>
  <c r="TY208" i="38"/>
  <c r="TX208" i="38"/>
  <c r="TW208" i="38"/>
  <c r="TV208" i="38"/>
  <c r="TU208" i="38"/>
  <c r="TT208" i="38"/>
  <c r="TS208" i="38"/>
  <c r="TR208" i="38"/>
  <c r="TQ208" i="38"/>
  <c r="TP208" i="38"/>
  <c r="TO208" i="38"/>
  <c r="TN208" i="38"/>
  <c r="TM208" i="38"/>
  <c r="TL208" i="38"/>
  <c r="TK208" i="38"/>
  <c r="TJ208" i="38"/>
  <c r="TI208" i="38"/>
  <c r="TH208" i="38"/>
  <c r="TG208" i="38"/>
  <c r="TF208" i="38"/>
  <c r="TE208" i="38"/>
  <c r="TD208" i="38"/>
  <c r="TC208" i="38"/>
  <c r="TB208" i="38"/>
  <c r="TA208" i="38"/>
  <c r="SZ208" i="38"/>
  <c r="SY208" i="38"/>
  <c r="SX208" i="38"/>
  <c r="SW208" i="38"/>
  <c r="SV208" i="38"/>
  <c r="SU208" i="38"/>
  <c r="ST208" i="38"/>
  <c r="SS208" i="38"/>
  <c r="SR208" i="38"/>
  <c r="SQ208" i="38"/>
  <c r="SP208" i="38"/>
  <c r="SO208" i="38"/>
  <c r="SN208" i="38"/>
  <c r="SM208" i="38"/>
  <c r="SL208" i="38"/>
  <c r="SK208" i="38"/>
  <c r="SJ208" i="38"/>
  <c r="SI208" i="38"/>
  <c r="SH208" i="38"/>
  <c r="SG208" i="38"/>
  <c r="SF208" i="38"/>
  <c r="SE208" i="38"/>
  <c r="SD208" i="38"/>
  <c r="SC208" i="38"/>
  <c r="SB208" i="38"/>
  <c r="SA208" i="38"/>
  <c r="RZ208" i="38"/>
  <c r="RY208" i="38"/>
  <c r="RX208" i="38"/>
  <c r="RW208" i="38"/>
  <c r="RV208" i="38"/>
  <c r="RU208" i="38"/>
  <c r="RT208" i="38"/>
  <c r="RS208" i="38"/>
  <c r="RR208" i="38"/>
  <c r="RQ208" i="38"/>
  <c r="RP208" i="38"/>
  <c r="RO208" i="38"/>
  <c r="RN208" i="38"/>
  <c r="RM208" i="38"/>
  <c r="RL208" i="38"/>
  <c r="RK208" i="38"/>
  <c r="RJ208" i="38"/>
  <c r="RI208" i="38"/>
  <c r="RH208" i="38"/>
  <c r="RG208" i="38"/>
  <c r="RF208" i="38"/>
  <c r="RE208" i="38"/>
  <c r="RD208" i="38"/>
  <c r="RC208" i="38"/>
  <c r="RB208" i="38"/>
  <c r="RA208" i="38"/>
  <c r="QZ208" i="38"/>
  <c r="QY208" i="38"/>
  <c r="QX208" i="38"/>
  <c r="QW208" i="38"/>
  <c r="QV208" i="38"/>
  <c r="QU208" i="38"/>
  <c r="QT208" i="38"/>
  <c r="QS208" i="38"/>
  <c r="QR208" i="38"/>
  <c r="QQ208" i="38"/>
  <c r="QP208" i="38"/>
  <c r="QO208" i="38"/>
  <c r="QN208" i="38"/>
  <c r="QM208" i="38"/>
  <c r="QL208" i="38"/>
  <c r="QK208" i="38"/>
  <c r="QJ208" i="38"/>
  <c r="QI208" i="38"/>
  <c r="QH208" i="38"/>
  <c r="QG208" i="38"/>
  <c r="QF208" i="38"/>
  <c r="QE208" i="38"/>
  <c r="QD208" i="38"/>
  <c r="QC208" i="38"/>
  <c r="QB208" i="38"/>
  <c r="QA208" i="38"/>
  <c r="PZ208" i="38"/>
  <c r="PY208" i="38"/>
  <c r="PX208" i="38"/>
  <c r="PW208" i="38"/>
  <c r="PV208" i="38"/>
  <c r="PU208" i="38"/>
  <c r="PT208" i="38"/>
  <c r="PS208" i="38"/>
  <c r="PR208" i="38"/>
  <c r="PQ208" i="38"/>
  <c r="PP208" i="38"/>
  <c r="PO208" i="38"/>
  <c r="PN208" i="38"/>
  <c r="PM208" i="38"/>
  <c r="PL208" i="38"/>
  <c r="PK208" i="38"/>
  <c r="PJ208" i="38"/>
  <c r="PI208" i="38"/>
  <c r="PH208" i="38"/>
  <c r="PG208" i="38"/>
  <c r="PF208" i="38"/>
  <c r="PE208" i="38"/>
  <c r="PD208" i="38"/>
  <c r="PC208" i="38"/>
  <c r="PB208" i="38"/>
  <c r="PA208" i="38"/>
  <c r="OZ208" i="38"/>
  <c r="OY208" i="38"/>
  <c r="OX208" i="38"/>
  <c r="OW208" i="38"/>
  <c r="OV208" i="38"/>
  <c r="OU208" i="38"/>
  <c r="OT208" i="38"/>
  <c r="OS208" i="38"/>
  <c r="OR208" i="38"/>
  <c r="OQ208" i="38"/>
  <c r="OP208" i="38"/>
  <c r="OO208" i="38"/>
  <c r="ON208" i="38"/>
  <c r="OM208" i="38"/>
  <c r="OL208" i="38"/>
  <c r="OK208" i="38"/>
  <c r="OJ208" i="38"/>
  <c r="OI208" i="38"/>
  <c r="OH208" i="38"/>
  <c r="OG208" i="38"/>
  <c r="OF208" i="38"/>
  <c r="OE208" i="38"/>
  <c r="OD208" i="38"/>
  <c r="OC208" i="38"/>
  <c r="OB208" i="38"/>
  <c r="OA208" i="38"/>
  <c r="NZ208" i="38"/>
  <c r="NY208" i="38"/>
  <c r="NX208" i="38"/>
  <c r="NW208" i="38"/>
  <c r="NV208" i="38"/>
  <c r="NU208" i="38"/>
  <c r="NT208" i="38"/>
  <c r="NS208" i="38"/>
  <c r="NR208" i="38"/>
  <c r="NQ208" i="38"/>
  <c r="NP208" i="38"/>
  <c r="NO208" i="38"/>
  <c r="NN208" i="38"/>
  <c r="NM208" i="38"/>
  <c r="NL208" i="38"/>
  <c r="NK208" i="38"/>
  <c r="NJ208" i="38"/>
  <c r="NI208" i="38"/>
  <c r="NH208" i="38"/>
  <c r="NG208" i="38"/>
  <c r="NF208" i="38"/>
  <c r="NE208" i="38"/>
  <c r="ND208" i="38"/>
  <c r="NC208" i="38"/>
  <c r="NB208" i="38"/>
  <c r="NA208" i="38"/>
  <c r="MZ208" i="38"/>
  <c r="MY208" i="38"/>
  <c r="MX208" i="38"/>
  <c r="MW208" i="38"/>
  <c r="MV208" i="38"/>
  <c r="MU208" i="38"/>
  <c r="MT208" i="38"/>
  <c r="MS208" i="38"/>
  <c r="MR208" i="38"/>
  <c r="MQ208" i="38"/>
  <c r="MP208" i="38"/>
  <c r="MO208" i="38"/>
  <c r="MN208" i="38"/>
  <c r="MM208" i="38"/>
  <c r="ML208" i="38"/>
  <c r="MK208" i="38"/>
  <c r="MJ208" i="38"/>
  <c r="MI208" i="38"/>
  <c r="MH208" i="38"/>
  <c r="MG208" i="38"/>
  <c r="MF208" i="38"/>
  <c r="ME208" i="38"/>
  <c r="MD208" i="38"/>
  <c r="MC208" i="38"/>
  <c r="MB208" i="38"/>
  <c r="MA208" i="38"/>
  <c r="LZ208" i="38"/>
  <c r="LY208" i="38"/>
  <c r="LX208" i="38"/>
  <c r="LW208" i="38"/>
  <c r="LV208" i="38"/>
  <c r="LU208" i="38"/>
  <c r="LT208" i="38"/>
  <c r="LS208" i="38"/>
  <c r="LR208" i="38"/>
  <c r="LQ208" i="38"/>
  <c r="LP208" i="38"/>
  <c r="LO208" i="38"/>
  <c r="LN208" i="38"/>
  <c r="LM208" i="38"/>
  <c r="LL208" i="38"/>
  <c r="LK208" i="38"/>
  <c r="LJ208" i="38"/>
  <c r="LI208" i="38"/>
  <c r="LH208" i="38"/>
  <c r="LG208" i="38"/>
  <c r="LF208" i="38"/>
  <c r="LE208" i="38"/>
  <c r="LD208" i="38"/>
  <c r="LC208" i="38"/>
  <c r="LB208" i="38"/>
  <c r="LA208" i="38"/>
  <c r="KZ208" i="38"/>
  <c r="KY208" i="38"/>
  <c r="KX208" i="38"/>
  <c r="KW208" i="38"/>
  <c r="KV208" i="38"/>
  <c r="KU208" i="38"/>
  <c r="KT208" i="38"/>
  <c r="KS208" i="38"/>
  <c r="KR208" i="38"/>
  <c r="KQ208" i="38"/>
  <c r="KP208" i="38"/>
  <c r="KO208" i="38"/>
  <c r="KN208" i="38"/>
  <c r="KM208" i="38"/>
  <c r="KL208" i="38"/>
  <c r="KK208" i="38"/>
  <c r="KJ208" i="38"/>
  <c r="KI208" i="38"/>
  <c r="KH208" i="38"/>
  <c r="KG208" i="38"/>
  <c r="KF208" i="38"/>
  <c r="KE208" i="38"/>
  <c r="KD208" i="38"/>
  <c r="KC208" i="38"/>
  <c r="KB208" i="38"/>
  <c r="KA208" i="38"/>
  <c r="JZ208" i="38"/>
  <c r="JY208" i="38"/>
  <c r="JX208" i="38"/>
  <c r="JW208" i="38"/>
  <c r="JV208" i="38"/>
  <c r="JU208" i="38"/>
  <c r="JT208" i="38"/>
  <c r="JS208" i="38"/>
  <c r="JR208" i="38"/>
  <c r="JQ208" i="38"/>
  <c r="JP208" i="38"/>
  <c r="JO208" i="38"/>
  <c r="JN208" i="38"/>
  <c r="JM208" i="38"/>
  <c r="JL208" i="38"/>
  <c r="JK208" i="38"/>
  <c r="JJ208" i="38"/>
  <c r="JI208" i="38"/>
  <c r="JH208" i="38"/>
  <c r="JG208" i="38"/>
  <c r="JF208" i="38"/>
  <c r="JE208" i="38"/>
  <c r="JD208" i="38"/>
  <c r="JC208" i="38"/>
  <c r="JB208" i="38"/>
  <c r="JA208" i="38"/>
  <c r="IZ208" i="38"/>
  <c r="IY208" i="38"/>
  <c r="IX208" i="38"/>
  <c r="IW208" i="38"/>
  <c r="IV208" i="38"/>
  <c r="IU208" i="38"/>
  <c r="IT208" i="38"/>
  <c r="IS208" i="38"/>
  <c r="IR208" i="38"/>
  <c r="IQ208" i="38"/>
  <c r="IP208" i="38"/>
  <c r="IO208" i="38"/>
  <c r="IN208" i="38"/>
  <c r="IM208" i="38"/>
  <c r="IL208" i="38"/>
  <c r="IK208" i="38"/>
  <c r="IJ208" i="38"/>
  <c r="II208" i="38"/>
  <c r="IH208" i="38"/>
  <c r="IG208" i="38"/>
  <c r="IF208" i="38"/>
  <c r="IE208" i="38"/>
  <c r="ID208" i="38"/>
  <c r="IC208" i="38"/>
  <c r="IB208" i="38"/>
  <c r="IA208" i="38"/>
  <c r="HZ208" i="38"/>
  <c r="HY208" i="38"/>
  <c r="HX208" i="38"/>
  <c r="HW208" i="38"/>
  <c r="HV208" i="38"/>
  <c r="HU208" i="38"/>
  <c r="HT208" i="38"/>
  <c r="HS208" i="38"/>
  <c r="HR208" i="38"/>
  <c r="HQ208" i="38"/>
  <c r="HP208" i="38"/>
  <c r="HO208" i="38"/>
  <c r="HN208" i="38"/>
  <c r="HM208" i="38"/>
  <c r="HL208" i="38"/>
  <c r="HK208" i="38"/>
  <c r="HJ208" i="38"/>
  <c r="HI208" i="38"/>
  <c r="HH208" i="38"/>
  <c r="HG208" i="38"/>
  <c r="HF208" i="38"/>
  <c r="HE208" i="38"/>
  <c r="HD208" i="38"/>
  <c r="HC208" i="38"/>
  <c r="HB208" i="38"/>
  <c r="HA208" i="38"/>
  <c r="GZ208" i="38"/>
  <c r="GY208" i="38"/>
  <c r="GX208" i="38"/>
  <c r="GW208" i="38"/>
  <c r="GV208" i="38"/>
  <c r="GU208" i="38"/>
  <c r="GT208" i="38"/>
  <c r="GS208" i="38"/>
  <c r="GR208" i="38"/>
  <c r="GQ208" i="38"/>
  <c r="GP208" i="38"/>
  <c r="GO208" i="38"/>
  <c r="GN208" i="38"/>
  <c r="GM208" i="38"/>
  <c r="GL208" i="38"/>
  <c r="GK208" i="38"/>
  <c r="GJ208" i="38"/>
  <c r="GI208" i="38"/>
  <c r="GH208" i="38"/>
  <c r="GG208" i="38"/>
  <c r="GF208" i="38"/>
  <c r="GE208" i="38"/>
  <c r="GD208" i="38"/>
  <c r="GC208" i="38"/>
  <c r="GB208" i="38"/>
  <c r="GA208" i="38"/>
  <c r="FZ208" i="38"/>
  <c r="FY208" i="38"/>
  <c r="FX208" i="38"/>
  <c r="FW208" i="38"/>
  <c r="FV208" i="38"/>
  <c r="FU208" i="38"/>
  <c r="FT208" i="38"/>
  <c r="FS208" i="38"/>
  <c r="FR208" i="38"/>
  <c r="FQ208" i="38"/>
  <c r="FP208" i="38"/>
  <c r="FO208" i="38"/>
  <c r="FN208" i="38"/>
  <c r="FM208" i="38"/>
  <c r="FL208" i="38"/>
  <c r="FK208" i="38"/>
  <c r="FJ208" i="38"/>
  <c r="FI208" i="38"/>
  <c r="FH208" i="38"/>
  <c r="FG208" i="38"/>
  <c r="FF208" i="38"/>
  <c r="FE208" i="38"/>
  <c r="FD208" i="38"/>
  <c r="FC208" i="38"/>
  <c r="FB208" i="38"/>
  <c r="FA208" i="38"/>
  <c r="EZ208" i="38"/>
  <c r="EY208" i="38"/>
  <c r="EX208" i="38"/>
  <c r="EW208" i="38"/>
  <c r="EV208" i="38"/>
  <c r="EU208" i="38"/>
  <c r="ET208" i="38"/>
  <c r="ES208" i="38"/>
  <c r="ER208" i="38"/>
  <c r="EQ208" i="38"/>
  <c r="EP208" i="38"/>
  <c r="EO208" i="38"/>
  <c r="EN208" i="38"/>
  <c r="EM208" i="38"/>
  <c r="EL208" i="38"/>
  <c r="EK208" i="38"/>
  <c r="EJ208" i="38"/>
  <c r="EI208" i="38"/>
  <c r="EH208" i="38"/>
  <c r="EG208" i="38"/>
  <c r="EF208" i="38"/>
  <c r="EE208" i="38"/>
  <c r="ED208" i="38"/>
  <c r="EC208" i="38"/>
  <c r="EB208" i="38"/>
  <c r="EA208" i="38"/>
  <c r="DZ208" i="38"/>
  <c r="DY208" i="38"/>
  <c r="DX208" i="38"/>
  <c r="DW208" i="38"/>
  <c r="DV208" i="38"/>
  <c r="DU208" i="38"/>
  <c r="DT208" i="38"/>
  <c r="DS208" i="38"/>
  <c r="DR208" i="38"/>
  <c r="DQ208" i="38"/>
  <c r="DP208" i="38"/>
  <c r="DO208" i="38"/>
  <c r="DN208" i="38"/>
  <c r="DM208" i="38"/>
  <c r="DL208" i="38"/>
  <c r="DK208" i="38"/>
  <c r="DJ208" i="38"/>
  <c r="DI208" i="38"/>
  <c r="DH208" i="38"/>
  <c r="DG208" i="38"/>
  <c r="DF208" i="38"/>
  <c r="DE208" i="38"/>
  <c r="DD208" i="38"/>
  <c r="DC208" i="38"/>
  <c r="DB208" i="38"/>
  <c r="DA208" i="38"/>
  <c r="CZ208" i="38"/>
  <c r="CY208" i="38"/>
  <c r="CX208" i="38"/>
  <c r="CW208" i="38"/>
  <c r="CV208" i="38"/>
  <c r="CU208" i="38"/>
  <c r="CT208" i="38"/>
  <c r="CS208" i="38"/>
  <c r="CR208" i="38"/>
  <c r="CQ208" i="38"/>
  <c r="CP208" i="38"/>
  <c r="CO208" i="38"/>
  <c r="CN208" i="38"/>
  <c r="CM208" i="38"/>
  <c r="CL208" i="38"/>
  <c r="CK208" i="38"/>
  <c r="CJ208" i="38"/>
  <c r="CI208" i="38"/>
  <c r="CH208" i="38"/>
  <c r="CG208" i="38"/>
  <c r="CF208" i="38"/>
  <c r="CE208" i="38"/>
  <c r="CD208" i="38"/>
  <c r="CC208" i="38"/>
  <c r="CB208" i="38"/>
  <c r="CA208" i="38"/>
  <c r="BZ208" i="38"/>
  <c r="BY208" i="38"/>
  <c r="BX208" i="38"/>
  <c r="BW208" i="38"/>
  <c r="BV208" i="38"/>
  <c r="BU208" i="38"/>
  <c r="BT208" i="38"/>
  <c r="BS208" i="38"/>
  <c r="BR208" i="38"/>
  <c r="BQ208" i="38"/>
  <c r="BP208" i="38"/>
  <c r="BO208" i="38"/>
  <c r="BN208" i="38"/>
  <c r="BM208" i="38"/>
  <c r="BL208" i="38"/>
  <c r="BK208" i="38"/>
  <c r="BJ208" i="38"/>
  <c r="BI208" i="38"/>
  <c r="BH208" i="38"/>
  <c r="BG208" i="38"/>
  <c r="BF208" i="38"/>
  <c r="BE208" i="38"/>
  <c r="BD208" i="38"/>
  <c r="BC208" i="38"/>
  <c r="BB208" i="38"/>
  <c r="BA208" i="38"/>
  <c r="AZ208" i="38"/>
  <c r="AY208" i="38"/>
  <c r="AX208" i="38"/>
  <c r="AW208" i="38"/>
  <c r="AV208" i="38"/>
  <c r="AU208" i="38"/>
  <c r="AT208" i="38"/>
  <c r="AS208" i="38"/>
  <c r="AR208" i="38"/>
  <c r="AQ208" i="38"/>
  <c r="AP208" i="38"/>
  <c r="AO208" i="38"/>
  <c r="AN208" i="38"/>
  <c r="AM208" i="38"/>
  <c r="AL208" i="38"/>
  <c r="AK208" i="38"/>
  <c r="AJ208" i="38"/>
  <c r="AI208" i="38"/>
  <c r="AH208" i="38"/>
  <c r="AG208" i="38"/>
  <c r="AF208" i="38"/>
  <c r="AE208" i="38"/>
  <c r="AD208" i="38"/>
  <c r="AC208" i="38"/>
  <c r="AB208" i="38"/>
  <c r="AA208" i="38"/>
  <c r="Z208" i="38"/>
  <c r="Y208" i="38"/>
  <c r="X208" i="38"/>
  <c r="W208" i="38"/>
  <c r="V208" i="38"/>
  <c r="U208" i="38"/>
  <c r="T208" i="38"/>
  <c r="S208" i="38"/>
  <c r="R208" i="38"/>
  <c r="Q208" i="38"/>
  <c r="P208" i="38"/>
  <c r="A208" i="38"/>
  <c r="K196" i="38"/>
  <c r="K195" i="38"/>
  <c r="M190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26" i="38"/>
  <c r="D25" i="38"/>
  <c r="D24" i="38"/>
  <c r="D23" i="38"/>
  <c r="D22" i="38"/>
  <c r="A9" i="50"/>
  <c r="N46" i="65"/>
  <c r="M46" i="65"/>
  <c r="C44" i="65"/>
  <c r="C32" i="65"/>
  <c r="A40" i="38" l="1"/>
  <c r="A47" i="38"/>
  <c r="A48" i="38"/>
  <c r="A41" i="38"/>
  <c r="A46" i="38"/>
  <c r="A43" i="38"/>
  <c r="A42" i="38"/>
  <c r="A45" i="38"/>
  <c r="A44" i="38"/>
  <c r="A28" i="38"/>
  <c r="A30" i="38"/>
  <c r="A35" i="38"/>
  <c r="A32" i="38"/>
  <c r="A38" i="38"/>
  <c r="A37" i="38"/>
  <c r="A36" i="38"/>
  <c r="A31" i="38"/>
  <c r="A34" i="38"/>
  <c r="A29" i="38"/>
  <c r="A39" i="38"/>
  <c r="A27" i="38"/>
  <c r="A33" i="38"/>
  <c r="F45" i="50"/>
  <c r="E45" i="50"/>
  <c r="F44" i="50"/>
  <c r="E44" i="50"/>
  <c r="D45" i="50"/>
  <c r="D44" i="50"/>
  <c r="E70" i="50"/>
  <c r="E69" i="50"/>
  <c r="E68" i="50"/>
  <c r="E67" i="50"/>
  <c r="F39" i="50" l="1"/>
  <c r="E39" i="50"/>
  <c r="F25" i="50"/>
  <c r="F29" i="50"/>
  <c r="E29" i="50"/>
  <c r="E25" i="50"/>
  <c r="F43" i="50"/>
  <c r="F41" i="50"/>
  <c r="F37" i="50"/>
  <c r="F35" i="50"/>
  <c r="F33" i="50"/>
  <c r="F31" i="50"/>
  <c r="F27" i="50"/>
  <c r="F23" i="50"/>
  <c r="F21" i="50"/>
  <c r="E43" i="50"/>
  <c r="E41" i="50"/>
  <c r="E37" i="50"/>
  <c r="E35" i="50"/>
  <c r="E33" i="50"/>
  <c r="E31" i="50"/>
  <c r="E27" i="50"/>
  <c r="E23" i="50"/>
  <c r="E21" i="50"/>
  <c r="F42" i="50"/>
  <c r="F40" i="50"/>
  <c r="F38" i="50"/>
  <c r="F36" i="50"/>
  <c r="F34" i="50"/>
  <c r="F32" i="50"/>
  <c r="F30" i="50"/>
  <c r="F28" i="50"/>
  <c r="F26" i="50"/>
  <c r="F24" i="50"/>
  <c r="F22" i="50"/>
  <c r="E42" i="50"/>
  <c r="E40" i="50"/>
  <c r="E38" i="50"/>
  <c r="E36" i="50"/>
  <c r="E34" i="50"/>
  <c r="E32" i="50"/>
  <c r="E30" i="50"/>
  <c r="E28" i="50"/>
  <c r="E26" i="50"/>
  <c r="E24" i="50"/>
  <c r="E22" i="50"/>
  <c r="P51" i="50"/>
  <c r="H51" i="50"/>
  <c r="Q50" i="50"/>
  <c r="P50" i="50"/>
  <c r="M45" i="50"/>
  <c r="K45" i="50"/>
  <c r="I45" i="50"/>
  <c r="M44" i="50"/>
  <c r="K44" i="50"/>
  <c r="I44" i="50"/>
  <c r="X43" i="50"/>
  <c r="K43" i="50"/>
  <c r="X42" i="50"/>
  <c r="M42" i="50"/>
  <c r="K42" i="50"/>
  <c r="I42" i="50"/>
  <c r="X41" i="50"/>
  <c r="M41" i="50"/>
  <c r="K41" i="50"/>
  <c r="I41" i="50"/>
  <c r="X40" i="50"/>
  <c r="I40" i="50"/>
  <c r="X39" i="50"/>
  <c r="M39" i="50"/>
  <c r="K39" i="50"/>
  <c r="I39" i="50"/>
  <c r="X38" i="50"/>
  <c r="M38" i="50"/>
  <c r="K38" i="50"/>
  <c r="I38" i="50"/>
  <c r="X37" i="50"/>
  <c r="M37" i="50"/>
  <c r="K37" i="50"/>
  <c r="I37" i="50"/>
  <c r="X36" i="50"/>
  <c r="M36" i="50"/>
  <c r="K36" i="50"/>
  <c r="I36" i="50"/>
  <c r="X35" i="50"/>
  <c r="M35" i="50"/>
  <c r="K35" i="50"/>
  <c r="I35" i="50"/>
  <c r="X34" i="50"/>
  <c r="M34" i="50"/>
  <c r="K34" i="50"/>
  <c r="I34" i="50"/>
  <c r="X33" i="50"/>
  <c r="M33" i="50"/>
  <c r="K33" i="50"/>
  <c r="I33" i="50"/>
  <c r="X32" i="50"/>
  <c r="M32" i="50"/>
  <c r="K32" i="50"/>
  <c r="I32" i="50"/>
  <c r="X31" i="50"/>
  <c r="M31" i="50"/>
  <c r="K31" i="50"/>
  <c r="I31" i="50"/>
  <c r="X30" i="50"/>
  <c r="M30" i="50"/>
  <c r="K30" i="50"/>
  <c r="I30" i="50"/>
  <c r="X29" i="50"/>
  <c r="M29" i="50"/>
  <c r="K29" i="50"/>
  <c r="I29" i="50"/>
  <c r="X28" i="50"/>
  <c r="M28" i="50"/>
  <c r="K28" i="50"/>
  <c r="I28" i="50"/>
  <c r="X27" i="50"/>
  <c r="M27" i="50"/>
  <c r="K27" i="50"/>
  <c r="I27" i="50"/>
  <c r="X26" i="50"/>
  <c r="M26" i="50"/>
  <c r="K26" i="50"/>
  <c r="I26" i="50"/>
  <c r="X25" i="50"/>
  <c r="M25" i="50"/>
  <c r="K25" i="50"/>
  <c r="I25" i="50"/>
  <c r="X24" i="50"/>
  <c r="M24" i="50"/>
  <c r="K24" i="50"/>
  <c r="I24" i="50"/>
  <c r="X23" i="50"/>
  <c r="M23" i="50"/>
  <c r="K23" i="50"/>
  <c r="I23" i="50"/>
  <c r="X22" i="50"/>
  <c r="M22" i="50"/>
  <c r="K22" i="50"/>
  <c r="I22" i="50"/>
  <c r="X21" i="50"/>
  <c r="M21" i="50"/>
  <c r="K21" i="50"/>
  <c r="I21" i="50"/>
  <c r="P56" i="50"/>
  <c r="H56" i="50"/>
  <c r="P55" i="50"/>
  <c r="H55" i="50"/>
  <c r="R50" i="50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6" i="38"/>
  <c r="A155" i="38"/>
  <c r="A153" i="38"/>
  <c r="A152" i="38"/>
  <c r="A151" i="38"/>
  <c r="A145" i="38"/>
  <c r="A144" i="38"/>
  <c r="A142" i="38"/>
  <c r="A141" i="38"/>
  <c r="A139" i="38"/>
  <c r="A138" i="38"/>
  <c r="A135" i="38"/>
  <c r="A134" i="38"/>
  <c r="A133" i="38"/>
  <c r="A132" i="38"/>
  <c r="A130" i="38"/>
  <c r="A127" i="38"/>
  <c r="A126" i="38"/>
  <c r="A120" i="38"/>
  <c r="A108" i="38"/>
  <c r="A103" i="38"/>
  <c r="B80" i="38"/>
  <c r="B79" i="38"/>
  <c r="B78" i="38"/>
  <c r="B77" i="38"/>
  <c r="B76" i="38"/>
  <c r="B75" i="38"/>
  <c r="B74" i="38"/>
  <c r="B73" i="38"/>
  <c r="B72" i="38"/>
  <c r="B71" i="38"/>
  <c r="B70" i="38"/>
  <c r="B69" i="38"/>
  <c r="B68" i="38"/>
  <c r="B66" i="38"/>
  <c r="B64" i="38"/>
  <c r="B63" i="38"/>
  <c r="B59" i="38"/>
  <c r="B58" i="38"/>
  <c r="B57" i="38"/>
  <c r="B56" i="38"/>
  <c r="B55" i="38"/>
  <c r="B54" i="38"/>
  <c r="B53" i="38"/>
  <c r="B52" i="38"/>
  <c r="B51" i="38"/>
  <c r="B50" i="38"/>
  <c r="B49" i="38"/>
  <c r="B26" i="38"/>
  <c r="B24" i="38"/>
  <c r="B23" i="38"/>
  <c r="A117" i="38"/>
  <c r="A16" i="50"/>
  <c r="A15" i="50"/>
  <c r="A14" i="50"/>
  <c r="A13" i="50"/>
  <c r="A12" i="50"/>
  <c r="A11" i="50"/>
  <c r="M46" i="62"/>
  <c r="L46" i="62"/>
  <c r="C44" i="62"/>
  <c r="C32" i="62"/>
  <c r="G43" i="50" l="1"/>
  <c r="G32" i="50"/>
  <c r="G36" i="50"/>
  <c r="G28" i="50"/>
  <c r="G31" i="50"/>
  <c r="A92" i="38"/>
  <c r="A70" i="38"/>
  <c r="A66" i="38"/>
  <c r="A114" i="38"/>
  <c r="A23" i="38"/>
  <c r="A76" i="38"/>
  <c r="A87" i="38"/>
  <c r="A118" i="38"/>
  <c r="A100" i="38"/>
  <c r="A22" i="38"/>
  <c r="A88" i="38"/>
  <c r="A60" i="38"/>
  <c r="A93" i="38"/>
  <c r="B22" i="38"/>
  <c r="A83" i="38"/>
  <c r="A75" i="38"/>
  <c r="B60" i="38"/>
  <c r="A51" i="38"/>
  <c r="A157" i="38"/>
  <c r="A150" i="38"/>
  <c r="A147" i="38"/>
  <c r="A140" i="38"/>
  <c r="A129" i="38"/>
  <c r="A123" i="38"/>
  <c r="A113" i="38"/>
  <c r="A106" i="38"/>
  <c r="A79" i="38"/>
  <c r="A72" i="38"/>
  <c r="A63" i="38"/>
  <c r="A125" i="38"/>
  <c r="A136" i="38"/>
  <c r="A52" i="38"/>
  <c r="A69" i="38"/>
  <c r="A146" i="38"/>
  <c r="A109" i="38"/>
  <c r="A102" i="38"/>
  <c r="A97" i="38"/>
  <c r="A81" i="38"/>
  <c r="A67" i="38"/>
  <c r="A105" i="38"/>
  <c r="A149" i="38"/>
  <c r="A99" i="38"/>
  <c r="A154" i="38"/>
  <c r="A128" i="38"/>
  <c r="A122" i="38"/>
  <c r="A111" i="38"/>
  <c r="A96" i="38"/>
  <c r="A90" i="38"/>
  <c r="A73" i="38"/>
  <c r="A53" i="38"/>
  <c r="A95" i="38"/>
  <c r="A78" i="38"/>
  <c r="G34" i="50"/>
  <c r="A62" i="38"/>
  <c r="A84" i="38"/>
  <c r="B62" i="38"/>
  <c r="G35" i="50"/>
  <c r="G40" i="50"/>
  <c r="A56" i="38"/>
  <c r="A25" i="38"/>
  <c r="A24" i="38"/>
  <c r="B25" i="38"/>
  <c r="G27" i="50"/>
  <c r="G24" i="50"/>
  <c r="G26" i="50"/>
  <c r="M43" i="50"/>
  <c r="G44" i="50"/>
  <c r="M40" i="50"/>
  <c r="G41" i="50"/>
  <c r="G42" i="50"/>
  <c r="I43" i="50"/>
  <c r="P44" i="50"/>
  <c r="N44" i="50"/>
  <c r="G39" i="50"/>
  <c r="K40" i="50"/>
  <c r="X45" i="50"/>
  <c r="N45" i="50" s="1"/>
  <c r="G25" i="50"/>
  <c r="G29" i="50"/>
  <c r="G33" i="50"/>
  <c r="G37" i="50"/>
  <c r="G22" i="50"/>
  <c r="G21" i="50"/>
  <c r="R44" i="50"/>
  <c r="G23" i="50"/>
  <c r="G30" i="50"/>
  <c r="G38" i="50"/>
  <c r="G45" i="50"/>
  <c r="A58" i="38"/>
  <c r="A65" i="38"/>
  <c r="A68" i="38"/>
  <c r="B65" i="38"/>
  <c r="B67" i="38"/>
  <c r="A57" i="38"/>
  <c r="A89" i="38"/>
  <c r="A112" i="38"/>
  <c r="A61" i="38"/>
  <c r="A121" i="38"/>
  <c r="A116" i="38"/>
  <c r="A107" i="38"/>
  <c r="A101" i="38"/>
  <c r="A94" i="38"/>
  <c r="A85" i="38"/>
  <c r="A80" i="38"/>
  <c r="B61" i="38"/>
  <c r="A49" i="38"/>
  <c r="A54" i="38"/>
  <c r="A77" i="38"/>
  <c r="A124" i="38"/>
  <c r="A55" i="38"/>
  <c r="A59" i="38"/>
  <c r="A71" i="38"/>
  <c r="A91" i="38"/>
  <c r="A115" i="38"/>
  <c r="A119" i="38"/>
  <c r="A26" i="38"/>
  <c r="A50" i="38"/>
  <c r="A74" i="38"/>
  <c r="A82" i="38"/>
  <c r="A86" i="38"/>
  <c r="A98" i="38"/>
  <c r="A110" i="38"/>
  <c r="A148" i="38"/>
  <c r="B21" i="60"/>
  <c r="C21" i="60" s="1"/>
  <c r="A64" i="38"/>
  <c r="A104" i="38"/>
  <c r="A143" i="38"/>
  <c r="A137" i="38"/>
  <c r="A131" i="38"/>
  <c r="S44" i="50" l="1"/>
  <c r="Q44" i="50"/>
  <c r="O44" i="50"/>
  <c r="P45" i="50"/>
  <c r="Q45" i="50" s="1"/>
  <c r="R45" i="50"/>
  <c r="S45" i="50" s="1"/>
  <c r="O45" i="50"/>
  <c r="B22" i="60"/>
  <c r="C22" i="60" s="1"/>
  <c r="B23" i="60" l="1"/>
  <c r="C23" i="60" s="1"/>
  <c r="B24" i="60" l="1"/>
  <c r="C24" i="60" s="1"/>
  <c r="B25" i="60" l="1"/>
  <c r="C25" i="60" s="1"/>
  <c r="B26" i="60" l="1"/>
  <c r="C26" i="60" s="1"/>
  <c r="B27" i="60" l="1"/>
  <c r="C27" i="60" s="1"/>
  <c r="B28" i="60" l="1"/>
  <c r="C28" i="60" s="1"/>
  <c r="B29" i="60" l="1"/>
  <c r="C29" i="60" s="1"/>
  <c r="B30" i="60" l="1"/>
  <c r="C30" i="60" s="1"/>
  <c r="B31" i="60" l="1"/>
  <c r="C31" i="60" s="1"/>
  <c r="B32" i="60" l="1"/>
  <c r="C32" i="60" s="1"/>
  <c r="B33" i="60" l="1"/>
  <c r="C33" i="60" s="1"/>
  <c r="B34" i="60" l="1"/>
  <c r="C34" i="60" s="1"/>
  <c r="B35" i="60" l="1"/>
  <c r="C35" i="60" s="1"/>
  <c r="B36" i="60" l="1"/>
  <c r="C36" i="60" s="1"/>
  <c r="B37" i="60" l="1"/>
  <c r="C37" i="60" s="1"/>
  <c r="B38" i="60" l="1"/>
  <c r="C38" i="60" s="1"/>
  <c r="B39" i="60" l="1"/>
  <c r="C39" i="60" s="1"/>
  <c r="B40" i="60" l="1"/>
  <c r="C40" i="60" s="1"/>
  <c r="B41" i="60" l="1"/>
  <c r="C41" i="60" s="1"/>
  <c r="B42" i="60" l="1"/>
  <c r="C42" i="60" s="1"/>
  <c r="B43" i="60" l="1"/>
  <c r="C43" i="60" s="1"/>
  <c r="B44" i="60" l="1"/>
  <c r="C44" i="60" s="1"/>
  <c r="B45" i="60" l="1"/>
  <c r="C45" i="60" s="1"/>
  <c r="B46" i="60" l="1"/>
  <c r="C46" i="60" s="1"/>
  <c r="B47" i="60" l="1"/>
  <c r="C47" i="60" s="1"/>
  <c r="B48" i="60" l="1"/>
  <c r="C48" i="60" s="1"/>
  <c r="B49" i="60" l="1"/>
  <c r="C49" i="60" s="1"/>
  <c r="B50" i="60" l="1"/>
  <c r="C50" i="60" s="1"/>
  <c r="B51" i="60" l="1"/>
  <c r="C51" i="60" s="1"/>
  <c r="B52" i="60" l="1"/>
  <c r="C52" i="60" s="1"/>
  <c r="B53" i="60" l="1"/>
  <c r="C53" i="60" s="1"/>
  <c r="B54" i="60" l="1"/>
  <c r="C54" i="60" s="1"/>
  <c r="B55" i="60" l="1"/>
  <c r="C55" i="60" s="1"/>
  <c r="B56" i="60" l="1"/>
  <c r="C56" i="60" s="1"/>
  <c r="B57" i="60" l="1"/>
  <c r="C57" i="60" s="1"/>
  <c r="B58" i="60" l="1"/>
  <c r="C58" i="60" s="1"/>
  <c r="B59" i="60" l="1"/>
  <c r="C59" i="60" s="1"/>
  <c r="B60" i="60" l="1"/>
  <c r="C60" i="60" s="1"/>
  <c r="B61" i="60" l="1"/>
  <c r="C61" i="60" s="1"/>
  <c r="B62" i="60" l="1"/>
  <c r="C62" i="60" s="1"/>
  <c r="B63" i="60" l="1"/>
  <c r="C63" i="60" s="1"/>
  <c r="B64" i="60" l="1"/>
  <c r="C64" i="60" s="1"/>
  <c r="B65" i="60" l="1"/>
  <c r="C65" i="60" s="1"/>
  <c r="B66" i="60" l="1"/>
  <c r="C66" i="60" s="1"/>
  <c r="B67" i="60" l="1"/>
  <c r="C67" i="60" s="1"/>
  <c r="B68" i="60" l="1"/>
  <c r="C68" i="60" s="1"/>
  <c r="B69" i="60" l="1"/>
  <c r="C69" i="60" s="1"/>
  <c r="B70" i="60" l="1"/>
  <c r="C70" i="60" s="1"/>
  <c r="B71" i="60" l="1"/>
  <c r="C71" i="60" s="1"/>
  <c r="B72" i="60" l="1"/>
  <c r="C72" i="60" s="1"/>
  <c r="B73" i="60" l="1"/>
  <c r="C73" i="60" s="1"/>
  <c r="B74" i="60" l="1"/>
  <c r="C74" i="60" s="1"/>
  <c r="B75" i="60" l="1"/>
  <c r="C75" i="60" s="1"/>
  <c r="B76" i="60" l="1"/>
  <c r="C76" i="60" s="1"/>
  <c r="B77" i="60" l="1"/>
  <c r="C77" i="60" s="1"/>
  <c r="B78" i="60" l="1"/>
  <c r="C78" i="60" s="1"/>
  <c r="B79" i="60" l="1"/>
  <c r="C79" i="60" s="1"/>
  <c r="B80" i="60" l="1"/>
  <c r="C80" i="60" s="1"/>
  <c r="B81" i="60" l="1"/>
  <c r="C81" i="60" s="1"/>
  <c r="B82" i="60" l="1"/>
  <c r="C82" i="60" s="1"/>
  <c r="B83" i="60" l="1"/>
  <c r="C83" i="60" s="1"/>
  <c r="B84" i="60" l="1"/>
  <c r="C84" i="60" s="1"/>
  <c r="B85" i="60" l="1"/>
  <c r="C85" i="60" s="1"/>
  <c r="B86" i="60" l="1"/>
  <c r="C86" i="60" s="1"/>
  <c r="B87" i="60" l="1"/>
  <c r="C87" i="60" s="1"/>
  <c r="B88" i="60" l="1"/>
  <c r="C88" i="60" s="1"/>
  <c r="B89" i="60" l="1"/>
  <c r="C89" i="60" s="1"/>
  <c r="B90" i="60" l="1"/>
  <c r="C90" i="60" s="1"/>
  <c r="B91" i="60" l="1"/>
  <c r="C91" i="60" s="1"/>
  <c r="B92" i="60" l="1"/>
  <c r="C92" i="60" s="1"/>
  <c r="B93" i="60" l="1"/>
  <c r="C93" i="60" s="1"/>
  <c r="B94" i="60" l="1"/>
  <c r="C94" i="60" s="1"/>
  <c r="B95" i="60" l="1"/>
  <c r="C95" i="60" s="1"/>
  <c r="B96" i="60" l="1"/>
  <c r="C96" i="60" s="1"/>
  <c r="B97" i="60" l="1"/>
  <c r="C97" i="60" s="1"/>
  <c r="B98" i="60" l="1"/>
  <c r="C98" i="60" s="1"/>
  <c r="B99" i="60" l="1"/>
  <c r="C99" i="60" s="1"/>
  <c r="B100" i="60" l="1"/>
  <c r="C100" i="60" s="1"/>
  <c r="B101" i="60" l="1"/>
  <c r="C101" i="60" s="1"/>
  <c r="B102" i="60" l="1"/>
  <c r="C102" i="60" s="1"/>
  <c r="B103" i="60" l="1"/>
  <c r="C103" i="60" s="1"/>
  <c r="B104" i="60" l="1"/>
  <c r="C104" i="60" s="1"/>
  <c r="B105" i="60" l="1"/>
  <c r="C105" i="60" s="1"/>
  <c r="B106" i="60" l="1"/>
  <c r="C106" i="60" s="1"/>
  <c r="B107" i="60" l="1"/>
  <c r="C107" i="60" s="1"/>
  <c r="B108" i="60" l="1"/>
  <c r="C108" i="60" s="1"/>
  <c r="B109" i="60" l="1"/>
  <c r="C109" i="60" s="1"/>
  <c r="B110" i="60" l="1"/>
  <c r="C110" i="60" s="1"/>
  <c r="B111" i="60" l="1"/>
  <c r="C111" i="60" s="1"/>
  <c r="B112" i="60" l="1"/>
  <c r="C112" i="60" s="1"/>
  <c r="B113" i="60" l="1"/>
  <c r="C113" i="60" s="1"/>
  <c r="B114" i="60" l="1"/>
  <c r="C114" i="60" s="1"/>
  <c r="B115" i="60" l="1"/>
  <c r="C115" i="60" s="1"/>
  <c r="B116" i="60" l="1"/>
  <c r="C116" i="60" s="1"/>
  <c r="B117" i="60" l="1"/>
  <c r="C117" i="60" s="1"/>
  <c r="B118" i="60" l="1"/>
  <c r="C118" i="60" s="1"/>
  <c r="B119" i="60" l="1"/>
  <c r="C119" i="60" s="1"/>
  <c r="B120" i="60" l="1"/>
  <c r="C120" i="60" s="1"/>
  <c r="B121" i="60" l="1"/>
  <c r="C121" i="60" s="1"/>
  <c r="B122" i="60" l="1"/>
  <c r="C122" i="60" s="1"/>
  <c r="B123" i="60" l="1"/>
  <c r="C123" i="60" s="1"/>
  <c r="B124" i="60" l="1"/>
  <c r="C124" i="60" s="1"/>
  <c r="B125" i="60" l="1"/>
  <c r="C125" i="60" s="1"/>
  <c r="B126" i="60" l="1"/>
  <c r="C126" i="60" s="1"/>
  <c r="B127" i="60" l="1"/>
  <c r="C127" i="60" s="1"/>
  <c r="B128" i="60" l="1"/>
  <c r="C128" i="60" s="1"/>
  <c r="B129" i="60" l="1"/>
  <c r="C129" i="60" s="1"/>
  <c r="B130" i="60" l="1"/>
  <c r="C130" i="60" s="1"/>
  <c r="B131" i="60" l="1"/>
  <c r="C131" i="60" s="1"/>
  <c r="B132" i="60" l="1"/>
  <c r="C132" i="60" s="1"/>
  <c r="B133" i="60" l="1"/>
  <c r="C133" i="60" s="1"/>
  <c r="B134" i="60" l="1"/>
  <c r="C134" i="60" s="1"/>
  <c r="B135" i="60" l="1"/>
  <c r="C135" i="60" s="1"/>
  <c r="B136" i="60" l="1"/>
  <c r="C136" i="60" s="1"/>
  <c r="B137" i="60" l="1"/>
  <c r="C137" i="60" s="1"/>
  <c r="B138" i="60" l="1"/>
  <c r="C138" i="60" s="1"/>
  <c r="B139" i="60" l="1"/>
  <c r="C139" i="60" s="1"/>
  <c r="B140" i="60" l="1"/>
  <c r="C140" i="60" s="1"/>
  <c r="B141" i="60" l="1"/>
  <c r="C141" i="60" s="1"/>
  <c r="B142" i="60" l="1"/>
  <c r="C142" i="60" s="1"/>
  <c r="B143" i="60" l="1"/>
  <c r="C143" i="60" s="1"/>
  <c r="B144" i="60" l="1"/>
  <c r="C144" i="60" s="1"/>
  <c r="B145" i="60" l="1"/>
  <c r="C145" i="60" s="1"/>
  <c r="B146" i="60" l="1"/>
  <c r="C146" i="60" s="1"/>
  <c r="B147" i="60" l="1"/>
  <c r="C147" i="60" s="1"/>
  <c r="B148" i="60" l="1"/>
  <c r="C148" i="60" s="1"/>
  <c r="B149" i="60" l="1"/>
  <c r="C149" i="60" s="1"/>
  <c r="B150" i="60" l="1"/>
  <c r="C150" i="60" s="1"/>
  <c r="B151" i="60" l="1"/>
  <c r="C151" i="60" s="1"/>
  <c r="B152" i="60" l="1"/>
  <c r="C152" i="60" s="1"/>
  <c r="B153" i="60" l="1"/>
  <c r="C153" i="60" s="1"/>
  <c r="B154" i="60" l="1"/>
  <c r="C154" i="60" s="1"/>
  <c r="B155" i="60" l="1"/>
  <c r="C155" i="60" s="1"/>
  <c r="B156" i="60" l="1"/>
  <c r="C156" i="60" s="1"/>
  <c r="B157" i="60" l="1"/>
  <c r="C157" i="60" s="1"/>
  <c r="B158" i="60" l="1"/>
  <c r="C158" i="60" s="1"/>
  <c r="B159" i="60" l="1"/>
  <c r="C159" i="60" s="1"/>
  <c r="B160" i="60" l="1"/>
  <c r="C160" i="60" s="1"/>
  <c r="B161" i="60" l="1"/>
  <c r="C161" i="60" s="1"/>
  <c r="B162" i="60" l="1"/>
  <c r="C162" i="60" s="1"/>
  <c r="B163" i="60" l="1"/>
  <c r="C163" i="60" s="1"/>
  <c r="B164" i="60" l="1"/>
  <c r="C164" i="60" s="1"/>
  <c r="B165" i="60" l="1"/>
  <c r="C165" i="60" s="1"/>
  <c r="B166" i="60" l="1"/>
  <c r="C166" i="60" s="1"/>
  <c r="B167" i="60" l="1"/>
  <c r="C167" i="60" s="1"/>
  <c r="B168" i="60" l="1"/>
  <c r="C168" i="60" s="1"/>
  <c r="B169" i="60" l="1"/>
  <c r="C169" i="60" s="1"/>
  <c r="B170" i="60" l="1"/>
  <c r="C170" i="60" s="1"/>
  <c r="B171" i="60" l="1"/>
  <c r="C171" i="60" s="1"/>
  <c r="B172" i="60" l="1"/>
  <c r="C172" i="60" s="1"/>
  <c r="B173" i="60" l="1"/>
  <c r="C173" i="60" s="1"/>
  <c r="B174" i="60" l="1"/>
  <c r="C174" i="60" s="1"/>
  <c r="B175" i="60" l="1"/>
  <c r="C175" i="60" s="1"/>
  <c r="B176" i="60" l="1"/>
  <c r="C176" i="60" s="1"/>
  <c r="B177" i="60" l="1"/>
  <c r="C177" i="60" s="1"/>
  <c r="B178" i="60" l="1"/>
  <c r="C178" i="60" s="1"/>
  <c r="B179" i="60" l="1"/>
  <c r="C179" i="60" s="1"/>
  <c r="B180" i="60" l="1"/>
  <c r="C180" i="60" s="1"/>
  <c r="B181" i="60" l="1"/>
  <c r="C181" i="60" s="1"/>
  <c r="B182" i="60" l="1"/>
  <c r="C182" i="60" s="1"/>
  <c r="B183" i="60" l="1"/>
  <c r="C183" i="60" s="1"/>
  <c r="B184" i="60" l="1"/>
  <c r="C184" i="60" s="1"/>
  <c r="B185" i="60" l="1"/>
  <c r="C185" i="60" s="1"/>
  <c r="B186" i="60" l="1"/>
  <c r="C186" i="60" s="1"/>
  <c r="B187" i="60" l="1"/>
  <c r="C187" i="60" s="1"/>
  <c r="B188" i="60" l="1"/>
  <c r="C188" i="60" s="1"/>
  <c r="R39" i="50" l="1"/>
  <c r="S39" i="50" s="1"/>
  <c r="P42" i="50"/>
  <c r="Q42" i="50" s="1"/>
  <c r="P25" i="50"/>
  <c r="Q25" i="50" s="1"/>
  <c r="R22" i="50"/>
  <c r="S22" i="50" s="1"/>
  <c r="N23" i="50"/>
  <c r="O23" i="50" s="1"/>
  <c r="N38" i="50"/>
  <c r="O38" i="50" s="1"/>
  <c r="P26" i="50"/>
  <c r="Q26" i="50" s="1"/>
  <c r="R28" i="50"/>
  <c r="S28" i="50" s="1"/>
  <c r="N42" i="50"/>
  <c r="O42" i="50" s="1"/>
  <c r="P33" i="50"/>
  <c r="Q33" i="50" s="1"/>
  <c r="N33" i="50"/>
  <c r="O33" i="50" s="1"/>
  <c r="R27" i="50"/>
  <c r="S27" i="50" s="1"/>
  <c r="P32" i="50"/>
  <c r="Q32" i="50" s="1"/>
  <c r="P31" i="50"/>
  <c r="Q31" i="50" s="1"/>
  <c r="P40" i="50"/>
  <c r="Q40" i="50" s="1"/>
  <c r="N25" i="50"/>
  <c r="O25" i="50" s="1"/>
  <c r="R30" i="50"/>
  <c r="S30" i="50" s="1"/>
  <c r="R41" i="50"/>
  <c r="S41" i="50" s="1"/>
  <c r="N36" i="50"/>
  <c r="O36" i="50" s="1"/>
  <c r="N28" i="50"/>
  <c r="O28" i="50" s="1"/>
  <c r="N39" i="50"/>
  <c r="O39" i="50" s="1"/>
  <c r="N35" i="50"/>
  <c r="O35" i="50" s="1"/>
  <c r="N40" i="50"/>
  <c r="O40" i="50" s="1"/>
  <c r="N32" i="50"/>
  <c r="O32" i="50" s="1"/>
  <c r="N21" i="50"/>
  <c r="O21" i="50" s="1"/>
  <c r="P41" i="50"/>
  <c r="Q41" i="50" s="1"/>
  <c r="N34" i="50"/>
  <c r="O34" i="50" s="1"/>
  <c r="N27" i="50"/>
  <c r="O27" i="50" s="1"/>
  <c r="N37" i="50"/>
  <c r="O37" i="50" s="1"/>
  <c r="R43" i="50"/>
  <c r="S43" i="50" s="1"/>
  <c r="R24" i="50"/>
  <c r="S24" i="50" s="1"/>
  <c r="R36" i="50"/>
  <c r="S36" i="50" s="1"/>
  <c r="R35" i="50"/>
  <c r="S35" i="50" s="1"/>
  <c r="R26" i="50"/>
  <c r="S26" i="50" s="1"/>
  <c r="R37" i="50"/>
  <c r="S37" i="50" s="1"/>
  <c r="N22" i="50"/>
  <c r="O22" i="50" s="1"/>
  <c r="N43" i="50"/>
  <c r="O43" i="50" s="1"/>
  <c r="P27" i="50"/>
  <c r="Q27" i="50" s="1"/>
  <c r="P30" i="50"/>
  <c r="Q30" i="50" s="1"/>
  <c r="R40" i="50"/>
  <c r="S40" i="50" s="1"/>
  <c r="R21" i="50"/>
  <c r="S21" i="50" s="1"/>
  <c r="P24" i="50"/>
  <c r="Q24" i="50" s="1"/>
  <c r="R34" i="50"/>
  <c r="S34" i="50" s="1"/>
  <c r="R23" i="50"/>
  <c r="S23" i="50" s="1"/>
  <c r="P38" i="50"/>
  <c r="Q38" i="50" s="1"/>
  <c r="P22" i="50"/>
  <c r="Q22" i="50" s="1"/>
  <c r="R29" i="50"/>
  <c r="S29" i="50" s="1"/>
  <c r="N26" i="50"/>
  <c r="O26" i="50" s="1"/>
  <c r="R38" i="50"/>
  <c r="S38" i="50" s="1"/>
  <c r="R33" i="50"/>
  <c r="S33" i="50" s="1"/>
  <c r="N41" i="50"/>
  <c r="O41" i="50" s="1"/>
  <c r="P37" i="50"/>
  <c r="Q37" i="50" s="1"/>
  <c r="N29" i="50"/>
  <c r="O29" i="50" s="1"/>
  <c r="P23" i="50"/>
  <c r="Q23" i="50" s="1"/>
  <c r="N24" i="50"/>
  <c r="O24" i="50" s="1"/>
  <c r="R32" i="50"/>
  <c r="S32" i="50" s="1"/>
  <c r="R42" i="50"/>
  <c r="S42" i="50" s="1"/>
  <c r="P43" i="50"/>
  <c r="Q43" i="50" s="1"/>
  <c r="P35" i="50"/>
  <c r="Q35" i="50" s="1"/>
  <c r="P28" i="50"/>
  <c r="Q28" i="50" s="1"/>
  <c r="P39" i="50"/>
  <c r="Q39" i="50" s="1"/>
  <c r="N31" i="50"/>
  <c r="O31" i="50" s="1"/>
  <c r="N30" i="50"/>
  <c r="O30" i="50" s="1"/>
  <c r="P36" i="50"/>
  <c r="Q36" i="50" s="1"/>
  <c r="P34" i="50"/>
  <c r="Q34" i="50" s="1"/>
  <c r="R25" i="50"/>
  <c r="S25" i="50" s="1"/>
  <c r="P21" i="50"/>
  <c r="Q21" i="50" s="1"/>
  <c r="R31" i="50"/>
  <c r="S31" i="50" s="1"/>
  <c r="P29" i="50"/>
  <c r="Q29" i="50" s="1"/>
</calcChain>
</file>

<file path=xl/sharedStrings.xml><?xml version="1.0" encoding="utf-8"?>
<sst xmlns="http://schemas.openxmlformats.org/spreadsheetml/2006/main" count="858" uniqueCount="235">
  <si>
    <t>IDENTITAS GURU</t>
  </si>
  <si>
    <t>Nama Guru</t>
  </si>
  <si>
    <t>NIP</t>
  </si>
  <si>
    <t>No Sertifikasi</t>
  </si>
  <si>
    <t>Pangkat/Gol Ruang</t>
  </si>
  <si>
    <t>Pendidikan</t>
  </si>
  <si>
    <t>Status Guru</t>
  </si>
  <si>
    <t>LAPORAN KEGIATAN GURU DAN DATA MURID</t>
  </si>
  <si>
    <t>WAJIB MENGAJAR TIAP MINGGU</t>
  </si>
  <si>
    <t>HARI</t>
  </si>
  <si>
    <t>JAM KE-</t>
  </si>
  <si>
    <t>JUMLAH MURID</t>
  </si>
  <si>
    <t>L</t>
  </si>
  <si>
    <t>P</t>
  </si>
  <si>
    <t>KELAS</t>
  </si>
  <si>
    <t>PRESENTASI GURU</t>
  </si>
  <si>
    <t>IDENTITAS MADRASAH</t>
  </si>
  <si>
    <t>Nama Madrasah</t>
  </si>
  <si>
    <t>Alamat Madrasah</t>
  </si>
  <si>
    <t>Jumlah Ruang Kelas</t>
  </si>
  <si>
    <t>Status Madrasah</t>
  </si>
  <si>
    <t>Internet</t>
  </si>
  <si>
    <t>KET</t>
  </si>
  <si>
    <t>Kepala Madrasah</t>
  </si>
  <si>
    <t>Mengetahui</t>
  </si>
  <si>
    <t>Pengawas Madrasah</t>
  </si>
  <si>
    <t>SENIN</t>
  </si>
  <si>
    <t>SELASA</t>
  </si>
  <si>
    <t>RABU</t>
  </si>
  <si>
    <t>KAMIS</t>
  </si>
  <si>
    <t>SABTU</t>
  </si>
  <si>
    <t>EKSTRA</t>
  </si>
  <si>
    <t>VII A</t>
  </si>
  <si>
    <t>VII B</t>
  </si>
  <si>
    <t>VII C</t>
  </si>
  <si>
    <t>VIII A</t>
  </si>
  <si>
    <t>VIII B</t>
  </si>
  <si>
    <t>VIII C</t>
  </si>
  <si>
    <t>EKSTRAKURIKULER</t>
  </si>
  <si>
    <t>IX  A</t>
  </si>
  <si>
    <t>IX  B</t>
  </si>
  <si>
    <t>IX  C</t>
  </si>
  <si>
    <t>DATA UMUM</t>
  </si>
  <si>
    <t>JULI</t>
  </si>
  <si>
    <t>AGUSTUS</t>
  </si>
  <si>
    <t>Terakreditasi A</t>
  </si>
  <si>
    <t>Ada</t>
  </si>
  <si>
    <t>JUMLAH</t>
  </si>
  <si>
    <t>X</t>
  </si>
  <si>
    <t>Sakit</t>
  </si>
  <si>
    <t>%</t>
  </si>
  <si>
    <t>Izin</t>
  </si>
  <si>
    <t>Alpa</t>
  </si>
  <si>
    <t xml:space="preserve">Paser, </t>
  </si>
  <si>
    <t>Pengali</t>
  </si>
  <si>
    <t>SEPTEMBER</t>
  </si>
  <si>
    <t>NOVEMBER</t>
  </si>
  <si>
    <t>DESEMBER</t>
  </si>
  <si>
    <t>OKTOBER</t>
  </si>
  <si>
    <t>JML</t>
  </si>
  <si>
    <t>PRESENTASI SISWA</t>
  </si>
  <si>
    <t>Penata Muda (III/a)</t>
  </si>
  <si>
    <t>Penata Muda Tingkat I (III/b)</t>
  </si>
  <si>
    <t>Penata Tingkat I (III/d)</t>
  </si>
  <si>
    <t>Pembina (IV/a)</t>
  </si>
  <si>
    <t>Pembina Tingkat I (IV/b)</t>
  </si>
  <si>
    <t>Pembina Utama Muda (IV/c)</t>
  </si>
  <si>
    <t>Pembina Utama Madya (IV/d)</t>
  </si>
  <si>
    <t>Pembina Utama (IV/e)</t>
  </si>
  <si>
    <t>Kelas</t>
  </si>
  <si>
    <t>No</t>
  </si>
  <si>
    <t>Hari</t>
  </si>
  <si>
    <t>Hari/Tanggal</t>
  </si>
  <si>
    <t>Mata Pelajaran</t>
  </si>
  <si>
    <t>Absensi</t>
  </si>
  <si>
    <t>S</t>
  </si>
  <si>
    <t>I</t>
  </si>
  <si>
    <t>A</t>
  </si>
  <si>
    <t>Hasil</t>
  </si>
  <si>
    <t>Vol</t>
  </si>
  <si>
    <t>Ket</t>
  </si>
  <si>
    <t>1.</t>
  </si>
  <si>
    <t>JANUARI</t>
  </si>
  <si>
    <t>FEBRUARI</t>
  </si>
  <si>
    <t>MARET</t>
  </si>
  <si>
    <t>APRIL</t>
  </si>
  <si>
    <t>MEI</t>
  </si>
  <si>
    <t>JUNI</t>
  </si>
  <si>
    <t>Guru Mata Pelajaran,</t>
  </si>
  <si>
    <t>Ahmad Syafi'i Badar,S.Pd.I</t>
  </si>
  <si>
    <t>H.Najimuddin,S.Ag.</t>
  </si>
  <si>
    <t>196411191994031003</t>
  </si>
  <si>
    <t>MTs. AL IHSAN TANAH GROGOT</t>
  </si>
  <si>
    <t>Jl. Cendrawasih RT. 04 Desa Senaken Tanah Grogot</t>
  </si>
  <si>
    <t>YAYASAN AL – IHSAN AL ISLAMI</t>
  </si>
  <si>
    <t>MTs.  AL  IHSAN TANAH GROGOT</t>
  </si>
  <si>
    <t xml:space="preserve"> NPSN : 30410000                                  NSM : 12.12.64.01.0002</t>
  </si>
  <si>
    <t xml:space="preserve"> Alamat : Jl. Senaken Ds. Senaken RT. IV Tanah Grogot Kab. Paser - Kalimantan Timur  76211</t>
  </si>
  <si>
    <t>Telp. 0543-5236320 e-mail: mtsalihsan__senaken@yahoo.com</t>
  </si>
  <si>
    <t>-</t>
  </si>
  <si>
    <t>TABEL REFERENSI DROP DOWN MENU</t>
  </si>
  <si>
    <t>Jam ke-</t>
  </si>
  <si>
    <t>IX A</t>
  </si>
  <si>
    <t>IX B</t>
  </si>
  <si>
    <t>IX C</t>
  </si>
  <si>
    <t>JUMAT</t>
  </si>
  <si>
    <t>Tgl Bulan Tahun</t>
  </si>
  <si>
    <t>Kepala Madrasah :</t>
  </si>
  <si>
    <t>Pengawas Madrasah :</t>
  </si>
  <si>
    <t>NIP                             :</t>
  </si>
  <si>
    <t>NIP                                   :</t>
  </si>
  <si>
    <t>WAKTU LAPORAN</t>
  </si>
  <si>
    <t>TAHUN PELAJARAN</t>
  </si>
  <si>
    <t>TINGKAT 7</t>
  </si>
  <si>
    <t>TINGKAT 8</t>
  </si>
  <si>
    <t>TINGKAT 9</t>
  </si>
  <si>
    <t>Nurlailatul Hasanah, S.Ag</t>
  </si>
  <si>
    <t>197311272005012002</t>
  </si>
  <si>
    <t>S.1 Tarbiyah</t>
  </si>
  <si>
    <t>Sejarah Kebudayaan Islam dan Akidah Akhlak</t>
  </si>
  <si>
    <t>2111423801163</t>
  </si>
  <si>
    <t>Terlaksana</t>
  </si>
  <si>
    <t>1 Keg</t>
  </si>
  <si>
    <t>aquila alfazza</t>
  </si>
  <si>
    <t>PETUNJUK PENGGUNAAN DAPAT DIBACA DI SINI</t>
  </si>
  <si>
    <t xml:space="preserve">  IDENTITAS MADRASAH</t>
  </si>
  <si>
    <r>
      <t xml:space="preserve">No </t>
    </r>
    <r>
      <rPr>
        <sz val="10"/>
        <color theme="1"/>
        <rFont val="Times New Roman"/>
        <family val="1"/>
      </rPr>
      <t>KI/KD</t>
    </r>
  </si>
  <si>
    <t xml:space="preserve">JUMLAH JAM </t>
  </si>
  <si>
    <t>VII D</t>
  </si>
  <si>
    <t>pramua</t>
  </si>
  <si>
    <t>apa ya</t>
  </si>
  <si>
    <t>VIII D</t>
  </si>
  <si>
    <t>VII E</t>
  </si>
  <si>
    <t>12 (Dua Belas)</t>
  </si>
  <si>
    <t>JURNAL MENGAJAR DAN LAPORAN KINERJA HARIAN</t>
  </si>
  <si>
    <t>2022</t>
  </si>
  <si>
    <t>Kelas/Ekskul</t>
  </si>
  <si>
    <t>Kegiatan/Materi</t>
  </si>
  <si>
    <t>2022/2023</t>
  </si>
  <si>
    <t>VIII E</t>
  </si>
  <si>
    <t>IX D</t>
  </si>
  <si>
    <t>Kepala Madrasah                      :</t>
  </si>
  <si>
    <t>NIP                                                :</t>
  </si>
  <si>
    <t>Pengawas Madrasah               :</t>
  </si>
  <si>
    <t>Pangkat penata muda, golongan III/a</t>
  </si>
  <si>
    <t>Pangkat penata muda tingkat I, golongan III/b</t>
  </si>
  <si>
    <t>Pangkat penata, golongan III/c</t>
  </si>
  <si>
    <t>Pangkat penata tingkat I, golongan III/d</t>
  </si>
  <si>
    <t>Pangkat pembina, golongan IV/a</t>
  </si>
  <si>
    <t>Pangkat pembina tingkat I, golongan IV/b</t>
  </si>
  <si>
    <t>Pangkat pembina utama muda, golongan IV/c</t>
  </si>
  <si>
    <t>Pangkat pembina utama madya, golongan IV/d</t>
  </si>
  <si>
    <t>Pangkat pembina utama, golongan IV/e</t>
  </si>
  <si>
    <t>Guru pertama</t>
  </si>
  <si>
    <t>Guru muda</t>
  </si>
  <si>
    <t>Guru madya</t>
  </si>
  <si>
    <t>Guru utama</t>
  </si>
  <si>
    <t>Guru pertama  penata muda tingkat I, golongan III/b</t>
  </si>
  <si>
    <t>Guru utama  pembina utama madya, golongan IV/d</t>
  </si>
  <si>
    <t>Guru utama  pembina utama, golongan IV/e</t>
  </si>
  <si>
    <t>IX E</t>
  </si>
  <si>
    <t>1-2</t>
  </si>
  <si>
    <t>3-4</t>
  </si>
  <si>
    <t>6-7</t>
  </si>
  <si>
    <t>7-8</t>
  </si>
  <si>
    <t>OP</t>
  </si>
  <si>
    <t>AH</t>
  </si>
  <si>
    <t>Guru pertama penata muda, golongan III/a</t>
  </si>
  <si>
    <t>Guru muda penata tingkat I, golongan III/d</t>
  </si>
  <si>
    <t>Guru muda penata, golongan III/c</t>
  </si>
  <si>
    <t>Guru madya pembina, golongan IV/a</t>
  </si>
  <si>
    <t>Guru madya pembina tingkat I, golongan IV/b</t>
  </si>
  <si>
    <t>Guru madya pembina utama muda, golongan IV/c</t>
  </si>
  <si>
    <t>4-5</t>
  </si>
  <si>
    <t>5-6</t>
  </si>
  <si>
    <t>w</t>
  </si>
  <si>
    <t>Guru Piket</t>
  </si>
  <si>
    <t>WALI KELAS</t>
  </si>
  <si>
    <t>Sejarah Kebudayaan Islam (SKI) dan Akidah Akhlak</t>
  </si>
  <si>
    <t>Drs.H.Hadi Suhaidy.</t>
  </si>
  <si>
    <t>196707121996031003</t>
  </si>
  <si>
    <t>2026</t>
  </si>
  <si>
    <t>12.00-13.00</t>
  </si>
  <si>
    <t>13.00-15.00</t>
  </si>
  <si>
    <t>2026/2027</t>
  </si>
  <si>
    <t>07.30-10.00</t>
  </si>
  <si>
    <t>10.00-12.00</t>
  </si>
  <si>
    <t>Istirahat dan Shalat Dzuhur</t>
  </si>
  <si>
    <t>07.20-12.00</t>
  </si>
  <si>
    <t>07.30-12.00</t>
  </si>
  <si>
    <t>Merapikan dan menyusun berkas- berkas sekolah yang dianggap penting</t>
  </si>
  <si>
    <t>07.30-09.00</t>
  </si>
  <si>
    <t>09.00-12.00</t>
  </si>
  <si>
    <t xml:space="preserve">Melanjutkan kegiatan membuat bahan ajar </t>
  </si>
  <si>
    <t>Membuat bahan ajar mapel SKI kls 7 semester ganjil</t>
  </si>
  <si>
    <t>Membuat bahan ajar mapel SKI kls 8 semester ganjil</t>
  </si>
  <si>
    <t xml:space="preserve">Melanjutkan kegiatan memmbuat bahan ajar mapel SKI kls 8 </t>
  </si>
  <si>
    <t>07.15-10.00</t>
  </si>
  <si>
    <t>Melanjutkan kegiatan memmbuat bahan ajar mapel SKI kls 7</t>
  </si>
  <si>
    <t>6 (Enam)</t>
  </si>
  <si>
    <t>07.30-11.45</t>
  </si>
  <si>
    <t>11.45-13.00</t>
  </si>
  <si>
    <t>13.30-15.00</t>
  </si>
  <si>
    <t>Membuat analisis hari efektif pembelajaran semester ganjil mapel SKI kls 7 TP 2026/2027</t>
  </si>
  <si>
    <t>Hari pertama masuk sekolah bagi siswa lama, dan baru serta kegiatan bersih- bersih kelas 8 dan kls 9 serta pembukaan pelaksanaan MATAMUDA bagi siswa baru kls 7</t>
  </si>
  <si>
    <t>Kegiatan MATAMUDA Siswa Baru kls 7</t>
  </si>
  <si>
    <t>MATSAMA Siswa Baru kelas VII dengan pemateri Waka Kurikulum dan Pembina OSIS</t>
  </si>
  <si>
    <t>Menyiapkan materi untuk kegiatan MATAMUDA siswa baru</t>
  </si>
  <si>
    <t xml:space="preserve">Kegiatan MATAMUDA bagi siswa kls 7 </t>
  </si>
  <si>
    <t>Penutupan kegiatan MATAMUDA bagi siswa baru</t>
  </si>
  <si>
    <t>13.00-14.00</t>
  </si>
  <si>
    <t>14.00-15.00</t>
  </si>
  <si>
    <t>Merapikan meja kerja dan buku- buku siswa yang belum dibagikan</t>
  </si>
  <si>
    <t>Menyiapkan bahan ajar untuk memyusun program Tahunan mapel SKI kls 7</t>
  </si>
  <si>
    <t>Melanjutkan membuat program semester mapel SKI kls 7</t>
  </si>
  <si>
    <t>Melanjutkan kegiatan membuat Program Tahunan Mapel SKI kls 8</t>
  </si>
  <si>
    <t>Membuat Program Semester Mapel SKI kls 8</t>
  </si>
  <si>
    <t>Melanjutkan membuat program semester ganjil mapel SKI kls 8</t>
  </si>
  <si>
    <t>Melanjutkan kegiatan membuat analisis hari efektif mapel SKI kls 8 TP 2026/2027 semester ganjil</t>
  </si>
  <si>
    <t>Melanjutkan kegiatan membuat analisis hari efektif mapel SKI kls 9 TP 2026/2027 semester ganjil</t>
  </si>
  <si>
    <t>Membuat Program Tahunan Mapel SKI kls 7 TP 2026/2027 semester ganjil</t>
  </si>
  <si>
    <t>Menyiapkan bahan ajar untuk membuat Program Tahunan Mapel SKI kls 8 semester ganjil TP 2026/2027</t>
  </si>
  <si>
    <t>Melanjutkan kegiatan membuat program pembelajaran semester ganjil mapel SKI kls 8</t>
  </si>
  <si>
    <t>Menyiapkan bahan ajar untuk membuat Program Tahunan Mapel SKI kls 9 Semester Ganjil Mapel SKI TP 2026/2027</t>
  </si>
  <si>
    <t>Melanjutkan kegiatan membuat Program Tahunan Mapel SKI kls 9</t>
  </si>
  <si>
    <t>Membuat program semester Mapel SKI kls 9</t>
  </si>
  <si>
    <t>Melanjutkan membuat program semester mapel SKI kls 9</t>
  </si>
  <si>
    <t>Menyiapkan bahan menyusun program pembelajaran semester mapel SKI kls 9</t>
  </si>
  <si>
    <t>Melanjutkan kegiatan membuat program pembelajaran semester ganjil mapel SKI kls 9</t>
  </si>
  <si>
    <t xml:space="preserve">Menyiapkan bahan untuk membuat materi ajar mapel SKI 8 </t>
  </si>
  <si>
    <t>Rapat kordinasi Wali Kelas dan pembagian tugas guru pada Semester Ganjil TP 2026/2027 dan membahas hal- hal penting lainnya</t>
  </si>
  <si>
    <t>Melanjutkan kegiatan rapat kordinasi Wali Kelas dan pembagian tugas guru pada Semester Ganjil TP 2026/2027 dan membahas hal- hal penting lainnya</t>
  </si>
  <si>
    <t>Melanjutkan menyusun program pembelajaran semester ganjil mapel SKI kls 7 TP 2026/2027</t>
  </si>
  <si>
    <t>Menyusun program pembelajaran semester ganjil mapel SKI kls 7 TP 2026/2027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</si>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</sst>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dd\ mmmm\ yyyy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6"/>
      <color theme="9" tint="-0.249977111117893"/>
      <name val="Times New Roman"/>
      <family val="1"/>
    </font>
    <font>
      <b/>
      <sz val="16"/>
      <color theme="9" tint="-0.249977111117893"/>
      <name val="Times New Roman"/>
      <family val="1"/>
    </font>
    <font>
      <sz val="11"/>
      <color rgb="FF333333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2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"/>
      <color theme="1"/>
      <name val="Calibri"/>
      <family val="2"/>
      <scheme val="minor"/>
    </font>
    <font>
      <u/>
      <sz val="10.45"/>
      <color theme="10"/>
      <name val="Calibri"/>
      <family val="2"/>
    </font>
    <font>
      <sz val="10"/>
      <color theme="1"/>
      <name val="Times New Roman"/>
      <family val="1"/>
    </font>
    <font>
      <u/>
      <sz val="16"/>
      <color rgb="FFFFFF00"/>
      <name val="Calibri"/>
      <family val="2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rgb="FF1B1C1D"/>
      <name val="Times New Roman"/>
      <family val="1"/>
    </font>
    <font>
      <sz val="12"/>
      <color rgb="FF000000"/>
      <name val="Times New Roman"/>
      <family val="1"/>
    </font>
    <font>
      <sz val="12"/>
      <color rgb="FF333333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93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8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shrinkToFit="1"/>
      <protection hidden="1"/>
    </xf>
    <xf numFmtId="0" fontId="10" fillId="0" borderId="0" xfId="0" applyFont="1" applyAlignment="1" applyProtection="1">
      <alignment horizontal="center" shrinkToFit="1"/>
      <protection hidden="1"/>
    </xf>
    <xf numFmtId="0" fontId="6" fillId="0" borderId="0" xfId="0" applyFont="1" applyAlignment="1" applyProtection="1">
      <alignment horizontal="center" shrinkToFit="1"/>
      <protection hidden="1"/>
    </xf>
    <xf numFmtId="0" fontId="8" fillId="0" borderId="0" xfId="0" applyFont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0" fillId="11" borderId="0" xfId="0" applyFill="1" applyProtection="1">
      <protection hidden="1"/>
    </xf>
    <xf numFmtId="0" fontId="8" fillId="11" borderId="0" xfId="0" applyFont="1" applyFill="1" applyProtection="1">
      <protection hidden="1"/>
    </xf>
    <xf numFmtId="0" fontId="7" fillId="11" borderId="0" xfId="0" applyFont="1" applyFill="1" applyProtection="1">
      <protection hidden="1"/>
    </xf>
    <xf numFmtId="0" fontId="18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8" fillId="11" borderId="0" xfId="0" applyFont="1" applyFill="1" applyAlignment="1" applyProtection="1">
      <alignment horizontal="center" vertical="center"/>
      <protection hidden="1"/>
    </xf>
    <xf numFmtId="0" fontId="7" fillId="11" borderId="0" xfId="0" applyFont="1" applyFill="1" applyAlignment="1" applyProtection="1">
      <alignment vertical="center"/>
      <protection hidden="1"/>
    </xf>
    <xf numFmtId="0" fontId="0" fillId="6" borderId="0" xfId="0" applyFill="1"/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0" fillId="0" borderId="0" xfId="0" applyFont="1"/>
    <xf numFmtId="165" fontId="20" fillId="0" borderId="0" xfId="0" applyNumberFormat="1" applyFont="1"/>
    <xf numFmtId="0" fontId="8" fillId="0" borderId="4" xfId="0" applyFont="1" applyBorder="1" applyAlignment="1" applyProtection="1">
      <alignment horizontal="right"/>
      <protection hidden="1"/>
    </xf>
    <xf numFmtId="0" fontId="6" fillId="0" borderId="0" xfId="0" applyFont="1" applyAlignment="1" applyProtection="1">
      <alignment horizontal="right" shrinkToFit="1"/>
      <protection hidden="1"/>
    </xf>
    <xf numFmtId="0" fontId="0" fillId="0" borderId="0" xfId="0" applyAlignment="1" applyProtection="1">
      <alignment vertical="top"/>
      <protection hidden="1"/>
    </xf>
    <xf numFmtId="0" fontId="7" fillId="0" borderId="0" xfId="0" applyFont="1" applyProtection="1">
      <protection hidden="1"/>
    </xf>
    <xf numFmtId="0" fontId="7" fillId="0" borderId="6" xfId="0" applyFont="1" applyBorder="1" applyProtection="1">
      <protection hidden="1"/>
    </xf>
    <xf numFmtId="0" fontId="7" fillId="0" borderId="7" xfId="0" applyFont="1" applyBorder="1" applyProtection="1">
      <protection hidden="1"/>
    </xf>
    <xf numFmtId="0" fontId="18" fillId="8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21" fillId="15" borderId="1" xfId="0" applyFont="1" applyFill="1" applyBorder="1" applyAlignment="1" applyProtection="1">
      <alignment horizontal="center" vertical="center"/>
      <protection locked="0"/>
    </xf>
    <xf numFmtId="0" fontId="21" fillId="16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/>
    </xf>
    <xf numFmtId="0" fontId="6" fillId="0" borderId="53" xfId="0" applyFont="1" applyBorder="1" applyAlignment="1" applyProtection="1">
      <alignment horizontal="center" vertical="center" shrinkToFit="1"/>
      <protection locked="0" hidden="1"/>
    </xf>
    <xf numFmtId="0" fontId="26" fillId="11" borderId="0" xfId="0" applyFont="1" applyFill="1" applyProtection="1">
      <protection hidden="1"/>
    </xf>
    <xf numFmtId="0" fontId="26" fillId="11" borderId="0" xfId="0" applyFont="1" applyFill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8" fillId="0" borderId="3" xfId="0" applyFont="1" applyBorder="1" applyAlignment="1" applyProtection="1">
      <alignment horizontal="left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11" borderId="0" xfId="0" applyFont="1" applyFill="1" applyAlignment="1" applyProtection="1">
      <alignment horizont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7" fillId="0" borderId="3" xfId="0" applyFont="1" applyBorder="1" applyProtection="1">
      <protection hidden="1"/>
    </xf>
    <xf numFmtId="0" fontId="7" fillId="11" borderId="0" xfId="0" applyFont="1" applyFill="1" applyAlignment="1" applyProtection="1">
      <alignment horizontal="center"/>
      <protection hidden="1"/>
    </xf>
    <xf numFmtId="0" fontId="7" fillId="11" borderId="0" xfId="0" applyFont="1" applyFill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vertical="center" shrinkToFit="1"/>
      <protection hidden="1"/>
    </xf>
    <xf numFmtId="0" fontId="8" fillId="0" borderId="6" xfId="0" applyFont="1" applyBorder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vertical="center"/>
      <protection hidden="1"/>
    </xf>
    <xf numFmtId="0" fontId="8" fillId="0" borderId="9" xfId="0" applyFont="1" applyBorder="1" applyProtection="1">
      <protection hidden="1"/>
    </xf>
    <xf numFmtId="0" fontId="6" fillId="19" borderId="28" xfId="0" applyFont="1" applyFill="1" applyBorder="1" applyAlignment="1" applyProtection="1">
      <alignment horizontal="center" vertical="center" wrapText="1" shrinkToFit="1"/>
      <protection hidden="1"/>
    </xf>
    <xf numFmtId="0" fontId="8" fillId="11" borderId="0" xfId="0" applyFont="1" applyFill="1" applyAlignment="1" applyProtection="1">
      <alignment horizontal="right"/>
      <protection locked="0" hidden="1"/>
    </xf>
    <xf numFmtId="0" fontId="8" fillId="11" borderId="0" xfId="0" applyFont="1" applyFill="1" applyAlignment="1" applyProtection="1">
      <alignment horizontal="left"/>
      <protection hidden="1"/>
    </xf>
    <xf numFmtId="0" fontId="7" fillId="11" borderId="0" xfId="0" applyFont="1" applyFill="1" applyAlignment="1" applyProtection="1">
      <alignment horizontal="left" vertical="center"/>
      <protection hidden="1"/>
    </xf>
    <xf numFmtId="0" fontId="28" fillId="5" borderId="27" xfId="0" applyFont="1" applyFill="1" applyBorder="1" applyAlignment="1" applyProtection="1">
      <alignment horizontal="center" vertical="center"/>
      <protection hidden="1"/>
    </xf>
    <xf numFmtId="0" fontId="28" fillId="5" borderId="28" xfId="0" applyFont="1" applyFill="1" applyBorder="1" applyAlignment="1" applyProtection="1">
      <alignment horizontal="center" vertical="center"/>
      <protection hidden="1"/>
    </xf>
    <xf numFmtId="0" fontId="28" fillId="5" borderId="12" xfId="0" applyFont="1" applyFill="1" applyBorder="1" applyAlignment="1" applyProtection="1">
      <alignment horizontal="center" vertical="center"/>
      <protection hidden="1"/>
    </xf>
    <xf numFmtId="0" fontId="24" fillId="5" borderId="28" xfId="0" applyFont="1" applyFill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left" vertical="top"/>
      <protection hidden="1"/>
    </xf>
    <xf numFmtId="0" fontId="7" fillId="11" borderId="0" xfId="0" applyFont="1" applyFill="1" applyAlignment="1" applyProtection="1">
      <alignment horizontal="left" vertical="top"/>
      <protection hidden="1"/>
    </xf>
    <xf numFmtId="0" fontId="8" fillId="11" borderId="0" xfId="0" applyFont="1" applyFill="1" applyAlignment="1" applyProtection="1">
      <alignment vertical="top"/>
      <protection hidden="1"/>
    </xf>
    <xf numFmtId="0" fontId="8" fillId="11" borderId="0" xfId="0" applyFont="1" applyFill="1" applyAlignment="1" applyProtection="1">
      <alignment horizontal="center" vertical="top"/>
      <protection hidden="1"/>
    </xf>
    <xf numFmtId="0" fontId="0" fillId="11" borderId="0" xfId="0" applyFill="1" applyAlignment="1" applyProtection="1">
      <alignment vertical="top"/>
      <protection hidden="1"/>
    </xf>
    <xf numFmtId="0" fontId="7" fillId="11" borderId="0" xfId="0" applyFont="1" applyFill="1" applyAlignment="1" applyProtection="1">
      <alignment vertical="top"/>
      <protection hidden="1"/>
    </xf>
    <xf numFmtId="0" fontId="8" fillId="11" borderId="0" xfId="0" applyFont="1" applyFill="1" applyAlignment="1" applyProtection="1">
      <alignment vertical="top" shrinkToFit="1"/>
      <protection hidden="1"/>
    </xf>
    <xf numFmtId="0" fontId="8" fillId="11" borderId="0" xfId="0" applyFont="1" applyFill="1" applyAlignment="1" applyProtection="1">
      <alignment horizontal="left" vertical="top"/>
      <protection hidden="1"/>
    </xf>
    <xf numFmtId="0" fontId="8" fillId="0" borderId="5" xfId="0" applyFont="1" applyBorder="1" applyAlignment="1" applyProtection="1">
      <alignment vertical="top"/>
      <protection hidden="1"/>
    </xf>
    <xf numFmtId="0" fontId="8" fillId="0" borderId="5" xfId="0" applyFont="1" applyBorder="1" applyAlignment="1" applyProtection="1">
      <alignment horizontal="center" vertical="top"/>
      <protection hidden="1"/>
    </xf>
    <xf numFmtId="0" fontId="7" fillId="0" borderId="5" xfId="0" applyFont="1" applyBorder="1" applyProtection="1">
      <protection hidden="1"/>
    </xf>
    <xf numFmtId="0" fontId="6" fillId="18" borderId="57" xfId="0" applyFont="1" applyFill="1" applyBorder="1" applyAlignment="1" applyProtection="1">
      <alignment horizontal="center" vertical="top" shrinkToFit="1"/>
      <protection locked="0" hidden="1"/>
    </xf>
    <xf numFmtId="0" fontId="6" fillId="0" borderId="58" xfId="0" applyFont="1" applyBorder="1" applyAlignment="1" applyProtection="1">
      <alignment horizontal="center" vertical="top"/>
      <protection hidden="1"/>
    </xf>
    <xf numFmtId="0" fontId="6" fillId="0" borderId="59" xfId="0" applyFont="1" applyBorder="1" applyAlignment="1" applyProtection="1">
      <alignment horizontal="center" vertical="top"/>
      <protection hidden="1"/>
    </xf>
    <xf numFmtId="164" fontId="6" fillId="0" borderId="59" xfId="1" applyNumberFormat="1" applyFont="1" applyBorder="1" applyAlignment="1" applyProtection="1">
      <alignment horizontal="center" vertical="top" shrinkToFit="1"/>
      <protection hidden="1"/>
    </xf>
    <xf numFmtId="164" fontId="6" fillId="0" borderId="62" xfId="1" applyNumberFormat="1" applyFont="1" applyBorder="1" applyAlignment="1" applyProtection="1">
      <alignment horizontal="center" vertical="top" shrinkToFit="1"/>
      <protection hidden="1"/>
    </xf>
    <xf numFmtId="0" fontId="6" fillId="18" borderId="43" xfId="0" applyFont="1" applyFill="1" applyBorder="1" applyAlignment="1" applyProtection="1">
      <alignment horizontal="center" vertical="top" shrinkToFit="1"/>
      <protection locked="0" hidden="1"/>
    </xf>
    <xf numFmtId="164" fontId="6" fillId="0" borderId="63" xfId="1" applyNumberFormat="1" applyFont="1" applyBorder="1" applyAlignment="1" applyProtection="1">
      <alignment vertical="top" shrinkToFit="1"/>
      <protection hidden="1"/>
    </xf>
    <xf numFmtId="0" fontId="0" fillId="0" borderId="43" xfId="0" applyBorder="1" applyAlignment="1" applyProtection="1">
      <alignment horizontal="center" vertical="top"/>
      <protection hidden="1"/>
    </xf>
    <xf numFmtId="164" fontId="6" fillId="0" borderId="43" xfId="1" applyNumberFormat="1" applyFont="1" applyBorder="1" applyAlignment="1" applyProtection="1">
      <alignment horizontal="center" vertical="top" shrinkToFit="1"/>
      <protection hidden="1"/>
    </xf>
    <xf numFmtId="0" fontId="6" fillId="0" borderId="43" xfId="0" applyFont="1" applyBorder="1" applyAlignment="1" applyProtection="1">
      <alignment horizontal="center" vertical="top"/>
      <protection hidden="1"/>
    </xf>
    <xf numFmtId="0" fontId="6" fillId="18" borderId="51" xfId="0" applyFont="1" applyFill="1" applyBorder="1" applyAlignment="1" applyProtection="1">
      <alignment horizontal="center" vertical="top"/>
      <protection locked="0" hidden="1"/>
    </xf>
    <xf numFmtId="0" fontId="8" fillId="18" borderId="61" xfId="0" applyFont="1" applyFill="1" applyBorder="1" applyAlignment="1" applyProtection="1">
      <alignment horizontal="center" vertical="top" wrapText="1"/>
      <protection locked="0" hidden="1"/>
    </xf>
    <xf numFmtId="0" fontId="6" fillId="18" borderId="60" xfId="0" applyFont="1" applyFill="1" applyBorder="1" applyAlignment="1" applyProtection="1">
      <alignment horizontal="center" vertical="top" shrinkToFit="1"/>
      <protection locked="0" hidden="1"/>
    </xf>
    <xf numFmtId="0" fontId="6" fillId="0" borderId="61" xfId="0" applyFont="1" applyBorder="1" applyAlignment="1" applyProtection="1">
      <alignment horizontal="center" vertical="top"/>
      <protection hidden="1"/>
    </xf>
    <xf numFmtId="0" fontId="6" fillId="0" borderId="62" xfId="0" applyFont="1" applyBorder="1" applyAlignment="1" applyProtection="1">
      <alignment horizontal="center" vertical="top"/>
      <protection hidden="1"/>
    </xf>
    <xf numFmtId="0" fontId="6" fillId="18" borderId="1" xfId="0" applyFont="1" applyFill="1" applyBorder="1" applyAlignment="1" applyProtection="1">
      <alignment horizontal="center" vertical="top" shrinkToFit="1"/>
      <protection locked="0" hidden="1"/>
    </xf>
    <xf numFmtId="164" fontId="6" fillId="0" borderId="13" xfId="1" applyNumberFormat="1" applyFont="1" applyBorder="1" applyAlignment="1" applyProtection="1">
      <alignment vertical="top" shrinkToFit="1"/>
      <protection hidden="1"/>
    </xf>
    <xf numFmtId="0" fontId="0" fillId="0" borderId="1" xfId="0" applyBorder="1" applyAlignment="1" applyProtection="1">
      <alignment horizontal="center" vertical="top"/>
      <protection hidden="1"/>
    </xf>
    <xf numFmtId="164" fontId="6" fillId="0" borderId="1" xfId="1" applyNumberFormat="1" applyFont="1" applyBorder="1" applyAlignment="1" applyProtection="1">
      <alignment horizontal="center" vertical="top" shrinkToFit="1"/>
      <protection hidden="1"/>
    </xf>
    <xf numFmtId="0" fontId="6" fillId="0" borderId="1" xfId="0" applyFont="1" applyBorder="1" applyAlignment="1" applyProtection="1">
      <alignment horizontal="center" vertical="top"/>
      <protection hidden="1"/>
    </xf>
    <xf numFmtId="0" fontId="6" fillId="18" borderId="48" xfId="0" applyFont="1" applyFill="1" applyBorder="1" applyAlignment="1" applyProtection="1">
      <alignment horizontal="center" vertical="top"/>
      <protection locked="0" hidden="1"/>
    </xf>
    <xf numFmtId="0" fontId="22" fillId="18" borderId="67" xfId="0" applyFont="1" applyFill="1" applyBorder="1" applyAlignment="1" applyProtection="1">
      <alignment horizontal="center" vertical="top"/>
      <protection hidden="1"/>
    </xf>
    <xf numFmtId="0" fontId="8" fillId="5" borderId="61" xfId="0" applyFont="1" applyFill="1" applyBorder="1" applyAlignment="1" applyProtection="1">
      <alignment horizontal="center" vertical="top" wrapText="1"/>
      <protection locked="0" hidden="1"/>
    </xf>
    <xf numFmtId="0" fontId="8" fillId="0" borderId="56" xfId="0" applyFont="1" applyBorder="1" applyAlignment="1" applyProtection="1">
      <alignment horizontal="center" vertical="top"/>
      <protection hidden="1"/>
    </xf>
    <xf numFmtId="0" fontId="6" fillId="0" borderId="54" xfId="0" applyFont="1" applyBorder="1" applyAlignment="1" applyProtection="1">
      <alignment horizontal="center" vertical="top"/>
      <protection hidden="1"/>
    </xf>
    <xf numFmtId="0" fontId="17" fillId="0" borderId="0" xfId="0" applyFont="1" applyProtection="1">
      <protection hidden="1"/>
    </xf>
    <xf numFmtId="0" fontId="17" fillId="11" borderId="0" xfId="0" applyFont="1" applyFill="1" applyProtection="1">
      <protection hidden="1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0" fontId="22" fillId="11" borderId="40" xfId="0" applyFont="1" applyFill="1" applyBorder="1" applyAlignment="1" applyProtection="1">
      <alignment horizontal="left" vertical="top" wrapText="1"/>
      <protection locked="0"/>
    </xf>
    <xf numFmtId="0" fontId="6" fillId="11" borderId="41" xfId="0" applyFont="1" applyFill="1" applyBorder="1" applyAlignment="1" applyProtection="1">
      <alignment horizontal="left" vertical="top" wrapText="1"/>
      <protection locked="0"/>
    </xf>
    <xf numFmtId="0" fontId="8" fillId="18" borderId="58" xfId="0" applyFont="1" applyFill="1" applyBorder="1" applyAlignment="1" applyProtection="1">
      <alignment horizontal="center" vertical="top" wrapText="1"/>
      <protection locked="0"/>
    </xf>
    <xf numFmtId="49" fontId="22" fillId="18" borderId="68" xfId="0" applyNumberFormat="1" applyFont="1" applyFill="1" applyBorder="1" applyAlignment="1" applyProtection="1">
      <alignment horizontal="center" vertical="top"/>
      <protection locked="0"/>
    </xf>
    <xf numFmtId="0" fontId="6" fillId="18" borderId="57" xfId="0" applyFont="1" applyFill="1" applyBorder="1" applyAlignment="1" applyProtection="1">
      <alignment horizontal="center" vertical="top" shrinkToFit="1"/>
      <protection locked="0"/>
    </xf>
    <xf numFmtId="0" fontId="8" fillId="18" borderId="61" xfId="0" applyFont="1" applyFill="1" applyBorder="1" applyAlignment="1" applyProtection="1">
      <alignment horizontal="center" vertical="top" wrapText="1"/>
      <protection locked="0"/>
    </xf>
    <xf numFmtId="49" fontId="22" fillId="18" borderId="67" xfId="0" applyNumberFormat="1" applyFont="1" applyFill="1" applyBorder="1" applyAlignment="1" applyProtection="1">
      <alignment horizontal="center" vertical="top"/>
      <protection locked="0"/>
    </xf>
    <xf numFmtId="0" fontId="6" fillId="18" borderId="60" xfId="0" applyFont="1" applyFill="1" applyBorder="1" applyAlignment="1" applyProtection="1">
      <alignment horizontal="center" vertical="top" shrinkToFit="1"/>
      <protection locked="0"/>
    </xf>
    <xf numFmtId="49" fontId="19" fillId="7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Font="1"/>
    <xf numFmtId="0" fontId="0" fillId="0" borderId="0" xfId="0" applyAlignment="1">
      <alignment vertical="top"/>
    </xf>
    <xf numFmtId="0" fontId="0" fillId="11" borderId="0" xfId="0" applyFill="1"/>
    <xf numFmtId="0" fontId="26" fillId="0" borderId="0" xfId="0" applyFont="1"/>
    <xf numFmtId="0" fontId="0" fillId="5" borderId="0" xfId="0" applyFill="1" applyAlignment="1">
      <alignment horizontal="center" vertical="center"/>
    </xf>
    <xf numFmtId="0" fontId="30" fillId="0" borderId="0" xfId="0" applyFont="1" applyProtection="1">
      <protection hidden="1"/>
    </xf>
    <xf numFmtId="0" fontId="30" fillId="5" borderId="3" xfId="0" applyFont="1" applyFill="1" applyBorder="1" applyAlignment="1">
      <alignment horizontal="center" vertical="center"/>
    </xf>
    <xf numFmtId="0" fontId="30" fillId="0" borderId="0" xfId="0" applyFont="1" applyAlignment="1" applyProtection="1">
      <alignment horizontal="center"/>
      <protection hidden="1"/>
    </xf>
    <xf numFmtId="0" fontId="30" fillId="0" borderId="0" xfId="0" applyFont="1"/>
    <xf numFmtId="49" fontId="22" fillId="18" borderId="67" xfId="0" applyNumberFormat="1" applyFont="1" applyFill="1" applyBorder="1" applyAlignment="1" applyProtection="1">
      <alignment vertical="top" shrinkToFit="1"/>
      <protection hidden="1"/>
    </xf>
    <xf numFmtId="0" fontId="31" fillId="11" borderId="0" xfId="0" applyFont="1" applyFill="1" applyProtection="1">
      <protection hidden="1"/>
    </xf>
    <xf numFmtId="0" fontId="22" fillId="11" borderId="41" xfId="0" applyFont="1" applyFill="1" applyBorder="1" applyAlignment="1" applyProtection="1">
      <alignment horizontal="left" vertical="top" wrapText="1"/>
      <protection locked="0"/>
    </xf>
    <xf numFmtId="0" fontId="6" fillId="0" borderId="0" xfId="0" applyFont="1" applyProtection="1">
      <protection hidden="1"/>
    </xf>
    <xf numFmtId="0" fontId="6" fillId="0" borderId="7" xfId="0" applyFont="1" applyBorder="1"/>
    <xf numFmtId="0" fontId="6" fillId="0" borderId="0" xfId="0" applyFont="1" applyAlignment="1" applyProtection="1">
      <alignment horizontal="right"/>
      <protection hidden="1"/>
    </xf>
    <xf numFmtId="0" fontId="6" fillId="0" borderId="0" xfId="0" applyFont="1" applyAlignment="1" applyProtection="1">
      <alignment horizontal="center"/>
      <protection hidden="1"/>
    </xf>
    <xf numFmtId="0" fontId="8" fillId="19" borderId="12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70" xfId="0" applyFont="1" applyBorder="1" applyProtection="1">
      <protection hidden="1"/>
    </xf>
    <xf numFmtId="0" fontId="6" fillId="0" borderId="70" xfId="0" applyFont="1" applyBorder="1" applyAlignment="1" applyProtection="1">
      <alignment horizontal="right"/>
      <protection hidden="1"/>
    </xf>
    <xf numFmtId="0" fontId="6" fillId="0" borderId="70" xfId="0" applyFont="1" applyBorder="1" applyAlignment="1" applyProtection="1">
      <alignment horizontal="center"/>
      <protection hidden="1"/>
    </xf>
    <xf numFmtId="0" fontId="6" fillId="0" borderId="5" xfId="0" applyFont="1" applyBorder="1" applyProtection="1">
      <protection hidden="1"/>
    </xf>
    <xf numFmtId="0" fontId="6" fillId="0" borderId="5" xfId="0" applyFont="1" applyBorder="1" applyAlignment="1" applyProtection="1">
      <alignment horizontal="right"/>
      <protection hidden="1"/>
    </xf>
    <xf numFmtId="0" fontId="28" fillId="0" borderId="5" xfId="0" applyFont="1" applyBorder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0" fontId="6" fillId="0" borderId="71" xfId="0" applyFont="1" applyBorder="1" applyProtection="1">
      <protection hidden="1"/>
    </xf>
    <xf numFmtId="0" fontId="6" fillId="19" borderId="71" xfId="0" applyFont="1" applyFill="1" applyBorder="1" applyProtection="1">
      <protection hidden="1"/>
    </xf>
    <xf numFmtId="0" fontId="6" fillId="0" borderId="71" xfId="0" applyFont="1" applyBorder="1" applyAlignment="1" applyProtection="1">
      <alignment vertical="top"/>
      <protection hidden="1"/>
    </xf>
    <xf numFmtId="0" fontId="6" fillId="0" borderId="0" xfId="0" applyFont="1" applyAlignment="1" applyProtection="1">
      <alignment vertical="top"/>
      <protection hidden="1"/>
    </xf>
    <xf numFmtId="49" fontId="6" fillId="0" borderId="0" xfId="0" applyNumberFormat="1" applyFont="1" applyProtection="1">
      <protection hidden="1"/>
    </xf>
    <xf numFmtId="0" fontId="6" fillId="0" borderId="70" xfId="0" applyFont="1" applyBorder="1" applyAlignment="1" applyProtection="1">
      <alignment wrapText="1"/>
      <protection hidden="1"/>
    </xf>
    <xf numFmtId="0" fontId="10" fillId="0" borderId="0" xfId="0" applyFont="1" applyAlignment="1" applyProtection="1">
      <alignment wrapText="1" shrinkToFit="1"/>
      <protection hidden="1"/>
    </xf>
    <xf numFmtId="0" fontId="6" fillId="0" borderId="0" xfId="0" applyFont="1" applyAlignment="1" applyProtection="1">
      <alignment wrapText="1"/>
      <protection hidden="1"/>
    </xf>
    <xf numFmtId="0" fontId="6" fillId="0" borderId="0" xfId="0" applyFont="1" applyAlignment="1" applyProtection="1">
      <alignment horizontal="center" wrapText="1"/>
      <protection hidden="1"/>
    </xf>
    <xf numFmtId="49" fontId="22" fillId="11" borderId="40" xfId="0" applyNumberFormat="1" applyFont="1" applyFill="1" applyBorder="1" applyAlignment="1" applyProtection="1">
      <alignment horizontal="left" vertical="top" wrapText="1"/>
      <protection locked="0"/>
    </xf>
    <xf numFmtId="0" fontId="6" fillId="11" borderId="40" xfId="0" applyFont="1" applyFill="1" applyBorder="1" applyAlignment="1" applyProtection="1">
      <alignment horizontal="center" vertical="top" wrapText="1"/>
      <protection locked="0"/>
    </xf>
    <xf numFmtId="49" fontId="6" fillId="11" borderId="40" xfId="0" applyNumberFormat="1" applyFont="1" applyFill="1" applyBorder="1" applyAlignment="1" applyProtection="1">
      <alignment horizontal="left" vertical="top" wrapText="1"/>
      <protection locked="0"/>
    </xf>
    <xf numFmtId="49" fontId="6" fillId="11" borderId="40" xfId="0" quotePrefix="1" applyNumberFormat="1" applyFont="1" applyFill="1" applyBorder="1" applyAlignment="1" applyProtection="1">
      <alignment horizontal="left" vertical="top" wrapText="1"/>
      <protection locked="0"/>
    </xf>
    <xf numFmtId="49" fontId="22" fillId="11" borderId="41" xfId="0" applyNumberFormat="1" applyFont="1" applyFill="1" applyBorder="1" applyAlignment="1" applyProtection="1">
      <alignment horizontal="left" vertical="top" wrapText="1"/>
      <protection locked="0"/>
    </xf>
    <xf numFmtId="0" fontId="6" fillId="11" borderId="39" xfId="2" applyNumberFormat="1" applyFont="1" applyFill="1" applyBorder="1" applyAlignment="1" applyProtection="1">
      <alignment horizontal="center" vertical="top" wrapText="1"/>
      <protection hidden="1"/>
    </xf>
    <xf numFmtId="0" fontId="16" fillId="11" borderId="40" xfId="0" applyFont="1" applyFill="1" applyBorder="1" applyAlignment="1" applyProtection="1">
      <alignment vertical="top" wrapText="1"/>
      <protection hidden="1"/>
    </xf>
    <xf numFmtId="165" fontId="6" fillId="11" borderId="42" xfId="0" applyNumberFormat="1" applyFont="1" applyFill="1" applyBorder="1" applyAlignment="1" applyProtection="1">
      <alignment horizontal="left" vertical="top" wrapText="1"/>
      <protection hidden="1"/>
    </xf>
    <xf numFmtId="0" fontId="6" fillId="11" borderId="41" xfId="0" applyFont="1" applyFill="1" applyBorder="1" applyAlignment="1" applyProtection="1">
      <alignment horizontal="right" vertical="top" wrapText="1"/>
      <protection locked="0"/>
    </xf>
    <xf numFmtId="0" fontId="6" fillId="11" borderId="33" xfId="2" applyNumberFormat="1" applyFont="1" applyFill="1" applyBorder="1" applyAlignment="1" applyProtection="1">
      <alignment horizontal="center" vertical="top" wrapText="1"/>
      <protection hidden="1"/>
    </xf>
    <xf numFmtId="0" fontId="22" fillId="11" borderId="39" xfId="2" applyNumberFormat="1" applyFont="1" applyFill="1" applyBorder="1" applyAlignment="1" applyProtection="1">
      <alignment horizontal="center" vertical="top" wrapText="1"/>
      <protection hidden="1"/>
    </xf>
    <xf numFmtId="0" fontId="0" fillId="0" borderId="0" xfId="0" applyProtection="1">
      <protection locked="0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22" fillId="18" borderId="2" xfId="0" applyFont="1" applyFill="1" applyBorder="1" applyAlignment="1" applyProtection="1">
      <alignment horizontal="center" vertical="top"/>
      <protection hidden="1"/>
    </xf>
    <xf numFmtId="49" fontId="22" fillId="18" borderId="2" xfId="0" applyNumberFormat="1" applyFont="1" applyFill="1" applyBorder="1" applyAlignment="1" applyProtection="1">
      <alignment vertical="top" shrinkToFit="1"/>
      <protection hidden="1"/>
    </xf>
    <xf numFmtId="0" fontId="6" fillId="0" borderId="2" xfId="0" applyFont="1" applyBorder="1" applyAlignment="1" applyProtection="1">
      <alignment horizontal="center" vertical="top"/>
      <protection hidden="1"/>
    </xf>
    <xf numFmtId="0" fontId="6" fillId="0" borderId="14" xfId="0" applyFont="1" applyBorder="1" applyAlignment="1" applyProtection="1">
      <alignment horizontal="center" vertical="top"/>
      <protection hidden="1"/>
    </xf>
    <xf numFmtId="0" fontId="6" fillId="18" borderId="13" xfId="0" applyFont="1" applyFill="1" applyBorder="1" applyAlignment="1" applyProtection="1">
      <alignment horizontal="center" vertical="top" shrinkToFit="1"/>
      <protection locked="0" hidden="1"/>
    </xf>
    <xf numFmtId="164" fontId="6" fillId="0" borderId="14" xfId="1" applyNumberFormat="1" applyFont="1" applyBorder="1" applyAlignment="1" applyProtection="1">
      <alignment horizontal="center" vertical="top" shrinkToFit="1"/>
      <protection hidden="1"/>
    </xf>
    <xf numFmtId="0" fontId="33" fillId="0" borderId="0" xfId="0" applyFont="1" applyProtection="1">
      <protection hidden="1"/>
    </xf>
    <xf numFmtId="0" fontId="33" fillId="0" borderId="0" xfId="0" applyFont="1" applyAlignment="1" applyProtection="1">
      <alignment vertical="top"/>
      <protection hidden="1"/>
    </xf>
    <xf numFmtId="0" fontId="0" fillId="13" borderId="0" xfId="0" applyFill="1" applyProtection="1">
      <protection hidden="1"/>
    </xf>
    <xf numFmtId="0" fontId="0" fillId="13" borderId="0" xfId="0" applyFill="1"/>
    <xf numFmtId="0" fontId="7" fillId="13" borderId="0" xfId="0" applyFont="1" applyFill="1" applyProtection="1">
      <protection hidden="1"/>
    </xf>
    <xf numFmtId="0" fontId="7" fillId="13" borderId="0" xfId="0" applyFont="1" applyFill="1"/>
    <xf numFmtId="0" fontId="0" fillId="13" borderId="0" xfId="0" applyFill="1" applyAlignment="1" applyProtection="1">
      <alignment vertical="top"/>
      <protection hidden="1"/>
    </xf>
    <xf numFmtId="0" fontId="0" fillId="13" borderId="0" xfId="0" applyFill="1" applyAlignment="1">
      <alignment vertical="top"/>
    </xf>
    <xf numFmtId="0" fontId="0" fillId="13" borderId="0" xfId="0" applyFill="1" applyAlignment="1" applyProtection="1">
      <alignment horizontal="center" vertical="center"/>
      <protection hidden="1"/>
    </xf>
    <xf numFmtId="0" fontId="0" fillId="13" borderId="0" xfId="0" applyFill="1" applyAlignment="1" applyProtection="1">
      <alignment horizontal="right" vertical="top"/>
      <protection hidden="1"/>
    </xf>
    <xf numFmtId="0" fontId="26" fillId="13" borderId="0" xfId="0" applyFont="1" applyFill="1" applyProtection="1">
      <protection hidden="1"/>
    </xf>
    <xf numFmtId="0" fontId="26" fillId="13" borderId="0" xfId="0" applyFont="1" applyFill="1"/>
    <xf numFmtId="0" fontId="30" fillId="13" borderId="0" xfId="0" applyFont="1" applyFill="1" applyProtection="1">
      <protection hidden="1"/>
    </xf>
    <xf numFmtId="0" fontId="30" fillId="13" borderId="0" xfId="0" applyFont="1" applyFill="1"/>
    <xf numFmtId="0" fontId="6" fillId="0" borderId="11" xfId="0" applyFont="1" applyBorder="1"/>
    <xf numFmtId="0" fontId="8" fillId="0" borderId="4" xfId="0" applyFont="1" applyBorder="1" applyAlignment="1" applyProtection="1">
      <alignment horizontal="left"/>
      <protection hidden="1"/>
    </xf>
    <xf numFmtId="0" fontId="6" fillId="0" borderId="35" xfId="2" applyNumberFormat="1" applyFont="1" applyFill="1" applyBorder="1" applyAlignment="1" applyProtection="1">
      <alignment horizontal="center" vertical="top" wrapText="1"/>
      <protection hidden="1"/>
    </xf>
    <xf numFmtId="0" fontId="16" fillId="0" borderId="36" xfId="0" applyFont="1" applyFill="1" applyBorder="1" applyAlignment="1" applyProtection="1">
      <alignment vertical="top" wrapText="1"/>
      <protection hidden="1"/>
    </xf>
    <xf numFmtId="0" fontId="22" fillId="0" borderId="37" xfId="0" applyFont="1" applyFill="1" applyBorder="1" applyAlignment="1" applyProtection="1">
      <alignment horizontal="right" vertical="top" wrapText="1"/>
      <protection locked="0"/>
    </xf>
    <xf numFmtId="165" fontId="6" fillId="0" borderId="38" xfId="0" applyNumberFormat="1" applyFont="1" applyFill="1" applyBorder="1" applyAlignment="1" applyProtection="1">
      <alignment horizontal="left" vertical="top" wrapText="1"/>
      <protection hidden="1"/>
    </xf>
    <xf numFmtId="49" fontId="22" fillId="0" borderId="40" xfId="0" applyNumberFormat="1" applyFont="1" applyFill="1" applyBorder="1" applyAlignment="1" applyProtection="1">
      <alignment horizontal="left" vertical="top" wrapText="1"/>
      <protection locked="0"/>
    </xf>
    <xf numFmtId="0" fontId="6" fillId="0" borderId="40" xfId="0" applyFont="1" applyFill="1" applyBorder="1" applyAlignment="1" applyProtection="1">
      <alignment horizontal="center" vertical="top" wrapText="1"/>
      <protection locked="0"/>
    </xf>
    <xf numFmtId="49" fontId="6" fillId="0" borderId="40" xfId="0" applyNumberFormat="1" applyFont="1" applyFill="1" applyBorder="1" applyAlignment="1" applyProtection="1">
      <alignment horizontal="left" vertical="top" wrapText="1"/>
      <protection locked="0"/>
    </xf>
    <xf numFmtId="49" fontId="22" fillId="0" borderId="41" xfId="0" applyNumberFormat="1" applyFont="1" applyFill="1" applyBorder="1" applyAlignment="1" applyProtection="1">
      <alignment horizontal="left" vertical="top" wrapText="1"/>
      <protection locked="0"/>
    </xf>
    <xf numFmtId="49" fontId="6" fillId="0" borderId="36" xfId="0" applyNumberFormat="1" applyFont="1" applyFill="1" applyBorder="1" applyAlignment="1" applyProtection="1">
      <alignment horizontal="left" vertical="top" wrapText="1"/>
      <protection locked="0"/>
    </xf>
    <xf numFmtId="0" fontId="6" fillId="0" borderId="36" xfId="0" applyFont="1" applyFill="1" applyBorder="1" applyAlignment="1" applyProtection="1">
      <alignment horizontal="center" vertical="top" wrapText="1"/>
      <protection locked="0"/>
    </xf>
    <xf numFmtId="0" fontId="6" fillId="0" borderId="71" xfId="0" applyFont="1" applyFill="1" applyBorder="1" applyProtection="1">
      <protection hidden="1"/>
    </xf>
    <xf numFmtId="0" fontId="33" fillId="0" borderId="0" xfId="0" applyFont="1" applyFill="1" applyProtection="1">
      <protection hidden="1"/>
    </xf>
    <xf numFmtId="0" fontId="6" fillId="0" borderId="39" xfId="2" applyNumberFormat="1" applyFont="1" applyFill="1" applyBorder="1" applyAlignment="1" applyProtection="1">
      <alignment horizontal="center" vertical="top" wrapText="1"/>
      <protection hidden="1"/>
    </xf>
    <xf numFmtId="0" fontId="16" fillId="0" borderId="40" xfId="0" applyFont="1" applyFill="1" applyBorder="1" applyAlignment="1" applyProtection="1">
      <alignment vertical="top" wrapText="1"/>
      <protection hidden="1"/>
    </xf>
    <xf numFmtId="0" fontId="22" fillId="0" borderId="41" xfId="0" applyFont="1" applyFill="1" applyBorder="1" applyAlignment="1" applyProtection="1">
      <alignment horizontal="right" vertical="top" wrapText="1"/>
      <protection locked="0"/>
    </xf>
    <xf numFmtId="165" fontId="6" fillId="0" borderId="42" xfId="0" applyNumberFormat="1" applyFont="1" applyFill="1" applyBorder="1" applyAlignment="1" applyProtection="1">
      <alignment horizontal="left" vertical="top" wrapText="1"/>
      <protection hidden="1"/>
    </xf>
    <xf numFmtId="0" fontId="6" fillId="0" borderId="41" xfId="0" applyFont="1" applyFill="1" applyBorder="1" applyAlignment="1" applyProtection="1">
      <alignment horizontal="left" vertical="top" wrapText="1"/>
      <protection locked="0"/>
    </xf>
    <xf numFmtId="0" fontId="6" fillId="0" borderId="71" xfId="0" applyFont="1" applyFill="1" applyBorder="1" applyAlignment="1" applyProtection="1">
      <alignment vertical="top"/>
      <protection hidden="1"/>
    </xf>
    <xf numFmtId="0" fontId="33" fillId="0" borderId="0" xfId="0" applyFont="1" applyFill="1" applyAlignment="1" applyProtection="1">
      <alignment vertical="top"/>
      <protection hidden="1"/>
    </xf>
    <xf numFmtId="0" fontId="6" fillId="0" borderId="0" xfId="0" applyFont="1" applyFill="1" applyAlignment="1" applyProtection="1">
      <alignment vertical="top"/>
      <protection hidden="1"/>
    </xf>
    <xf numFmtId="0" fontId="22" fillId="0" borderId="41" xfId="0" applyFont="1" applyFill="1" applyBorder="1" applyAlignment="1" applyProtection="1">
      <alignment horizontal="center" vertical="top" wrapText="1"/>
      <protection locked="0"/>
    </xf>
    <xf numFmtId="0" fontId="6" fillId="0" borderId="41" xfId="0" applyFont="1" applyFill="1" applyBorder="1" applyAlignment="1" applyProtection="1">
      <alignment horizontal="right" vertical="top" wrapText="1"/>
      <protection locked="0"/>
    </xf>
    <xf numFmtId="49" fontId="22" fillId="0" borderId="40" xfId="0" applyNumberFormat="1" applyFont="1" applyBorder="1" applyAlignment="1" applyProtection="1">
      <alignment horizontal="left" vertical="top" wrapText="1"/>
      <protection locked="0"/>
    </xf>
    <xf numFmtId="0" fontId="6" fillId="0" borderId="40" xfId="0" applyFont="1" applyBorder="1" applyAlignment="1" applyProtection="1">
      <alignment horizontal="center" vertical="top" wrapText="1"/>
      <protection locked="0"/>
    </xf>
    <xf numFmtId="49" fontId="6" fillId="0" borderId="40" xfId="0" applyNumberFormat="1" applyFont="1" applyBorder="1" applyAlignment="1" applyProtection="1">
      <alignment horizontal="left" vertical="top" wrapText="1"/>
      <protection locked="0"/>
    </xf>
    <xf numFmtId="49" fontId="6" fillId="0" borderId="40" xfId="0" quotePrefix="1" applyNumberFormat="1" applyFont="1" applyBorder="1" applyAlignment="1" applyProtection="1">
      <alignment horizontal="left" vertical="top" wrapText="1"/>
      <protection locked="0"/>
    </xf>
    <xf numFmtId="0" fontId="22" fillId="0" borderId="41" xfId="0" applyFont="1" applyBorder="1" applyAlignment="1" applyProtection="1">
      <alignment horizontal="left" vertical="top" wrapText="1"/>
      <protection locked="0"/>
    </xf>
    <xf numFmtId="0" fontId="6" fillId="0" borderId="40" xfId="0" applyFont="1" applyBorder="1" applyAlignment="1" applyProtection="1">
      <alignment horizontal="center" vertical="top"/>
      <protection locked="0"/>
    </xf>
    <xf numFmtId="49" fontId="6" fillId="0" borderId="40" xfId="0" applyNumberFormat="1" applyFont="1" applyBorder="1" applyAlignment="1" applyProtection="1">
      <alignment horizontal="left" vertical="top"/>
      <protection locked="0"/>
    </xf>
    <xf numFmtId="0" fontId="6" fillId="0" borderId="5" xfId="0" applyFont="1" applyBorder="1" applyAlignment="1" applyProtection="1">
      <alignment horizontal="center" wrapText="1"/>
      <protection hidden="1"/>
    </xf>
    <xf numFmtId="0" fontId="34" fillId="0" borderId="3" xfId="0" applyFont="1" applyBorder="1" applyAlignment="1" applyProtection="1">
      <alignment horizontal="left" wrapText="1"/>
      <protection hidden="1"/>
    </xf>
    <xf numFmtId="0" fontId="6" fillId="0" borderId="8" xfId="0" applyFont="1" applyBorder="1" applyAlignment="1" applyProtection="1">
      <alignment horizontal="left" vertical="center" wrapText="1" shrinkToFit="1"/>
      <protection hidden="1"/>
    </xf>
    <xf numFmtId="0" fontId="6" fillId="0" borderId="74" xfId="0" applyFont="1" applyBorder="1" applyAlignment="1" applyProtection="1">
      <alignment horizontal="left" vertical="center" wrapText="1" shrinkToFit="1"/>
      <protection hidden="1"/>
    </xf>
    <xf numFmtId="0" fontId="6" fillId="0" borderId="4" xfId="0" applyFont="1" applyBorder="1" applyAlignment="1" applyProtection="1">
      <alignment wrapText="1"/>
      <protection hidden="1"/>
    </xf>
    <xf numFmtId="0" fontId="35" fillId="0" borderId="0" xfId="0" applyFont="1" applyAlignment="1" applyProtection="1">
      <alignment vertical="top" wrapText="1"/>
      <protection locked="0"/>
    </xf>
    <xf numFmtId="0" fontId="35" fillId="0" borderId="0" xfId="0" applyFont="1" applyAlignment="1" applyProtection="1">
      <alignment horizontal="justify" vertical="top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6" fillId="0" borderId="71" xfId="0" applyFont="1" applyFill="1" applyBorder="1" applyAlignment="1" applyProtection="1">
      <alignment vertical="top" wrapText="1"/>
      <protection hidden="1"/>
    </xf>
    <xf numFmtId="0" fontId="33" fillId="0" borderId="0" xfId="0" applyFont="1" applyFill="1" applyAlignment="1" applyProtection="1">
      <alignment vertical="top" wrapText="1"/>
      <protection hidden="1"/>
    </xf>
    <xf numFmtId="0" fontId="6" fillId="0" borderId="0" xfId="0" applyFont="1" applyFill="1" applyAlignment="1" applyProtection="1">
      <alignment vertical="top" wrapText="1"/>
      <protection hidden="1"/>
    </xf>
    <xf numFmtId="0" fontId="36" fillId="11" borderId="41" xfId="0" applyFont="1" applyFill="1" applyBorder="1" applyAlignment="1" applyProtection="1">
      <alignment horizontal="left" vertical="top" wrapText="1"/>
      <protection locked="0"/>
    </xf>
    <xf numFmtId="49" fontId="22" fillId="11" borderId="40" xfId="0" applyNumberFormat="1" applyFont="1" applyFill="1" applyBorder="1" applyAlignment="1" applyProtection="1">
      <alignment horizontal="left" vertical="top" wrapText="1"/>
      <protection locked="0"/>
    </xf>
    <xf numFmtId="49" fontId="22" fillId="11" borderId="40" xfId="0" applyNumberFormat="1" applyFont="1" applyFill="1" applyBorder="1" applyAlignment="1" applyProtection="1">
      <alignment horizontal="left" vertical="top"/>
      <protection locked="0"/>
    </xf>
    <xf numFmtId="0" fontId="22" fillId="11" borderId="41" xfId="0" applyNumberFormat="1" applyFont="1" applyFill="1" applyBorder="1" applyAlignment="1" applyProtection="1">
      <alignment horizontal="left" vertical="top" wrapText="1"/>
      <protection locked="0"/>
    </xf>
    <xf numFmtId="0" fontId="6" fillId="0" borderId="0" xfId="0" applyFont="1" applyFill="1" applyProtection="1">
      <protection hidden="1"/>
    </xf>
    <xf numFmtId="0" fontId="22" fillId="11" borderId="37" xfId="0" applyFont="1" applyFill="1" applyBorder="1" applyAlignment="1" applyProtection="1">
      <alignment horizontal="left" vertical="top" wrapText="1"/>
      <protection locked="0"/>
    </xf>
    <xf numFmtId="0" fontId="22" fillId="11" borderId="41" xfId="0" applyFont="1" applyFill="1" applyBorder="1" applyAlignment="1" applyProtection="1">
      <alignment horizontal="left" vertical="top" wrapText="1"/>
      <protection locked="0"/>
    </xf>
    <xf numFmtId="49" fontId="36" fillId="11" borderId="40" xfId="0" applyNumberFormat="1" applyFont="1" applyFill="1" applyBorder="1" applyAlignment="1" applyProtection="1">
      <alignment horizontal="left" vertical="top" wrapText="1"/>
      <protection locked="0"/>
    </xf>
    <xf numFmtId="0" fontId="8" fillId="0" borderId="40" xfId="0" applyFont="1" applyBorder="1" applyAlignment="1" applyProtection="1">
      <alignment horizontal="center" vertical="top" wrapText="1"/>
      <protection locked="0"/>
    </xf>
    <xf numFmtId="49" fontId="8" fillId="0" borderId="40" xfId="0" applyNumberFormat="1" applyFont="1" applyBorder="1" applyAlignment="1" applyProtection="1">
      <alignment horizontal="left" vertical="top" wrapText="1"/>
      <protection locked="0"/>
    </xf>
    <xf numFmtId="49" fontId="8" fillId="0" borderId="40" xfId="0" quotePrefix="1" applyNumberFormat="1" applyFont="1" applyBorder="1" applyAlignment="1" applyProtection="1">
      <alignment horizontal="left" vertical="top" wrapText="1"/>
      <protection locked="0"/>
    </xf>
    <xf numFmtId="49" fontId="36" fillId="0" borderId="41" xfId="0" applyNumberFormat="1" applyFont="1" applyFill="1" applyBorder="1" applyAlignment="1" applyProtection="1">
      <alignment horizontal="left" vertical="top" wrapText="1"/>
      <protection locked="0"/>
    </xf>
    <xf numFmtId="0" fontId="8" fillId="0" borderId="39" xfId="2" applyNumberFormat="1" applyFont="1" applyFill="1" applyBorder="1" applyAlignment="1" applyProtection="1">
      <alignment horizontal="center" vertical="top" wrapText="1"/>
      <protection hidden="1"/>
    </xf>
    <xf numFmtId="0" fontId="37" fillId="0" borderId="40" xfId="0" applyFont="1" applyFill="1" applyBorder="1" applyAlignment="1" applyProtection="1">
      <alignment vertical="top" wrapText="1"/>
      <protection hidden="1"/>
    </xf>
    <xf numFmtId="165" fontId="8" fillId="0" borderId="42" xfId="0" applyNumberFormat="1" applyFont="1" applyFill="1" applyBorder="1" applyAlignment="1" applyProtection="1">
      <alignment horizontal="left" vertical="top" wrapText="1"/>
      <protection hidden="1"/>
    </xf>
    <xf numFmtId="0" fontId="8" fillId="0" borderId="40" xfId="0" applyFont="1" applyFill="1" applyBorder="1" applyAlignment="1" applyProtection="1">
      <alignment horizontal="center" vertical="top" wrapText="1"/>
      <protection locked="0"/>
    </xf>
    <xf numFmtId="0" fontId="8" fillId="0" borderId="41" xfId="0" applyFont="1" applyFill="1" applyBorder="1" applyAlignment="1" applyProtection="1">
      <alignment horizontal="left" vertical="top" wrapText="1"/>
      <protection locked="0"/>
    </xf>
    <xf numFmtId="49" fontId="36" fillId="0" borderId="40" xfId="0" applyNumberFormat="1" applyFont="1" applyFill="1" applyBorder="1" applyAlignment="1" applyProtection="1">
      <alignment horizontal="left" vertical="top" wrapText="1"/>
      <protection locked="0"/>
    </xf>
    <xf numFmtId="0" fontId="8" fillId="0" borderId="41" xfId="0" applyFont="1" applyFill="1" applyBorder="1" applyAlignment="1" applyProtection="1">
      <alignment horizontal="right" vertical="top" wrapText="1"/>
      <protection locked="0"/>
    </xf>
    <xf numFmtId="0" fontId="6" fillId="0" borderId="37" xfId="0" applyFont="1" applyFill="1" applyBorder="1" applyAlignment="1" applyProtection="1">
      <alignment horizontal="left" vertical="top" wrapText="1"/>
      <protection locked="0"/>
    </xf>
    <xf numFmtId="0" fontId="22" fillId="11" borderId="41" xfId="0" applyFont="1" applyFill="1" applyBorder="1" applyAlignment="1" applyProtection="1">
      <alignment horizontal="left" vertical="top"/>
      <protection locked="0"/>
    </xf>
    <xf numFmtId="0" fontId="22" fillId="0" borderId="41" xfId="0" applyFont="1" applyBorder="1" applyAlignment="1" applyProtection="1">
      <alignment horizontal="left" vertical="top"/>
      <protection locked="0"/>
    </xf>
    <xf numFmtId="0" fontId="35" fillId="0" borderId="0" xfId="0" applyFont="1" applyAlignment="1" applyProtection="1">
      <alignment vertical="top"/>
      <protection locked="0"/>
    </xf>
    <xf numFmtId="0" fontId="6" fillId="0" borderId="39" xfId="2" applyNumberFormat="1" applyFont="1" applyFill="1" applyBorder="1" applyAlignment="1" applyProtection="1">
      <alignment horizontal="center" vertical="top"/>
      <protection hidden="1"/>
    </xf>
    <xf numFmtId="0" fontId="16" fillId="0" borderId="40" xfId="0" applyFont="1" applyFill="1" applyBorder="1" applyAlignment="1" applyProtection="1">
      <alignment vertical="top"/>
      <protection hidden="1"/>
    </xf>
    <xf numFmtId="0" fontId="22" fillId="0" borderId="41" xfId="0" applyFont="1" applyFill="1" applyBorder="1" applyAlignment="1" applyProtection="1">
      <alignment horizontal="right" vertical="top"/>
      <protection locked="0"/>
    </xf>
    <xf numFmtId="165" fontId="6" fillId="0" borderId="42" xfId="0" applyNumberFormat="1" applyFont="1" applyFill="1" applyBorder="1" applyAlignment="1" applyProtection="1">
      <alignment horizontal="left" vertical="top"/>
      <protection hidden="1"/>
    </xf>
    <xf numFmtId="49" fontId="6" fillId="0" borderId="40" xfId="0" quotePrefix="1" applyNumberFormat="1" applyFont="1" applyBorder="1" applyAlignment="1" applyProtection="1">
      <alignment horizontal="left" vertical="top"/>
      <protection locked="0"/>
    </xf>
    <xf numFmtId="49" fontId="22" fillId="0" borderId="41" xfId="0" applyNumberFormat="1" applyFont="1" applyFill="1" applyBorder="1" applyAlignment="1" applyProtection="1">
      <alignment horizontal="left" vertical="top"/>
      <protection locked="0"/>
    </xf>
    <xf numFmtId="49" fontId="22" fillId="0" borderId="40" xfId="0" applyNumberFormat="1" applyFont="1" applyFill="1" applyBorder="1" applyAlignment="1" applyProtection="1">
      <alignment horizontal="left" vertical="top"/>
      <protection locked="0"/>
    </xf>
    <xf numFmtId="0" fontId="6" fillId="0" borderId="40" xfId="0" applyFont="1" applyFill="1" applyBorder="1" applyAlignment="1" applyProtection="1">
      <alignment horizontal="center" vertical="top"/>
      <protection locked="0"/>
    </xf>
    <xf numFmtId="0" fontId="6" fillId="0" borderId="41" xfId="0" applyFont="1" applyFill="1" applyBorder="1" applyAlignment="1" applyProtection="1">
      <alignment horizontal="left" vertical="top"/>
      <protection locked="0"/>
    </xf>
    <xf numFmtId="0" fontId="0" fillId="4" borderId="1" xfId="0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21" fillId="16" borderId="0" xfId="0" applyFont="1" applyFill="1" applyAlignment="1" applyProtection="1">
      <alignment horizontal="left" vertical="center" shrinkToFit="1"/>
      <protection locked="0"/>
    </xf>
    <xf numFmtId="0" fontId="0" fillId="7" borderId="0" xfId="0" applyFill="1" applyAlignment="1">
      <alignment horizontal="left" vertical="center" shrinkToFit="1"/>
    </xf>
    <xf numFmtId="0" fontId="18" fillId="8" borderId="44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8" fillId="8" borderId="45" xfId="0" applyFont="1" applyFill="1" applyBorder="1" applyAlignment="1">
      <alignment horizontal="center"/>
    </xf>
    <xf numFmtId="0" fontId="0" fillId="2" borderId="0" xfId="0" applyFill="1" applyAlignment="1">
      <alignment horizontal="left" vertical="center" shrinkToFit="1"/>
    </xf>
    <xf numFmtId="49" fontId="21" fillId="15" borderId="0" xfId="0" applyNumberFormat="1" applyFont="1" applyFill="1" applyAlignment="1" applyProtection="1">
      <alignment horizontal="left" vertical="center" shrinkToFit="1"/>
      <protection locked="0"/>
    </xf>
    <xf numFmtId="0" fontId="0" fillId="12" borderId="0" xfId="0" applyFill="1" applyAlignment="1">
      <alignment horizontal="left" vertical="center" shrinkToFit="1"/>
    </xf>
    <xf numFmtId="0" fontId="18" fillId="8" borderId="1" xfId="0" applyFont="1" applyFill="1" applyBorder="1" applyAlignment="1">
      <alignment horizontal="center" vertical="center"/>
    </xf>
    <xf numFmtId="0" fontId="21" fillId="15" borderId="0" xfId="0" applyFont="1" applyFill="1" applyAlignment="1" applyProtection="1">
      <alignment horizontal="left" vertical="center" shrinkToFit="1"/>
      <protection locked="0"/>
    </xf>
    <xf numFmtId="0" fontId="0" fillId="2" borderId="0" xfId="0" applyFill="1" applyAlignment="1">
      <alignment horizontal="center"/>
    </xf>
    <xf numFmtId="0" fontId="18" fillId="14" borderId="72" xfId="0" applyFont="1" applyFill="1" applyBorder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8" fillId="13" borderId="44" xfId="0" applyFont="1" applyFill="1" applyBorder="1" applyAlignment="1">
      <alignment horizontal="center" vertical="center"/>
    </xf>
    <xf numFmtId="0" fontId="18" fillId="13" borderId="16" xfId="0" applyFont="1" applyFill="1" applyBorder="1" applyAlignment="1">
      <alignment horizontal="center" vertical="center"/>
    </xf>
    <xf numFmtId="0" fontId="18" fillId="13" borderId="45" xfId="0" applyFont="1" applyFill="1" applyBorder="1" applyAlignment="1">
      <alignment horizontal="center" vertical="center"/>
    </xf>
    <xf numFmtId="49" fontId="0" fillId="7" borderId="0" xfId="0" applyNumberForma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49" fontId="19" fillId="7" borderId="0" xfId="0" applyNumberFormat="1" applyFont="1" applyFill="1" applyAlignment="1" applyProtection="1">
      <alignment horizontal="left" vertical="center"/>
      <protection locked="0"/>
    </xf>
    <xf numFmtId="49" fontId="21" fillId="16" borderId="0" xfId="0" applyNumberFormat="1" applyFont="1" applyFill="1" applyAlignment="1" applyProtection="1">
      <alignment horizontal="left" vertical="center" shrinkToFit="1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0" xfId="0" applyFill="1" applyAlignment="1">
      <alignment horizontal="left" vertical="center" shrinkToFit="1"/>
    </xf>
    <xf numFmtId="0" fontId="25" fillId="9" borderId="71" xfId="0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18" fillId="8" borderId="73" xfId="0" applyFont="1" applyFill="1" applyBorder="1" applyAlignment="1">
      <alignment horizontal="center"/>
    </xf>
    <xf numFmtId="0" fontId="18" fillId="13" borderId="72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13" borderId="73" xfId="0" applyFont="1" applyFill="1" applyBorder="1" applyAlignment="1">
      <alignment horizontal="center" vertical="center"/>
    </xf>
    <xf numFmtId="0" fontId="25" fillId="9" borderId="46" xfId="0" applyFont="1" applyFill="1" applyBorder="1" applyAlignment="1">
      <alignment horizontal="left"/>
    </xf>
    <xf numFmtId="0" fontId="25" fillId="9" borderId="21" xfId="0" applyFont="1" applyFill="1" applyBorder="1" applyAlignment="1">
      <alignment horizontal="left"/>
    </xf>
    <xf numFmtId="0" fontId="25" fillId="9" borderId="64" xfId="0" applyFont="1" applyFill="1" applyBorder="1" applyAlignment="1">
      <alignment horizontal="left"/>
    </xf>
    <xf numFmtId="0" fontId="29" fillId="9" borderId="65" xfId="3" applyFont="1" applyFill="1" applyBorder="1" applyAlignment="1" applyProtection="1">
      <alignment horizontal="center" vertical="top" wrapText="1"/>
    </xf>
    <xf numFmtId="0" fontId="29" fillId="9" borderId="34" xfId="3" applyFont="1" applyFill="1" applyBorder="1" applyAlignment="1" applyProtection="1">
      <alignment horizontal="center" vertical="top" wrapText="1"/>
    </xf>
    <xf numFmtId="0" fontId="29" fillId="9" borderId="66" xfId="3" applyFont="1" applyFill="1" applyBorder="1" applyAlignment="1" applyProtection="1">
      <alignment horizontal="center" vertical="top" wrapText="1"/>
    </xf>
    <xf numFmtId="0" fontId="7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7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/>
      <protection hidden="1"/>
    </xf>
    <xf numFmtId="0" fontId="8" fillId="0" borderId="6" xfId="0" applyFont="1" applyBorder="1" applyProtection="1">
      <protection hidden="1"/>
    </xf>
    <xf numFmtId="0" fontId="8" fillId="0" borderId="7" xfId="0" applyFont="1" applyBorder="1" applyProtection="1">
      <protection hidden="1"/>
    </xf>
    <xf numFmtId="0" fontId="8" fillId="0" borderId="8" xfId="0" applyFont="1" applyBorder="1" applyProtection="1">
      <protection hidden="1"/>
    </xf>
    <xf numFmtId="0" fontId="7" fillId="0" borderId="6" xfId="0" applyFont="1" applyBorder="1" applyAlignment="1" applyProtection="1">
      <alignment horizontal="center" vertical="top"/>
      <protection hidden="1"/>
    </xf>
    <xf numFmtId="0" fontId="7" fillId="0" borderId="7" xfId="0" applyFont="1" applyBorder="1" applyAlignment="1" applyProtection="1">
      <alignment horizontal="center" vertical="top"/>
      <protection hidden="1"/>
    </xf>
    <xf numFmtId="0" fontId="7" fillId="0" borderId="8" xfId="0" applyFont="1" applyBorder="1" applyAlignment="1" applyProtection="1">
      <alignment horizontal="center" vertical="top"/>
      <protection hidden="1"/>
    </xf>
    <xf numFmtId="0" fontId="8" fillId="19" borderId="18" xfId="0" applyFont="1" applyFill="1" applyBorder="1" applyAlignment="1" applyProtection="1">
      <alignment horizontal="center" vertical="center" wrapText="1"/>
      <protection hidden="1"/>
    </xf>
    <xf numFmtId="0" fontId="8" fillId="19" borderId="12" xfId="0" applyFont="1" applyFill="1" applyBorder="1" applyAlignment="1" applyProtection="1">
      <alignment horizontal="center" vertical="center" wrapText="1"/>
      <protection hidden="1"/>
    </xf>
    <xf numFmtId="0" fontId="6" fillId="19" borderId="19" xfId="0" applyFont="1" applyFill="1" applyBorder="1" applyAlignment="1" applyProtection="1">
      <alignment horizontal="center" vertical="center" wrapText="1"/>
      <protection hidden="1"/>
    </xf>
    <xf numFmtId="0" fontId="6" fillId="19" borderId="30" xfId="0" applyFont="1" applyFill="1" applyBorder="1" applyAlignment="1" applyProtection="1">
      <alignment horizontal="center" vertical="center" wrapText="1"/>
      <protection hidden="1"/>
    </xf>
    <xf numFmtId="0" fontId="8" fillId="19" borderId="23" xfId="0" applyFont="1" applyFill="1" applyBorder="1" applyAlignment="1" applyProtection="1">
      <alignment horizontal="center" vertical="center" wrapText="1"/>
      <protection hidden="1"/>
    </xf>
    <xf numFmtId="0" fontId="8" fillId="19" borderId="24" xfId="0" applyFont="1" applyFill="1" applyBorder="1" applyAlignment="1" applyProtection="1">
      <alignment horizontal="center" vertical="center" wrapText="1"/>
      <protection hidden="1"/>
    </xf>
    <xf numFmtId="0" fontId="8" fillId="19" borderId="25" xfId="0" applyFont="1" applyFill="1" applyBorder="1" applyAlignment="1" applyProtection="1">
      <alignment horizontal="center" vertical="center" wrapText="1"/>
      <protection hidden="1"/>
    </xf>
    <xf numFmtId="0" fontId="6" fillId="19" borderId="23" xfId="0" applyFont="1" applyFill="1" applyBorder="1" applyAlignment="1" applyProtection="1">
      <alignment horizontal="center" vertical="center" wrapText="1"/>
      <protection hidden="1"/>
    </xf>
    <xf numFmtId="0" fontId="6" fillId="19" borderId="28" xfId="0" applyFont="1" applyFill="1" applyBorder="1" applyAlignment="1" applyProtection="1">
      <alignment horizontal="center" vertical="center" wrapText="1"/>
      <protection hidden="1"/>
    </xf>
    <xf numFmtId="0" fontId="8" fillId="19" borderId="17" xfId="0" applyFont="1" applyFill="1" applyBorder="1" applyAlignment="1" applyProtection="1">
      <alignment horizontal="center" vertical="center" wrapText="1"/>
      <protection hidden="1"/>
    </xf>
    <xf numFmtId="0" fontId="8" fillId="19" borderId="27" xfId="0" applyFont="1" applyFill="1" applyBorder="1" applyAlignment="1" applyProtection="1">
      <alignment horizontal="center" vertical="center" wrapText="1"/>
      <protection hidden="1"/>
    </xf>
    <xf numFmtId="0" fontId="8" fillId="19" borderId="19" xfId="0" applyFont="1" applyFill="1" applyBorder="1" applyAlignment="1" applyProtection="1">
      <alignment vertical="center" wrapText="1" shrinkToFit="1"/>
      <protection hidden="1"/>
    </xf>
    <xf numFmtId="0" fontId="6" fillId="19" borderId="30" xfId="0" applyFont="1" applyFill="1" applyBorder="1" applyAlignment="1">
      <alignment wrapText="1"/>
    </xf>
    <xf numFmtId="0" fontId="28" fillId="19" borderId="18" xfId="0" applyFont="1" applyFill="1" applyBorder="1" applyAlignment="1" applyProtection="1">
      <alignment horizontal="center" vertical="center" wrapText="1"/>
      <protection hidden="1"/>
    </xf>
    <xf numFmtId="0" fontId="28" fillId="19" borderId="12" xfId="0" applyFont="1" applyFill="1" applyBorder="1" applyAlignment="1" applyProtection="1">
      <alignment horizontal="center" vertical="center" wrapText="1"/>
      <protection hidden="1"/>
    </xf>
    <xf numFmtId="0" fontId="8" fillId="19" borderId="29" xfId="0" applyFont="1" applyFill="1" applyBorder="1" applyAlignment="1" applyProtection="1">
      <alignment horizontal="center" vertical="center" wrapText="1" shrinkToFit="1"/>
      <protection hidden="1"/>
    </xf>
    <xf numFmtId="0" fontId="6" fillId="19" borderId="20" xfId="0" applyFont="1" applyFill="1" applyBorder="1" applyAlignment="1" applyProtection="1">
      <alignment horizontal="center" vertical="center" wrapText="1"/>
      <protection hidden="1"/>
    </xf>
    <xf numFmtId="0" fontId="6" fillId="19" borderId="31" xfId="0" applyFont="1" applyFill="1" applyBorder="1" applyAlignment="1" applyProtection="1">
      <alignment horizontal="center" vertical="center" wrapText="1"/>
      <protection hidden="1"/>
    </xf>
    <xf numFmtId="0" fontId="14" fillId="0" borderId="15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5" fillId="0" borderId="15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6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left" wrapText="1"/>
      <protection hidden="1"/>
    </xf>
    <xf numFmtId="0" fontId="8" fillId="0" borderId="7" xfId="0" applyFont="1" applyBorder="1" applyAlignment="1" applyProtection="1">
      <alignment horizontal="left" wrapText="1"/>
      <protection hidden="1"/>
    </xf>
    <xf numFmtId="0" fontId="14" fillId="11" borderId="15" xfId="0" applyFont="1" applyFill="1" applyBorder="1" applyAlignment="1" applyProtection="1">
      <alignment horizontal="center" vertical="center"/>
      <protection hidden="1"/>
    </xf>
    <xf numFmtId="0" fontId="14" fillId="11" borderId="0" xfId="0" applyFont="1" applyFill="1" applyAlignment="1" applyProtection="1">
      <alignment horizontal="center" vertical="center"/>
      <protection hidden="1"/>
    </xf>
    <xf numFmtId="0" fontId="15" fillId="11" borderId="15" xfId="0" applyFont="1" applyFill="1" applyBorder="1" applyAlignment="1" applyProtection="1">
      <alignment horizontal="center" vertical="center"/>
      <protection hidden="1"/>
    </xf>
    <xf numFmtId="0" fontId="15" fillId="11" borderId="0" xfId="0" applyFont="1" applyFill="1" applyAlignment="1" applyProtection="1">
      <alignment horizontal="center" vertical="center"/>
      <protection hidden="1"/>
    </xf>
    <xf numFmtId="0" fontId="12" fillId="11" borderId="15" xfId="0" applyFont="1" applyFill="1" applyBorder="1" applyAlignment="1" applyProtection="1">
      <alignment horizontal="center" vertical="center"/>
      <protection hidden="1"/>
    </xf>
    <xf numFmtId="0" fontId="12" fillId="11" borderId="0" xfId="0" applyFont="1" applyFill="1" applyAlignment="1" applyProtection="1">
      <alignment horizontal="center" vertical="center"/>
      <protection hidden="1"/>
    </xf>
    <xf numFmtId="0" fontId="13" fillId="11" borderId="15" xfId="0" applyFont="1" applyFill="1" applyBorder="1" applyAlignment="1" applyProtection="1">
      <alignment horizontal="center" vertical="center"/>
      <protection hidden="1"/>
    </xf>
    <xf numFmtId="0" fontId="13" fillId="11" borderId="0" xfId="0" applyFont="1" applyFill="1" applyAlignment="1" applyProtection="1">
      <alignment horizontal="center" vertical="center"/>
      <protection hidden="1"/>
    </xf>
    <xf numFmtId="0" fontId="13" fillId="0" borderId="69" xfId="0" applyFont="1" applyBorder="1" applyAlignment="1" applyProtection="1">
      <alignment horizontal="center" vertical="center"/>
      <protection hidden="1"/>
    </xf>
    <xf numFmtId="0" fontId="13" fillId="0" borderId="34" xfId="0" applyFont="1" applyBorder="1" applyAlignment="1" applyProtection="1">
      <alignment horizontal="center" vertical="center"/>
      <protection hidden="1"/>
    </xf>
    <xf numFmtId="0" fontId="8" fillId="5" borderId="1" xfId="0" applyFont="1" applyFill="1" applyBorder="1" applyAlignment="1" applyProtection="1">
      <alignment horizontal="center" vertical="center"/>
      <protection hidden="1"/>
    </xf>
    <xf numFmtId="0" fontId="6" fillId="0" borderId="53" xfId="0" applyFont="1" applyBorder="1" applyAlignment="1" applyProtection="1">
      <alignment horizontal="center" vertical="center"/>
      <protection hidden="1"/>
    </xf>
    <xf numFmtId="0" fontId="6" fillId="0" borderId="52" xfId="0" applyFont="1" applyBorder="1" applyAlignment="1" applyProtection="1">
      <alignment horizontal="center" vertical="center"/>
      <protection hidden="1"/>
    </xf>
    <xf numFmtId="0" fontId="8" fillId="11" borderId="0" xfId="0" applyFont="1" applyFill="1" applyAlignment="1" applyProtection="1">
      <alignment horizontal="center" vertical="top"/>
      <protection hidden="1"/>
    </xf>
    <xf numFmtId="0" fontId="0" fillId="0" borderId="2" xfId="0" applyBorder="1" applyAlignment="1" applyProtection="1">
      <alignment horizontal="center"/>
      <protection hidden="1"/>
    </xf>
    <xf numFmtId="0" fontId="7" fillId="11" borderId="0" xfId="0" applyFont="1" applyFill="1" applyAlignment="1" applyProtection="1">
      <alignment horizontal="center" vertical="top"/>
      <protection hidden="1"/>
    </xf>
    <xf numFmtId="0" fontId="7" fillId="11" borderId="10" xfId="0" applyFont="1" applyFill="1" applyBorder="1" applyAlignment="1" applyProtection="1">
      <alignment horizontal="center" vertical="top"/>
      <protection hidden="1"/>
    </xf>
    <xf numFmtId="0" fontId="7" fillId="11" borderId="11" xfId="0" applyFont="1" applyFill="1" applyBorder="1" applyAlignment="1" applyProtection="1">
      <alignment horizontal="center" vertical="top"/>
      <protection hidden="1"/>
    </xf>
    <xf numFmtId="0" fontId="8" fillId="5" borderId="46" xfId="0" applyFont="1" applyFill="1" applyBorder="1" applyAlignment="1" applyProtection="1">
      <alignment horizontal="center" vertical="center"/>
      <protection hidden="1"/>
    </xf>
    <xf numFmtId="0" fontId="0" fillId="0" borderId="21" xfId="0" applyBorder="1"/>
    <xf numFmtId="0" fontId="0" fillId="0" borderId="22" xfId="0" applyBorder="1"/>
    <xf numFmtId="0" fontId="0" fillId="0" borderId="47" xfId="0" applyBorder="1"/>
    <xf numFmtId="0" fontId="0" fillId="0" borderId="16" xfId="0" applyBorder="1"/>
    <xf numFmtId="0" fontId="0" fillId="0" borderId="45" xfId="0" applyBorder="1"/>
    <xf numFmtId="0" fontId="8" fillId="5" borderId="20" xfId="0" applyFont="1" applyFill="1" applyBorder="1" applyAlignment="1" applyProtection="1">
      <alignment horizontal="center" vertical="center"/>
      <protection hidden="1"/>
    </xf>
    <xf numFmtId="0" fontId="8" fillId="5" borderId="21" xfId="0" applyFont="1" applyFill="1" applyBorder="1" applyAlignment="1" applyProtection="1">
      <alignment horizontal="center" vertical="center"/>
      <protection hidden="1"/>
    </xf>
    <xf numFmtId="0" fontId="8" fillId="5" borderId="22" xfId="0" applyFont="1" applyFill="1" applyBorder="1" applyAlignment="1" applyProtection="1">
      <alignment horizontal="center" vertical="center"/>
      <protection hidden="1"/>
    </xf>
    <xf numFmtId="0" fontId="8" fillId="5" borderId="44" xfId="0" applyFont="1" applyFill="1" applyBorder="1" applyAlignment="1" applyProtection="1">
      <alignment horizontal="center" vertical="center"/>
      <protection hidden="1"/>
    </xf>
    <xf numFmtId="0" fontId="8" fillId="5" borderId="16" xfId="0" applyFont="1" applyFill="1" applyBorder="1" applyAlignment="1" applyProtection="1">
      <alignment horizontal="center" vertical="center"/>
      <protection hidden="1"/>
    </xf>
    <xf numFmtId="0" fontId="8" fillId="5" borderId="45" xfId="0" applyFont="1" applyFill="1" applyBorder="1" applyAlignment="1" applyProtection="1">
      <alignment horizontal="center" vertical="center"/>
      <protection hidden="1"/>
    </xf>
    <xf numFmtId="0" fontId="8" fillId="5" borderId="18" xfId="0" applyFont="1" applyFill="1" applyBorder="1" applyAlignment="1" applyProtection="1">
      <alignment horizontal="center" vertical="center"/>
      <protection hidden="1"/>
    </xf>
    <xf numFmtId="0" fontId="8" fillId="5" borderId="18" xfId="0" applyFont="1" applyFill="1" applyBorder="1" applyAlignment="1" applyProtection="1">
      <alignment horizontal="center"/>
      <protection hidden="1"/>
    </xf>
    <xf numFmtId="0" fontId="8" fillId="5" borderId="26" xfId="0" applyFont="1" applyFill="1" applyBorder="1" applyAlignment="1" applyProtection="1">
      <alignment horizontal="center" vertical="center"/>
      <protection hidden="1"/>
    </xf>
    <xf numFmtId="0" fontId="8" fillId="5" borderId="48" xfId="0" applyFont="1" applyFill="1" applyBorder="1" applyAlignment="1" applyProtection="1">
      <alignment horizontal="center" vertical="center"/>
      <protection hidden="1"/>
    </xf>
    <xf numFmtId="0" fontId="8" fillId="5" borderId="32" xfId="0" applyFont="1" applyFill="1" applyBorder="1" applyAlignment="1" applyProtection="1">
      <alignment horizontal="center" vertical="center"/>
      <protection hidden="1"/>
    </xf>
    <xf numFmtId="0" fontId="9" fillId="11" borderId="0" xfId="0" applyFont="1" applyFill="1" applyAlignment="1" applyProtection="1">
      <alignment horizontal="center"/>
      <protection hidden="1"/>
    </xf>
    <xf numFmtId="0" fontId="8" fillId="11" borderId="0" xfId="0" applyFont="1" applyFill="1" applyAlignment="1" applyProtection="1">
      <alignment horizontal="center"/>
      <protection hidden="1"/>
    </xf>
    <xf numFmtId="0" fontId="8" fillId="0" borderId="55" xfId="0" applyFont="1" applyBorder="1" applyAlignment="1" applyProtection="1">
      <alignment horizontal="center" vertical="top"/>
      <protection hidden="1"/>
    </xf>
    <xf numFmtId="0" fontId="8" fillId="0" borderId="49" xfId="0" applyFont="1" applyBorder="1" applyAlignment="1" applyProtection="1">
      <alignment horizontal="center" vertical="top"/>
      <protection hidden="1"/>
    </xf>
    <xf numFmtId="0" fontId="8" fillId="0" borderId="50" xfId="0" applyFont="1" applyBorder="1" applyAlignment="1" applyProtection="1">
      <alignment horizontal="center" vertical="top"/>
      <protection hidden="1"/>
    </xf>
    <xf numFmtId="0" fontId="8" fillId="5" borderId="14" xfId="0" applyFont="1" applyFill="1" applyBorder="1" applyAlignment="1" applyProtection="1">
      <alignment horizontal="center" vertical="top" wrapText="1"/>
      <protection hidden="1"/>
    </xf>
    <xf numFmtId="0" fontId="8" fillId="5" borderId="1" xfId="0" applyFont="1" applyFill="1" applyBorder="1" applyAlignment="1" applyProtection="1">
      <alignment horizontal="center" vertical="top" wrapText="1"/>
      <protection hidden="1"/>
    </xf>
    <xf numFmtId="0" fontId="8" fillId="5" borderId="48" xfId="0" applyFont="1" applyFill="1" applyBorder="1" applyAlignment="1" applyProtection="1">
      <alignment horizontal="center" vertical="top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/>
      <protection hidden="1"/>
    </xf>
    <xf numFmtId="0" fontId="7" fillId="11" borderId="0" xfId="0" applyFont="1" applyFill="1" applyAlignment="1" applyProtection="1">
      <alignment horizontal="left" vertic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8" fillId="11" borderId="0" xfId="0" applyFont="1" applyFill="1" applyAlignment="1" applyProtection="1">
      <alignment horizontal="left"/>
      <protection hidden="1"/>
    </xf>
  </cellXfs>
  <cellStyles count="6">
    <cellStyle name="Comma" xfId="2" builtinId="3"/>
    <cellStyle name="Comma 2" xfId="4" xr:uid="{5A7B1716-577B-40E6-AB8A-DD06C1C55ADA}"/>
    <cellStyle name="Comma 3" xfId="5" xr:uid="{5A40C665-17F1-4F1C-B94E-992F9C32E7C3}"/>
    <cellStyle name="Hyperlink" xfId="3" builtinId="8"/>
    <cellStyle name="Normal" xfId="0" builtinId="0"/>
    <cellStyle name="Percent" xfId="1" builtinId="5"/>
  </cellStyles>
  <dxfs count="6"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8F8F8"/>
      <color rgb="FFFF5050"/>
      <color rgb="FFFFFFCC"/>
      <color rgb="FFFF6600"/>
      <color rgb="FFFF3300"/>
      <color rgb="FFCCFFCC"/>
      <color rgb="FFFF7C8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370423</xdr:colOff>
      <xdr:row>1</xdr:row>
      <xdr:rowOff>3186</xdr:rowOff>
    </xdr:from>
    <xdr:to>
      <xdr:col>4</xdr:col>
      <xdr:colOff>586270</xdr:colOff>
      <xdr:row>5</xdr:row>
      <xdr:rowOff>170826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7698" y="98436"/>
          <a:ext cx="1002411" cy="100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370423</xdr:colOff>
      <xdr:row>1</xdr:row>
      <xdr:rowOff>3186</xdr:rowOff>
    </xdr:from>
    <xdr:to>
      <xdr:col>4</xdr:col>
      <xdr:colOff>506059</xdr:colOff>
      <xdr:row>5</xdr:row>
      <xdr:rowOff>170826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6" y="95790"/>
          <a:ext cx="1008761" cy="1001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542925</xdr:colOff>
      <xdr:row>54</xdr:row>
      <xdr:rowOff>38100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542925" y="1108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369449</xdr:colOff>
      <xdr:row>0</xdr:row>
      <xdr:rowOff>36550</xdr:rowOff>
    </xdr:from>
    <xdr:to>
      <xdr:col>3</xdr:col>
      <xdr:colOff>629159</xdr:colOff>
      <xdr:row>4</xdr:row>
      <xdr:rowOff>84853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858" y="36550"/>
          <a:ext cx="964502" cy="9586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80432</xdr:colOff>
      <xdr:row>0</xdr:row>
      <xdr:rowOff>52906</xdr:rowOff>
    </xdr:from>
    <xdr:to>
      <xdr:col>1</xdr:col>
      <xdr:colOff>96688</xdr:colOff>
      <xdr:row>0</xdr:row>
      <xdr:rowOff>52906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5757" y="52906"/>
          <a:ext cx="1019100" cy="1005025"/>
        </a:xfrm>
        <a:prstGeom prst="rect">
          <a:avLst/>
        </a:prstGeom>
      </xdr:spPr>
    </xdr:pic>
    <xdr:clientData/>
  </xdr:twoCellAnchor>
  <xdr:twoCellAnchor editAs="oneCell">
    <xdr:from>
      <xdr:col>1</xdr:col>
      <xdr:colOff>80421</xdr:colOff>
      <xdr:row>0</xdr:row>
      <xdr:rowOff>33855</xdr:rowOff>
    </xdr:from>
    <xdr:to>
      <xdr:col>2</xdr:col>
      <xdr:colOff>419100</xdr:colOff>
      <xdr:row>4</xdr:row>
      <xdr:rowOff>128639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32946" y="33855"/>
          <a:ext cx="957804" cy="952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000"/>
  <sheetViews>
    <sheetView showGridLines="0" topLeftCell="B1" zoomScale="95" zoomScaleNormal="95" zoomScaleSheetLayoutView="100" workbookViewId="0">
      <selection activeCell="N37" sqref="N37"/>
    </sheetView>
  </sheetViews>
  <sheetFormatPr defaultColWidth="0" defaultRowHeight="20.100000000000001" customHeight="1" zeroHeight="1" x14ac:dyDescent="0.25"/>
  <cols>
    <col min="1" max="1" width="1.42578125" customWidth="1"/>
    <col min="2" max="2" width="1.5703125" customWidth="1"/>
    <col min="3" max="17" width="11.7109375" customWidth="1"/>
    <col min="18" max="19" width="1.42578125" customWidth="1"/>
    <col min="20" max="29" width="0" hidden="1" customWidth="1"/>
    <col min="30" max="16384" width="14.85546875" hidden="1"/>
  </cols>
  <sheetData>
    <row r="1" spans="1:21" ht="7.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1" ht="18" customHeight="1" x14ac:dyDescent="0.25">
      <c r="A2" s="25"/>
      <c r="B2" s="284" t="s">
        <v>94</v>
      </c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"/>
      <c r="S2" s="25"/>
    </row>
    <row r="3" spans="1:21" ht="16.5" x14ac:dyDescent="0.25">
      <c r="A3" s="25"/>
      <c r="B3" s="285" t="s">
        <v>95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"/>
      <c r="S3" s="25"/>
    </row>
    <row r="4" spans="1:21" ht="16.5" customHeight="1" x14ac:dyDescent="0.25">
      <c r="A4" s="25"/>
      <c r="B4" s="286" t="s">
        <v>96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"/>
      <c r="S4" s="25"/>
    </row>
    <row r="5" spans="1:21" ht="15" x14ac:dyDescent="0.25">
      <c r="A5" s="25"/>
      <c r="B5" s="287" t="s">
        <v>97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"/>
      <c r="S5" s="25"/>
    </row>
    <row r="6" spans="1:21" ht="15" x14ac:dyDescent="0.25">
      <c r="A6" s="25"/>
      <c r="B6" s="287" t="s">
        <v>98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"/>
      <c r="S6" s="25"/>
    </row>
    <row r="7" spans="1:21" ht="3.2" customHeight="1" x14ac:dyDescent="0.25">
      <c r="A7" s="25"/>
      <c r="B7" s="1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"/>
      <c r="R7" s="2"/>
      <c r="S7" s="25"/>
    </row>
    <row r="8" spans="1:21" ht="3" customHeight="1" x14ac:dyDescent="0.25">
      <c r="A8" s="25"/>
      <c r="B8" s="1"/>
      <c r="C8" s="1"/>
      <c r="D8" s="1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"/>
      <c r="R8" s="2"/>
      <c r="S8" s="25"/>
    </row>
    <row r="9" spans="1:21" ht="8.25" hidden="1" customHeight="1" x14ac:dyDescent="0.25">
      <c r="A9" s="25"/>
      <c r="B9" s="1"/>
      <c r="C9" s="1"/>
      <c r="D9" s="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"/>
      <c r="R9" s="2"/>
      <c r="S9" s="25"/>
    </row>
    <row r="10" spans="1:21" ht="15" x14ac:dyDescent="0.25">
      <c r="A10" s="25"/>
      <c r="B10" s="1"/>
      <c r="C10" s="282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"/>
      <c r="S10" s="25"/>
    </row>
    <row r="11" spans="1:21" ht="30" customHeight="1" x14ac:dyDescent="0.25">
      <c r="A11" s="2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/>
      <c r="S11" s="25"/>
    </row>
    <row r="12" spans="1:21" ht="3" customHeight="1" x14ac:dyDescent="0.25">
      <c r="A12" s="2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"/>
      <c r="S12" s="25"/>
    </row>
    <row r="13" spans="1:21" ht="15" x14ac:dyDescent="0.25">
      <c r="A13" s="25"/>
      <c r="B13" s="1"/>
      <c r="C13" s="289" t="s">
        <v>42</v>
      </c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"/>
      <c r="S13" s="25"/>
      <c r="U13" t="s">
        <v>82</v>
      </c>
    </row>
    <row r="14" spans="1:21" ht="7.5" customHeight="1" x14ac:dyDescent="0.25">
      <c r="A14" s="25"/>
      <c r="B14" s="1"/>
      <c r="C14" s="1"/>
      <c r="D14" s="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"/>
      <c r="S14" s="25"/>
      <c r="U14" t="s">
        <v>83</v>
      </c>
    </row>
    <row r="15" spans="1:21" ht="15" x14ac:dyDescent="0.25">
      <c r="A15" s="25"/>
      <c r="B15" s="1"/>
      <c r="C15" s="1" t="s">
        <v>112</v>
      </c>
      <c r="D15" s="1"/>
      <c r="E15" s="280" t="s">
        <v>184</v>
      </c>
      <c r="F15" s="280"/>
      <c r="G15" s="1"/>
      <c r="H15" s="1"/>
      <c r="I15" s="1" t="s">
        <v>141</v>
      </c>
      <c r="J15" s="1"/>
      <c r="K15" s="281" t="s">
        <v>89</v>
      </c>
      <c r="L15" s="281"/>
      <c r="M15" s="20"/>
      <c r="N15" s="1" t="s">
        <v>143</v>
      </c>
      <c r="O15" s="1"/>
      <c r="P15" s="281" t="s">
        <v>179</v>
      </c>
      <c r="Q15" s="281"/>
      <c r="R15" s="2"/>
      <c r="S15" s="25"/>
      <c r="U15" t="s">
        <v>84</v>
      </c>
    </row>
    <row r="16" spans="1:21" ht="3" customHeight="1" x14ac:dyDescent="0.25">
      <c r="A16" s="25"/>
      <c r="B16" s="1"/>
      <c r="C16" s="1"/>
      <c r="D16" s="1"/>
      <c r="E16" s="1"/>
      <c r="F16" s="1"/>
      <c r="G16" s="1"/>
      <c r="H16" s="1"/>
      <c r="I16" s="1"/>
      <c r="J16" s="1"/>
      <c r="K16" s="22"/>
      <c r="L16" s="22"/>
      <c r="M16" s="20"/>
      <c r="N16" s="1"/>
      <c r="O16" s="1"/>
      <c r="P16" s="22"/>
      <c r="Q16" s="22"/>
      <c r="R16" s="2"/>
      <c r="S16" s="25"/>
      <c r="U16" t="s">
        <v>85</v>
      </c>
    </row>
    <row r="17" spans="1:29" ht="15" customHeight="1" x14ac:dyDescent="0.25">
      <c r="A17" s="25"/>
      <c r="B17" s="1"/>
      <c r="C17" s="1" t="s">
        <v>111</v>
      </c>
      <c r="D17" s="1"/>
      <c r="E17" s="278" t="s">
        <v>43</v>
      </c>
      <c r="F17" s="278"/>
      <c r="G17" s="115" t="s">
        <v>181</v>
      </c>
      <c r="H17" s="1"/>
      <c r="I17" s="1" t="s">
        <v>142</v>
      </c>
      <c r="J17" s="1"/>
      <c r="K17" s="276" t="s">
        <v>99</v>
      </c>
      <c r="L17" s="276"/>
      <c r="M17" s="20"/>
      <c r="N17" s="1" t="s">
        <v>142</v>
      </c>
      <c r="O17" s="1"/>
      <c r="P17" s="276" t="s">
        <v>180</v>
      </c>
      <c r="Q17" s="276"/>
      <c r="R17" s="2"/>
      <c r="S17" s="25"/>
      <c r="U17" t="s">
        <v>86</v>
      </c>
    </row>
    <row r="18" spans="1:29" ht="15" x14ac:dyDescent="0.25">
      <c r="A18" s="25"/>
      <c r="B18" s="1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1"/>
      <c r="R18" s="2"/>
      <c r="S18" s="25"/>
      <c r="U18" t="s">
        <v>87</v>
      </c>
    </row>
    <row r="19" spans="1:29" ht="2.1" customHeight="1" x14ac:dyDescent="0.25">
      <c r="A19" s="25"/>
      <c r="B19" s="1"/>
      <c r="C19" s="277" t="s">
        <v>0</v>
      </c>
      <c r="D19" s="277"/>
      <c r="E19" s="1"/>
      <c r="F19" s="1"/>
      <c r="G19" s="1"/>
      <c r="H19" s="1"/>
      <c r="I19" s="1"/>
      <c r="J19" s="19" t="s">
        <v>16</v>
      </c>
      <c r="K19" s="1"/>
      <c r="L19" s="1"/>
      <c r="M19" s="1"/>
      <c r="N19" s="1"/>
      <c r="O19" s="1"/>
      <c r="P19" s="1"/>
      <c r="Q19" s="1"/>
      <c r="R19" s="2"/>
      <c r="S19" s="25"/>
      <c r="U19" t="s">
        <v>43</v>
      </c>
    </row>
    <row r="20" spans="1:29" ht="15" x14ac:dyDescent="0.25">
      <c r="A20" s="25"/>
      <c r="B20" s="1"/>
      <c r="C20" s="259" t="s">
        <v>1</v>
      </c>
      <c r="D20" s="259"/>
      <c r="E20" s="269" t="s">
        <v>116</v>
      </c>
      <c r="F20" s="269"/>
      <c r="G20" s="269"/>
      <c r="H20" s="269"/>
      <c r="I20" s="1"/>
      <c r="J20" s="1"/>
      <c r="K20" s="1"/>
      <c r="L20" s="1" t="s">
        <v>17</v>
      </c>
      <c r="M20" s="1"/>
      <c r="N20" s="267" t="s">
        <v>92</v>
      </c>
      <c r="O20" s="267"/>
      <c r="P20" s="267"/>
      <c r="Q20" s="267"/>
      <c r="R20" s="2"/>
      <c r="S20" s="25"/>
      <c r="U20" t="s">
        <v>44</v>
      </c>
    </row>
    <row r="21" spans="1:29" ht="3" customHeight="1" x14ac:dyDescent="0.25">
      <c r="A21" s="25"/>
      <c r="B21" s="1"/>
      <c r="C21" s="22"/>
      <c r="D21" s="22"/>
      <c r="E21" s="265"/>
      <c r="F21" s="265"/>
      <c r="G21" s="265"/>
      <c r="H21" s="265"/>
      <c r="I21" s="1"/>
      <c r="J21" s="1"/>
      <c r="K21" s="1"/>
      <c r="L21" s="1"/>
      <c r="M21" s="1"/>
      <c r="N21" s="265"/>
      <c r="O21" s="265"/>
      <c r="P21" s="265"/>
      <c r="Q21" s="265"/>
      <c r="R21" s="2"/>
      <c r="S21" s="25"/>
      <c r="U21" t="s">
        <v>55</v>
      </c>
    </row>
    <row r="22" spans="1:29" ht="15" x14ac:dyDescent="0.25">
      <c r="A22" s="25"/>
      <c r="B22" s="1"/>
      <c r="C22" s="259" t="s">
        <v>2</v>
      </c>
      <c r="D22" s="259"/>
      <c r="E22" s="279" t="s">
        <v>117</v>
      </c>
      <c r="F22" s="279"/>
      <c r="G22" s="279"/>
      <c r="H22" s="279"/>
      <c r="I22" s="1"/>
      <c r="J22" s="1"/>
      <c r="K22" s="1"/>
      <c r="L22" s="1" t="s">
        <v>18</v>
      </c>
      <c r="M22" s="1"/>
      <c r="N22" s="261" t="s">
        <v>93</v>
      </c>
      <c r="O22" s="261"/>
      <c r="P22" s="261"/>
      <c r="Q22" s="261"/>
      <c r="R22" s="2"/>
      <c r="S22" s="25"/>
      <c r="U22" t="s">
        <v>58</v>
      </c>
    </row>
    <row r="23" spans="1:29" ht="3" customHeight="1" x14ac:dyDescent="0.25">
      <c r="A23" s="25"/>
      <c r="B23" s="1"/>
      <c r="C23" s="22"/>
      <c r="D23" s="22"/>
      <c r="E23" s="265"/>
      <c r="F23" s="265"/>
      <c r="G23" s="265"/>
      <c r="H23" s="265"/>
      <c r="I23" s="1"/>
      <c r="J23" s="1"/>
      <c r="K23" s="1"/>
      <c r="L23" s="1"/>
      <c r="M23" s="1"/>
      <c r="N23" s="265"/>
      <c r="O23" s="265"/>
      <c r="P23" s="265"/>
      <c r="Q23" s="265"/>
      <c r="R23" s="2"/>
      <c r="S23" s="25"/>
      <c r="U23" t="s">
        <v>56</v>
      </c>
    </row>
    <row r="24" spans="1:29" ht="15" x14ac:dyDescent="0.25">
      <c r="A24" s="25"/>
      <c r="B24" s="1"/>
      <c r="C24" s="259" t="s">
        <v>3</v>
      </c>
      <c r="D24" s="259"/>
      <c r="E24" s="266" t="s">
        <v>120</v>
      </c>
      <c r="F24" s="266"/>
      <c r="G24" s="266"/>
      <c r="H24" s="266"/>
      <c r="I24" s="1"/>
      <c r="J24" s="1"/>
      <c r="K24" s="1"/>
      <c r="L24" s="1" t="s">
        <v>19</v>
      </c>
      <c r="M24" s="1"/>
      <c r="N24" s="267" t="s">
        <v>199</v>
      </c>
      <c r="O24" s="267"/>
      <c r="P24" s="267"/>
      <c r="Q24" s="267"/>
      <c r="R24" s="2"/>
      <c r="S24" s="25"/>
      <c r="U24" t="s">
        <v>57</v>
      </c>
    </row>
    <row r="25" spans="1:29" ht="3" customHeight="1" x14ac:dyDescent="0.25">
      <c r="A25" s="25"/>
      <c r="B25" s="1"/>
      <c r="C25" s="22"/>
      <c r="D25" s="22"/>
      <c r="E25" s="265"/>
      <c r="F25" s="265"/>
      <c r="G25" s="265"/>
      <c r="H25" s="265"/>
      <c r="I25" s="1"/>
      <c r="J25" s="1"/>
      <c r="K25" s="1"/>
      <c r="L25" s="1"/>
      <c r="M25" s="1"/>
      <c r="N25" s="265"/>
      <c r="O25" s="265"/>
      <c r="P25" s="265"/>
      <c r="Q25" s="265"/>
      <c r="R25" s="2"/>
      <c r="S25" s="25"/>
    </row>
    <row r="26" spans="1:29" ht="15" x14ac:dyDescent="0.25">
      <c r="A26" s="25"/>
      <c r="B26" s="1"/>
      <c r="C26" s="259" t="s">
        <v>4</v>
      </c>
      <c r="D26" s="259"/>
      <c r="E26" s="260" t="s">
        <v>171</v>
      </c>
      <c r="F26" s="260"/>
      <c r="G26" s="260"/>
      <c r="H26" s="260"/>
      <c r="I26" s="1"/>
      <c r="J26" s="1"/>
      <c r="K26" s="1"/>
      <c r="L26" s="1" t="s">
        <v>20</v>
      </c>
      <c r="M26" s="1"/>
      <c r="N26" s="261" t="s">
        <v>45</v>
      </c>
      <c r="O26" s="261"/>
      <c r="P26" s="261"/>
      <c r="Q26" s="261"/>
      <c r="R26" s="2"/>
      <c r="S26" s="25"/>
    </row>
    <row r="27" spans="1:29" ht="3" customHeight="1" x14ac:dyDescent="0.25">
      <c r="A27" s="25"/>
      <c r="B27" s="1"/>
      <c r="C27" s="22"/>
      <c r="D27" s="22"/>
      <c r="E27" s="265"/>
      <c r="F27" s="265"/>
      <c r="G27" s="265"/>
      <c r="H27" s="265"/>
      <c r="I27" s="1"/>
      <c r="J27" s="1"/>
      <c r="K27" s="1"/>
      <c r="L27" s="1"/>
      <c r="M27" s="1"/>
      <c r="N27" s="265"/>
      <c r="O27" s="265"/>
      <c r="P27" s="265"/>
      <c r="Q27" s="265"/>
      <c r="R27" s="2"/>
      <c r="S27" s="25"/>
    </row>
    <row r="28" spans="1:29" ht="15" customHeight="1" x14ac:dyDescent="0.25">
      <c r="A28" s="25"/>
      <c r="B28" s="1"/>
      <c r="C28" s="259" t="s">
        <v>5</v>
      </c>
      <c r="D28" s="259"/>
      <c r="E28" s="269" t="s">
        <v>118</v>
      </c>
      <c r="F28" s="269"/>
      <c r="G28" s="269"/>
      <c r="H28" s="269"/>
      <c r="I28" s="1"/>
      <c r="J28" s="1"/>
      <c r="K28" s="1"/>
      <c r="L28" s="1" t="s">
        <v>21</v>
      </c>
      <c r="M28" s="1"/>
      <c r="N28" s="267" t="s">
        <v>46</v>
      </c>
      <c r="O28" s="267"/>
      <c r="P28" s="267"/>
      <c r="Q28" s="267"/>
      <c r="R28" s="2"/>
      <c r="S28" s="25"/>
    </row>
    <row r="29" spans="1:29" ht="3" customHeight="1" x14ac:dyDescent="0.25">
      <c r="A29" s="25"/>
      <c r="B29" s="1"/>
      <c r="C29" s="22"/>
      <c r="D29" s="22"/>
      <c r="E29" s="265"/>
      <c r="F29" s="265"/>
      <c r="G29" s="265"/>
      <c r="H29" s="265"/>
      <c r="I29" s="1"/>
      <c r="J29" s="1"/>
      <c r="K29" s="1"/>
      <c r="L29" s="1"/>
      <c r="M29" s="1"/>
      <c r="N29" s="1"/>
      <c r="O29" s="1"/>
      <c r="P29" s="1"/>
      <c r="Q29" s="1"/>
      <c r="R29" s="2"/>
      <c r="S29" s="25"/>
    </row>
    <row r="30" spans="1:29" ht="15" customHeight="1" x14ac:dyDescent="0.25">
      <c r="A30" s="25"/>
      <c r="B30" s="1"/>
      <c r="C30" s="259" t="s">
        <v>6</v>
      </c>
      <c r="D30" s="259"/>
      <c r="E30" s="260" t="s">
        <v>178</v>
      </c>
      <c r="F30" s="260"/>
      <c r="G30" s="260"/>
      <c r="H30" s="260"/>
      <c r="I30" s="1"/>
      <c r="J30" s="1"/>
      <c r="K30" s="1"/>
      <c r="L30" s="1"/>
      <c r="M30" s="1"/>
      <c r="N30" s="1"/>
      <c r="O30" s="1"/>
      <c r="P30" s="1"/>
      <c r="Q30" s="1"/>
      <c r="R30" s="2"/>
      <c r="S30" s="25"/>
      <c r="U30" t="s">
        <v>167</v>
      </c>
      <c r="Y30" s="36" t="s">
        <v>32</v>
      </c>
      <c r="AA30" s="161" t="s">
        <v>153</v>
      </c>
      <c r="AB30" s="161" t="s">
        <v>144</v>
      </c>
      <c r="AC30" s="161"/>
    </row>
    <row r="31" spans="1:29" ht="15" x14ac:dyDescent="0.25">
      <c r="A31" s="25"/>
      <c r="B31" s="1"/>
      <c r="C31" s="1"/>
      <c r="D31" s="270"/>
      <c r="E31" s="270"/>
      <c r="F31" s="1"/>
      <c r="G31" s="1"/>
      <c r="H31" s="1"/>
      <c r="I31" s="1"/>
      <c r="J31" s="1"/>
      <c r="K31" s="270"/>
      <c r="L31" s="270"/>
      <c r="M31" s="1"/>
      <c r="N31" s="1"/>
      <c r="O31" s="1"/>
      <c r="P31" s="1"/>
      <c r="Q31" s="1"/>
      <c r="R31" s="2"/>
      <c r="S31" s="25"/>
      <c r="U31" t="s">
        <v>157</v>
      </c>
      <c r="Y31" s="36" t="s">
        <v>33</v>
      </c>
      <c r="AA31" s="161" t="s">
        <v>153</v>
      </c>
      <c r="AB31" s="161" t="s">
        <v>145</v>
      </c>
      <c r="AC31" s="161"/>
    </row>
    <row r="32" spans="1:29" ht="15.75" x14ac:dyDescent="0.25">
      <c r="A32" s="25"/>
      <c r="B32" s="1"/>
      <c r="C32" s="258" t="str">
        <f>"DATA JUMLAH SISWA/PESERTA EKSTRAKURIKULER BULAN "&amp;E17&amp;" "&amp;G17</f>
        <v>DATA JUMLAH SISWA/PESERTA EKSTRAKURIKULER BULAN JULI 2026</v>
      </c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"/>
      <c r="R32" s="2"/>
      <c r="S32" s="25"/>
      <c r="U32" t="s">
        <v>169</v>
      </c>
      <c r="Y32" s="36" t="s">
        <v>34</v>
      </c>
      <c r="AA32" s="161" t="s">
        <v>154</v>
      </c>
      <c r="AB32" s="161" t="s">
        <v>146</v>
      </c>
      <c r="AC32" s="161"/>
    </row>
    <row r="33" spans="1:29" ht="7.5" customHeight="1" x14ac:dyDescent="0.25">
      <c r="A33" s="2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  <c r="S33" s="25"/>
      <c r="U33" t="s">
        <v>168</v>
      </c>
      <c r="Y33" s="36" t="s">
        <v>128</v>
      </c>
      <c r="AA33" s="161" t="s">
        <v>154</v>
      </c>
      <c r="AB33" s="161" t="s">
        <v>147</v>
      </c>
      <c r="AC33" s="161"/>
    </row>
    <row r="34" spans="1:29" ht="15" customHeight="1" x14ac:dyDescent="0.25">
      <c r="A34" s="25"/>
      <c r="B34" s="1"/>
      <c r="C34" s="268"/>
      <c r="D34" s="262" t="s">
        <v>113</v>
      </c>
      <c r="E34" s="263"/>
      <c r="F34" s="263"/>
      <c r="G34" s="264"/>
      <c r="H34" s="273" t="s">
        <v>114</v>
      </c>
      <c r="I34" s="274"/>
      <c r="J34" s="274"/>
      <c r="K34" s="274"/>
      <c r="L34" s="275"/>
      <c r="M34" s="271" t="s">
        <v>115</v>
      </c>
      <c r="N34" s="272"/>
      <c r="O34" s="272"/>
      <c r="P34" s="272"/>
      <c r="Q34" s="272"/>
      <c r="R34" s="2"/>
      <c r="S34" s="25"/>
      <c r="U34" t="s">
        <v>170</v>
      </c>
      <c r="Y34" s="37" t="s">
        <v>35</v>
      </c>
      <c r="AA34" s="161" t="s">
        <v>155</v>
      </c>
      <c r="AB34" s="161" t="s">
        <v>148</v>
      </c>
      <c r="AC34" s="161"/>
    </row>
    <row r="35" spans="1:29" ht="15" customHeight="1" x14ac:dyDescent="0.25">
      <c r="A35" s="25"/>
      <c r="B35" s="1"/>
      <c r="C35" s="268"/>
      <c r="D35" s="36" t="s">
        <v>32</v>
      </c>
      <c r="E35" s="36" t="s">
        <v>33</v>
      </c>
      <c r="F35" s="36"/>
      <c r="G35" s="36"/>
      <c r="H35" s="37" t="s">
        <v>35</v>
      </c>
      <c r="I35" s="37" t="s">
        <v>36</v>
      </c>
      <c r="J35" s="37"/>
      <c r="K35" s="37"/>
      <c r="L35" s="37"/>
      <c r="M35" s="38" t="s">
        <v>102</v>
      </c>
      <c r="N35" s="38" t="s">
        <v>103</v>
      </c>
      <c r="O35" s="38" t="s">
        <v>104</v>
      </c>
      <c r="P35" s="38"/>
      <c r="Q35" s="38"/>
      <c r="R35" s="2"/>
      <c r="S35" s="25"/>
      <c r="U35" t="s">
        <v>171</v>
      </c>
      <c r="Y35" s="37" t="s">
        <v>36</v>
      </c>
      <c r="AA35" s="161" t="s">
        <v>155</v>
      </c>
      <c r="AB35" s="161" t="s">
        <v>149</v>
      </c>
      <c r="AC35" s="161"/>
    </row>
    <row r="36" spans="1:29" ht="15" customHeight="1" x14ac:dyDescent="0.25">
      <c r="A36" s="25"/>
      <c r="B36" s="1"/>
      <c r="C36" s="39" t="s">
        <v>12</v>
      </c>
      <c r="D36" s="40">
        <v>24</v>
      </c>
      <c r="E36" s="41">
        <v>0</v>
      </c>
      <c r="F36" s="40"/>
      <c r="G36" s="41"/>
      <c r="H36" s="40">
        <v>22</v>
      </c>
      <c r="I36" s="41">
        <v>12</v>
      </c>
      <c r="J36" s="40"/>
      <c r="K36" s="41"/>
      <c r="L36" s="40"/>
      <c r="M36" s="41">
        <v>23</v>
      </c>
      <c r="N36" s="40">
        <v>0</v>
      </c>
      <c r="O36" s="41"/>
      <c r="P36" s="40"/>
      <c r="Q36" s="41"/>
      <c r="R36" s="2"/>
      <c r="S36" s="25"/>
      <c r="U36" t="s">
        <v>172</v>
      </c>
      <c r="Y36" s="37" t="s">
        <v>37</v>
      </c>
      <c r="AA36" s="161" t="s">
        <v>155</v>
      </c>
      <c r="AB36" s="161" t="s">
        <v>150</v>
      </c>
      <c r="AC36" s="161"/>
    </row>
    <row r="37" spans="1:29" ht="15" customHeight="1" x14ac:dyDescent="0.25">
      <c r="A37" s="25"/>
      <c r="B37" s="1"/>
      <c r="C37" s="42" t="s">
        <v>13</v>
      </c>
      <c r="D37" s="40">
        <v>0</v>
      </c>
      <c r="E37" s="41">
        <v>20</v>
      </c>
      <c r="F37" s="40"/>
      <c r="G37" s="41"/>
      <c r="H37" s="40">
        <v>0</v>
      </c>
      <c r="I37" s="41">
        <v>11</v>
      </c>
      <c r="J37" s="40"/>
      <c r="K37" s="41"/>
      <c r="L37" s="40"/>
      <c r="M37" s="41">
        <v>0</v>
      </c>
      <c r="N37" s="40">
        <v>31</v>
      </c>
      <c r="O37" s="41"/>
      <c r="P37" s="40"/>
      <c r="Q37" s="41"/>
      <c r="R37" s="2"/>
      <c r="S37" s="25"/>
      <c r="U37" t="s">
        <v>158</v>
      </c>
      <c r="Y37" s="37" t="s">
        <v>131</v>
      </c>
      <c r="AA37" s="161" t="s">
        <v>156</v>
      </c>
      <c r="AB37" s="161" t="s">
        <v>151</v>
      </c>
      <c r="AC37" s="161"/>
    </row>
    <row r="38" spans="1:29" ht="15" customHeight="1" x14ac:dyDescent="0.25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"/>
      <c r="S38" s="25"/>
      <c r="U38" t="s">
        <v>159</v>
      </c>
      <c r="Y38" s="37" t="s">
        <v>139</v>
      </c>
      <c r="AA38" s="161" t="s">
        <v>156</v>
      </c>
      <c r="AB38" s="161" t="s">
        <v>152</v>
      </c>
      <c r="AC38" s="161"/>
    </row>
    <row r="39" spans="1:29" ht="15" customHeight="1" x14ac:dyDescent="0.25">
      <c r="A39" s="25"/>
      <c r="B39" s="1"/>
      <c r="C39" s="1"/>
      <c r="D39" s="1"/>
      <c r="E39" s="1"/>
      <c r="F39" s="1"/>
      <c r="G39" s="1"/>
      <c r="H39" s="1"/>
      <c r="I39" s="1"/>
      <c r="J39" s="257" t="s">
        <v>38</v>
      </c>
      <c r="K39" s="257"/>
      <c r="L39" s="1"/>
      <c r="M39" s="1"/>
      <c r="N39" s="1"/>
      <c r="O39" s="1"/>
      <c r="P39" s="1"/>
      <c r="Q39" s="1"/>
      <c r="R39" s="2"/>
      <c r="S39" s="25"/>
      <c r="Y39" s="38" t="s">
        <v>102</v>
      </c>
      <c r="AA39" s="161"/>
      <c r="AB39" s="161"/>
      <c r="AC39" s="161"/>
    </row>
    <row r="40" spans="1:29" ht="15" customHeight="1" x14ac:dyDescent="0.25">
      <c r="A40" s="25"/>
      <c r="B40" s="1"/>
      <c r="C40" s="1"/>
      <c r="D40" s="1"/>
      <c r="E40" s="1"/>
      <c r="F40" s="1"/>
      <c r="G40" s="1"/>
      <c r="H40" s="1"/>
      <c r="I40" s="1"/>
      <c r="J40" s="106" t="s">
        <v>165</v>
      </c>
      <c r="K40" s="106" t="s">
        <v>166</v>
      </c>
      <c r="L40" s="1"/>
      <c r="M40" s="1"/>
      <c r="N40" s="1"/>
      <c r="O40" s="1"/>
      <c r="P40" s="1"/>
      <c r="Q40" s="1"/>
      <c r="R40" s="2"/>
      <c r="S40" s="25"/>
      <c r="Y40" s="38" t="s">
        <v>103</v>
      </c>
    </row>
    <row r="41" spans="1:29" ht="15" customHeight="1" x14ac:dyDescent="0.25">
      <c r="A41" s="25"/>
      <c r="B41" s="1"/>
      <c r="C41" s="1"/>
      <c r="D41" s="1"/>
      <c r="E41" s="1"/>
      <c r="F41" s="1"/>
      <c r="G41" s="1"/>
      <c r="H41" s="1"/>
      <c r="I41" s="1"/>
      <c r="J41" s="40"/>
      <c r="K41" s="40"/>
      <c r="L41" s="1"/>
      <c r="M41" s="1"/>
      <c r="N41" s="1"/>
      <c r="O41" s="1"/>
      <c r="P41" s="1"/>
      <c r="Q41" s="1"/>
      <c r="R41" s="2"/>
      <c r="S41" s="25"/>
      <c r="Y41" s="38" t="s">
        <v>104</v>
      </c>
    </row>
    <row r="42" spans="1:29" ht="15" customHeight="1" x14ac:dyDescent="0.25">
      <c r="A42" s="25"/>
      <c r="B42" s="1"/>
      <c r="C42" s="1"/>
      <c r="D42" s="1"/>
      <c r="E42" s="1"/>
      <c r="F42" s="1"/>
      <c r="G42" s="1"/>
      <c r="H42" s="1"/>
      <c r="I42" s="1"/>
      <c r="J42" s="41"/>
      <c r="K42" s="41"/>
      <c r="L42" s="1"/>
      <c r="M42" s="1"/>
      <c r="N42" s="1"/>
      <c r="O42" s="1"/>
      <c r="P42" s="1"/>
      <c r="Q42" s="1"/>
      <c r="R42" s="2"/>
      <c r="S42" s="25"/>
      <c r="Y42" s="38" t="s">
        <v>140</v>
      </c>
    </row>
    <row r="43" spans="1:29" ht="15" customHeight="1" x14ac:dyDescent="0.2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25"/>
      <c r="Y43" s="38" t="s">
        <v>160</v>
      </c>
    </row>
    <row r="44" spans="1:29" ht="20.100000000000001" customHeight="1" x14ac:dyDescent="0.25">
      <c r="A44" s="25"/>
      <c r="B44" s="1"/>
      <c r="C44" s="258" t="str">
        <f>"JUMLAH HARI EFEKTIF/KEGIATAN EKSTRAKURIKULER BULAN "&amp;E17&amp;" "&amp;G17</f>
        <v>JUMLAH HARI EFEKTIF/KEGIATAN EKSTRAKURIKULER BULAN JULI 2026</v>
      </c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"/>
      <c r="R44" s="2"/>
      <c r="S44" s="25"/>
    </row>
    <row r="45" spans="1:29" ht="7.5" customHeight="1" x14ac:dyDescent="0.25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  <c r="S45" s="25"/>
    </row>
    <row r="46" spans="1:29" ht="20.100000000000001" customHeight="1" x14ac:dyDescent="0.25">
      <c r="A46" s="25"/>
      <c r="B46" s="1"/>
      <c r="C46" s="1"/>
      <c r="D46" s="1"/>
      <c r="E46" s="1"/>
      <c r="F46" s="1"/>
      <c r="G46" s="43" t="s">
        <v>26</v>
      </c>
      <c r="H46" s="43" t="s">
        <v>27</v>
      </c>
      <c r="I46" s="43" t="s">
        <v>28</v>
      </c>
      <c r="J46" s="43" t="s">
        <v>29</v>
      </c>
      <c r="K46" s="43" t="s">
        <v>105</v>
      </c>
      <c r="L46" s="43" t="s">
        <v>30</v>
      </c>
      <c r="M46" s="43" t="str">
        <f>IF(J40="","",J40)</f>
        <v>OP</v>
      </c>
      <c r="N46" s="43" t="str">
        <f>IF(K40="","",K40)</f>
        <v>AH</v>
      </c>
      <c r="O46" s="1"/>
      <c r="P46" s="1"/>
      <c r="Q46" s="1"/>
      <c r="R46" s="2"/>
      <c r="S46" s="25"/>
    </row>
    <row r="47" spans="1:29" ht="20.100000000000001" customHeight="1" x14ac:dyDescent="0.25">
      <c r="A47" s="25"/>
      <c r="B47" s="1"/>
      <c r="C47" s="1"/>
      <c r="D47" s="1"/>
      <c r="E47" s="1"/>
      <c r="F47" s="1"/>
      <c r="G47" s="40">
        <v>3</v>
      </c>
      <c r="H47" s="40">
        <v>3</v>
      </c>
      <c r="I47" s="40">
        <v>3</v>
      </c>
      <c r="J47" s="40">
        <v>3</v>
      </c>
      <c r="K47" s="40">
        <v>3</v>
      </c>
      <c r="L47" s="40">
        <v>2</v>
      </c>
      <c r="M47" s="40"/>
      <c r="N47" s="40"/>
      <c r="O47" s="1"/>
      <c r="P47" s="1"/>
      <c r="Q47" s="1"/>
      <c r="R47" s="2"/>
      <c r="S47" s="25"/>
    </row>
    <row r="48" spans="1:29" ht="20.100000000000001" customHeight="1" x14ac:dyDescent="0.2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25"/>
    </row>
    <row r="49" spans="1:20" ht="20.100000000000001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</row>
    <row r="50" spans="1:20" ht="20.100000000000001" customHeight="1" x14ac:dyDescent="0.25"/>
    <row r="51" spans="1:20" ht="20.100000000000001" customHeight="1" x14ac:dyDescent="0.25"/>
    <row r="52" spans="1:20" ht="20.100000000000001" customHeight="1" x14ac:dyDescent="0.25"/>
    <row r="53" spans="1:20" ht="20.100000000000001" customHeight="1" x14ac:dyDescent="0.25"/>
    <row r="54" spans="1:20" ht="20.100000000000001" customHeight="1" x14ac:dyDescent="0.25"/>
    <row r="55" spans="1:20" s="25" customFormat="1" ht="20.10000000000000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ht="20.100000000000001" customHeight="1" x14ac:dyDescent="0.25">
      <c r="S56" s="25"/>
      <c r="T56" s="25"/>
    </row>
    <row r="57" spans="1:20" ht="20.100000000000001" customHeight="1" x14ac:dyDescent="0.25"/>
    <row r="58" spans="1:20" ht="20.100000000000001" customHeight="1" x14ac:dyDescent="0.25"/>
    <row r="59" spans="1:20" ht="20.100000000000001" customHeight="1" x14ac:dyDescent="0.25"/>
    <row r="60" spans="1:20" ht="20.100000000000001" customHeight="1" x14ac:dyDescent="0.25"/>
    <row r="61" spans="1:20" ht="20.100000000000001" customHeight="1" x14ac:dyDescent="0.25"/>
    <row r="62" spans="1:20" ht="20.100000000000001" customHeight="1" x14ac:dyDescent="0.25"/>
    <row r="63" spans="1:20" ht="20.100000000000001" customHeight="1" x14ac:dyDescent="0.25"/>
    <row r="64" spans="1:20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20.100000000000001" customHeight="1" x14ac:dyDescent="0.25"/>
    <row r="332" ht="20.100000000000001" customHeight="1" x14ac:dyDescent="0.25"/>
    <row r="333" ht="20.100000000000001" customHeight="1" x14ac:dyDescent="0.25"/>
    <row r="334" ht="20.100000000000001" customHeight="1" x14ac:dyDescent="0.25"/>
    <row r="335" ht="20.100000000000001" customHeight="1" x14ac:dyDescent="0.25"/>
    <row r="336" ht="20.100000000000001" customHeight="1" x14ac:dyDescent="0.25"/>
    <row r="337" ht="20.100000000000001" customHeight="1" x14ac:dyDescent="0.25"/>
    <row r="338" ht="20.100000000000001" customHeight="1" x14ac:dyDescent="0.25"/>
    <row r="339" ht="20.100000000000001" customHeight="1" x14ac:dyDescent="0.25"/>
    <row r="340" ht="20.100000000000001" customHeight="1" x14ac:dyDescent="0.25"/>
    <row r="341" ht="20.100000000000001" customHeight="1" x14ac:dyDescent="0.25"/>
    <row r="342" ht="20.100000000000001" customHeight="1" x14ac:dyDescent="0.25"/>
    <row r="343" ht="20.100000000000001" customHeight="1" x14ac:dyDescent="0.25"/>
    <row r="344" ht="20.100000000000001" customHeight="1" x14ac:dyDescent="0.25"/>
    <row r="345" ht="20.100000000000001" customHeight="1" x14ac:dyDescent="0.25"/>
    <row r="346" ht="20.100000000000001" customHeight="1" x14ac:dyDescent="0.25"/>
    <row r="347" ht="20.100000000000001" customHeight="1" x14ac:dyDescent="0.25"/>
    <row r="348" ht="20.100000000000001" customHeight="1" x14ac:dyDescent="0.25"/>
    <row r="349" ht="20.100000000000001" customHeight="1" x14ac:dyDescent="0.25"/>
    <row r="350" ht="20.100000000000001" customHeight="1" x14ac:dyDescent="0.25"/>
    <row r="351" ht="20.100000000000001" customHeight="1" x14ac:dyDescent="0.25"/>
    <row r="352" ht="20.100000000000001" customHeight="1" x14ac:dyDescent="0.25"/>
    <row r="353" ht="20.100000000000001" customHeight="1" x14ac:dyDescent="0.25"/>
    <row r="354" ht="20.100000000000001" customHeight="1" x14ac:dyDescent="0.25"/>
    <row r="355" ht="20.100000000000001" customHeight="1" x14ac:dyDescent="0.25"/>
    <row r="356" ht="20.100000000000001" customHeight="1" x14ac:dyDescent="0.25"/>
    <row r="357" ht="20.100000000000001" customHeight="1" x14ac:dyDescent="0.25"/>
    <row r="358" ht="20.100000000000001" customHeight="1" x14ac:dyDescent="0.25"/>
    <row r="359" ht="20.100000000000001" customHeight="1" x14ac:dyDescent="0.25"/>
    <row r="360" ht="20.10000000000000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  <row r="389" ht="20.100000000000001" customHeight="1" x14ac:dyDescent="0.25"/>
    <row r="390" ht="20.100000000000001" customHeight="1" x14ac:dyDescent="0.25"/>
    <row r="391" ht="20.100000000000001" customHeight="1" x14ac:dyDescent="0.25"/>
    <row r="392" ht="20.100000000000001" customHeight="1" x14ac:dyDescent="0.25"/>
    <row r="393" ht="20.100000000000001" customHeight="1" x14ac:dyDescent="0.25"/>
    <row r="394" ht="20.100000000000001" customHeight="1" x14ac:dyDescent="0.25"/>
    <row r="395" ht="20.100000000000001" customHeight="1" x14ac:dyDescent="0.25"/>
    <row r="396" ht="20.100000000000001" customHeight="1" x14ac:dyDescent="0.25"/>
    <row r="397" ht="20.100000000000001" customHeight="1" x14ac:dyDescent="0.25"/>
    <row r="398" ht="20.100000000000001" customHeight="1" x14ac:dyDescent="0.25"/>
    <row r="399" ht="20.100000000000001" customHeight="1" x14ac:dyDescent="0.25"/>
    <row r="400" ht="20.100000000000001" customHeight="1" x14ac:dyDescent="0.25"/>
    <row r="401" ht="20.100000000000001" customHeight="1" x14ac:dyDescent="0.25"/>
    <row r="402" ht="20.100000000000001" customHeight="1" x14ac:dyDescent="0.25"/>
    <row r="403" ht="20.100000000000001" customHeight="1" x14ac:dyDescent="0.25"/>
    <row r="404" ht="20.100000000000001" customHeight="1" x14ac:dyDescent="0.25"/>
    <row r="405" ht="20.100000000000001" customHeight="1" x14ac:dyDescent="0.25"/>
    <row r="406" ht="20.100000000000001" customHeight="1" x14ac:dyDescent="0.25"/>
    <row r="407" ht="20.100000000000001" customHeight="1" x14ac:dyDescent="0.25"/>
    <row r="408" ht="20.100000000000001" customHeight="1" x14ac:dyDescent="0.25"/>
    <row r="409" ht="20.100000000000001" customHeight="1" x14ac:dyDescent="0.25"/>
    <row r="410" ht="20.100000000000001" customHeight="1" x14ac:dyDescent="0.25"/>
    <row r="411" ht="20.100000000000001" customHeight="1" x14ac:dyDescent="0.25"/>
    <row r="412" ht="20.100000000000001" customHeight="1" x14ac:dyDescent="0.25"/>
    <row r="413" ht="20.100000000000001" customHeight="1" x14ac:dyDescent="0.25"/>
    <row r="414" ht="20.100000000000001" customHeight="1" x14ac:dyDescent="0.25"/>
    <row r="415" ht="20.100000000000001" customHeight="1" x14ac:dyDescent="0.25"/>
    <row r="416" ht="20.100000000000001" customHeight="1" x14ac:dyDescent="0.25"/>
    <row r="417" ht="20.100000000000001" customHeight="1" x14ac:dyDescent="0.25"/>
    <row r="418" ht="20.100000000000001" customHeight="1" x14ac:dyDescent="0.25"/>
    <row r="419" ht="20.100000000000001" customHeight="1" x14ac:dyDescent="0.25"/>
    <row r="420" ht="20.100000000000001" customHeight="1" x14ac:dyDescent="0.25"/>
    <row r="421" ht="20.100000000000001" customHeight="1" x14ac:dyDescent="0.25"/>
    <row r="422" ht="20.100000000000001" customHeight="1" x14ac:dyDescent="0.25"/>
    <row r="423" ht="20.100000000000001" customHeight="1" x14ac:dyDescent="0.25"/>
    <row r="424" ht="20.100000000000001" customHeight="1" x14ac:dyDescent="0.25"/>
    <row r="425" ht="20.100000000000001" customHeight="1" x14ac:dyDescent="0.25"/>
    <row r="426" ht="20.100000000000001" customHeight="1" x14ac:dyDescent="0.25"/>
    <row r="427" ht="20.100000000000001" customHeight="1" x14ac:dyDescent="0.25"/>
    <row r="428" ht="20.100000000000001" customHeight="1" x14ac:dyDescent="0.25"/>
    <row r="429" ht="20.100000000000001" customHeight="1" x14ac:dyDescent="0.25"/>
    <row r="430" ht="20.100000000000001" customHeight="1" x14ac:dyDescent="0.25"/>
    <row r="431" ht="20.100000000000001" customHeight="1" x14ac:dyDescent="0.25"/>
    <row r="432" ht="20.100000000000001" customHeight="1" x14ac:dyDescent="0.25"/>
    <row r="433" ht="20.100000000000001" customHeight="1" x14ac:dyDescent="0.25"/>
    <row r="434" ht="20.100000000000001" customHeight="1" x14ac:dyDescent="0.25"/>
    <row r="435" ht="20.100000000000001" customHeight="1" x14ac:dyDescent="0.25"/>
    <row r="436" ht="20.100000000000001" customHeight="1" x14ac:dyDescent="0.25"/>
    <row r="437" ht="20.100000000000001" customHeight="1" x14ac:dyDescent="0.25"/>
    <row r="438" ht="20.100000000000001" customHeight="1" x14ac:dyDescent="0.25"/>
    <row r="439" ht="20.100000000000001" customHeight="1" x14ac:dyDescent="0.25"/>
    <row r="440" ht="20.100000000000001" customHeight="1" x14ac:dyDescent="0.25"/>
    <row r="441" ht="20.100000000000001" customHeight="1" x14ac:dyDescent="0.25"/>
    <row r="442" ht="20.100000000000001" customHeight="1" x14ac:dyDescent="0.25"/>
    <row r="443" ht="20.100000000000001" customHeight="1" x14ac:dyDescent="0.25"/>
    <row r="444" ht="20.100000000000001" customHeight="1" x14ac:dyDescent="0.25"/>
    <row r="445" ht="20.100000000000001" customHeight="1" x14ac:dyDescent="0.25"/>
    <row r="446" ht="20.100000000000001" customHeight="1" x14ac:dyDescent="0.25"/>
    <row r="447" ht="20.100000000000001" customHeight="1" x14ac:dyDescent="0.25"/>
    <row r="448" ht="20.100000000000001" customHeight="1" x14ac:dyDescent="0.25"/>
    <row r="449" ht="20.100000000000001" customHeight="1" x14ac:dyDescent="0.25"/>
    <row r="450" ht="20.100000000000001" customHeight="1" x14ac:dyDescent="0.25"/>
    <row r="451" ht="20.100000000000001" customHeight="1" x14ac:dyDescent="0.25"/>
    <row r="452" ht="20.100000000000001" customHeight="1" x14ac:dyDescent="0.25"/>
    <row r="453" ht="20.100000000000001" customHeight="1" x14ac:dyDescent="0.25"/>
    <row r="454" ht="20.100000000000001" customHeight="1" x14ac:dyDescent="0.25"/>
    <row r="455" ht="20.100000000000001" customHeight="1" x14ac:dyDescent="0.25"/>
    <row r="456" ht="20.100000000000001" customHeight="1" x14ac:dyDescent="0.25"/>
    <row r="457" ht="20.100000000000001" customHeight="1" x14ac:dyDescent="0.25"/>
    <row r="458" ht="20.100000000000001" customHeight="1" x14ac:dyDescent="0.25"/>
    <row r="459" ht="20.100000000000001" customHeight="1" x14ac:dyDescent="0.25"/>
    <row r="460" ht="20.100000000000001" customHeight="1" x14ac:dyDescent="0.25"/>
    <row r="461" ht="20.100000000000001" customHeight="1" x14ac:dyDescent="0.25"/>
    <row r="462" ht="20.100000000000001" customHeight="1" x14ac:dyDescent="0.25"/>
    <row r="463" ht="20.100000000000001" customHeight="1" x14ac:dyDescent="0.25"/>
    <row r="464" ht="20.100000000000001" customHeight="1" x14ac:dyDescent="0.25"/>
    <row r="465" ht="20.100000000000001" customHeight="1" x14ac:dyDescent="0.25"/>
    <row r="466" ht="20.100000000000001" customHeight="1" x14ac:dyDescent="0.25"/>
    <row r="467" ht="20.100000000000001" customHeight="1" x14ac:dyDescent="0.25"/>
    <row r="468" ht="20.100000000000001" customHeight="1" x14ac:dyDescent="0.25"/>
    <row r="469" ht="20.100000000000001" customHeight="1" x14ac:dyDescent="0.25"/>
    <row r="470" ht="20.100000000000001" customHeight="1" x14ac:dyDescent="0.25"/>
    <row r="471" ht="20.100000000000001" customHeight="1" x14ac:dyDescent="0.25"/>
    <row r="472" ht="20.100000000000001" customHeight="1" x14ac:dyDescent="0.25"/>
    <row r="473" ht="20.100000000000001" customHeight="1" x14ac:dyDescent="0.25"/>
    <row r="474" ht="20.100000000000001" customHeight="1" x14ac:dyDescent="0.25"/>
    <row r="475" ht="20.100000000000001" customHeight="1" x14ac:dyDescent="0.25"/>
    <row r="476" ht="20.100000000000001" customHeight="1" x14ac:dyDescent="0.25"/>
    <row r="477" ht="20.100000000000001" customHeight="1" x14ac:dyDescent="0.25"/>
    <row r="478" ht="20.100000000000001" customHeight="1" x14ac:dyDescent="0.25"/>
    <row r="479" ht="20.100000000000001" customHeight="1" x14ac:dyDescent="0.25"/>
    <row r="480" ht="20.100000000000001" customHeight="1" x14ac:dyDescent="0.25"/>
    <row r="481" ht="20.100000000000001" customHeight="1" x14ac:dyDescent="0.25"/>
    <row r="482" ht="20.100000000000001" customHeight="1" x14ac:dyDescent="0.25"/>
    <row r="483" ht="20.100000000000001" customHeight="1" x14ac:dyDescent="0.25"/>
    <row r="484" ht="20.100000000000001" customHeight="1" x14ac:dyDescent="0.25"/>
    <row r="485" ht="20.100000000000001" customHeight="1" x14ac:dyDescent="0.25"/>
    <row r="486" ht="20.100000000000001" customHeight="1" x14ac:dyDescent="0.25"/>
    <row r="487" ht="20.100000000000001" customHeight="1" x14ac:dyDescent="0.25"/>
    <row r="488" ht="20.100000000000001" customHeight="1" x14ac:dyDescent="0.25"/>
    <row r="489" ht="20.100000000000001" customHeight="1" x14ac:dyDescent="0.25"/>
    <row r="490" ht="20.100000000000001" customHeight="1" x14ac:dyDescent="0.25"/>
    <row r="491" ht="20.100000000000001" customHeight="1" x14ac:dyDescent="0.25"/>
    <row r="492" ht="20.100000000000001" customHeight="1" x14ac:dyDescent="0.25"/>
    <row r="493" ht="20.100000000000001" customHeight="1" x14ac:dyDescent="0.25"/>
    <row r="494" ht="20.100000000000001" customHeight="1" x14ac:dyDescent="0.25"/>
    <row r="495" ht="20.100000000000001" customHeight="1" x14ac:dyDescent="0.25"/>
    <row r="496" ht="20.100000000000001" customHeight="1" x14ac:dyDescent="0.25"/>
    <row r="497" ht="20.100000000000001" customHeight="1" x14ac:dyDescent="0.25"/>
    <row r="498" ht="20.100000000000001" customHeight="1" x14ac:dyDescent="0.25"/>
    <row r="499" ht="20.100000000000001" customHeight="1" x14ac:dyDescent="0.25"/>
    <row r="500" ht="20.100000000000001" customHeight="1" x14ac:dyDescent="0.25"/>
    <row r="501" ht="20.100000000000001" customHeight="1" x14ac:dyDescent="0.25"/>
    <row r="502" ht="20.100000000000001" customHeight="1" x14ac:dyDescent="0.25"/>
    <row r="503" ht="20.100000000000001" customHeight="1" x14ac:dyDescent="0.25"/>
    <row r="504" ht="20.100000000000001" customHeight="1" x14ac:dyDescent="0.25"/>
    <row r="505" ht="20.100000000000001" customHeight="1" x14ac:dyDescent="0.25"/>
    <row r="506" ht="20.100000000000001" customHeight="1" x14ac:dyDescent="0.25"/>
    <row r="507" ht="20.100000000000001" customHeight="1" x14ac:dyDescent="0.25"/>
    <row r="508" ht="20.100000000000001" customHeight="1" x14ac:dyDescent="0.25"/>
    <row r="509" ht="20.100000000000001" customHeight="1" x14ac:dyDescent="0.25"/>
    <row r="510" ht="20.100000000000001" customHeight="1" x14ac:dyDescent="0.25"/>
    <row r="511" ht="20.100000000000001" customHeight="1" x14ac:dyDescent="0.25"/>
    <row r="512" ht="20.100000000000001" customHeight="1" x14ac:dyDescent="0.25"/>
    <row r="513" ht="20.100000000000001" customHeight="1" x14ac:dyDescent="0.25"/>
    <row r="514" ht="20.100000000000001" customHeight="1" x14ac:dyDescent="0.25"/>
    <row r="515" ht="20.100000000000001" customHeight="1" x14ac:dyDescent="0.25"/>
    <row r="516" ht="20.100000000000001" customHeight="1" x14ac:dyDescent="0.25"/>
    <row r="517" ht="20.100000000000001" customHeight="1" x14ac:dyDescent="0.25"/>
    <row r="518" ht="20.100000000000001" customHeight="1" x14ac:dyDescent="0.25"/>
    <row r="519" ht="20.100000000000001" customHeight="1" x14ac:dyDescent="0.25"/>
    <row r="520" ht="20.100000000000001" customHeight="1" x14ac:dyDescent="0.25"/>
    <row r="521" ht="20.100000000000001" customHeight="1" x14ac:dyDescent="0.25"/>
    <row r="522" ht="20.100000000000001" customHeight="1" x14ac:dyDescent="0.25"/>
    <row r="523" ht="20.100000000000001" customHeight="1" x14ac:dyDescent="0.25"/>
    <row r="524" ht="20.100000000000001" customHeight="1" x14ac:dyDescent="0.25"/>
    <row r="525" ht="20.100000000000001" customHeight="1" x14ac:dyDescent="0.25"/>
    <row r="526" ht="20.100000000000001" customHeight="1" x14ac:dyDescent="0.25"/>
    <row r="527" ht="20.100000000000001" customHeight="1" x14ac:dyDescent="0.25"/>
    <row r="528" ht="20.100000000000001" customHeight="1" x14ac:dyDescent="0.25"/>
    <row r="529" ht="20.100000000000001" customHeight="1" x14ac:dyDescent="0.25"/>
    <row r="530" ht="20.100000000000001" customHeight="1" x14ac:dyDescent="0.25"/>
    <row r="531" ht="20.100000000000001" customHeight="1" x14ac:dyDescent="0.25"/>
    <row r="532" ht="20.100000000000001" customHeight="1" x14ac:dyDescent="0.25"/>
    <row r="533" ht="20.100000000000001" customHeight="1" x14ac:dyDescent="0.25"/>
    <row r="534" ht="20.100000000000001" customHeight="1" x14ac:dyDescent="0.25"/>
    <row r="535" ht="20.100000000000001" customHeight="1" x14ac:dyDescent="0.25"/>
    <row r="536" ht="20.100000000000001" customHeight="1" x14ac:dyDescent="0.25"/>
    <row r="537" ht="20.100000000000001" customHeight="1" x14ac:dyDescent="0.25"/>
    <row r="538" ht="20.100000000000001" customHeight="1" x14ac:dyDescent="0.25"/>
    <row r="539" ht="20.100000000000001" customHeight="1" x14ac:dyDescent="0.25"/>
    <row r="540" ht="20.100000000000001" customHeight="1" x14ac:dyDescent="0.25"/>
    <row r="541" ht="20.100000000000001" customHeight="1" x14ac:dyDescent="0.25"/>
    <row r="542" ht="20.100000000000001" customHeight="1" x14ac:dyDescent="0.25"/>
    <row r="543" ht="20.100000000000001" customHeight="1" x14ac:dyDescent="0.25"/>
    <row r="544" ht="20.100000000000001" customHeight="1" x14ac:dyDescent="0.25"/>
    <row r="545" ht="20.100000000000001" customHeight="1" x14ac:dyDescent="0.25"/>
    <row r="546" ht="20.100000000000001" customHeight="1" x14ac:dyDescent="0.25"/>
    <row r="547" ht="20.100000000000001" customHeight="1" x14ac:dyDescent="0.25"/>
    <row r="548" ht="20.100000000000001" customHeight="1" x14ac:dyDescent="0.25"/>
    <row r="549" ht="20.100000000000001" customHeight="1" x14ac:dyDescent="0.25"/>
    <row r="550" ht="20.100000000000001" customHeight="1" x14ac:dyDescent="0.25"/>
    <row r="551" ht="20.100000000000001" customHeight="1" x14ac:dyDescent="0.25"/>
    <row r="552" ht="20.100000000000001" customHeight="1" x14ac:dyDescent="0.25"/>
    <row r="553" ht="20.100000000000001" customHeight="1" x14ac:dyDescent="0.25"/>
    <row r="554" ht="20.100000000000001" customHeight="1" x14ac:dyDescent="0.25"/>
    <row r="555" ht="20.100000000000001" customHeight="1" x14ac:dyDescent="0.25"/>
    <row r="556" ht="20.100000000000001" customHeight="1" x14ac:dyDescent="0.25"/>
    <row r="557" ht="20.100000000000001" customHeight="1" x14ac:dyDescent="0.25"/>
    <row r="558" ht="20.100000000000001" customHeight="1" x14ac:dyDescent="0.25"/>
    <row r="559" ht="20.100000000000001" customHeight="1" x14ac:dyDescent="0.25"/>
    <row r="560" ht="20.100000000000001" customHeight="1" x14ac:dyDescent="0.25"/>
    <row r="561" ht="20.100000000000001" customHeight="1" x14ac:dyDescent="0.25"/>
    <row r="562" ht="20.100000000000001" customHeight="1" x14ac:dyDescent="0.25"/>
    <row r="563" ht="20.100000000000001" customHeight="1" x14ac:dyDescent="0.25"/>
    <row r="564" ht="20.100000000000001" customHeight="1" x14ac:dyDescent="0.25"/>
    <row r="565" ht="20.100000000000001" customHeight="1" x14ac:dyDescent="0.25"/>
    <row r="566" ht="20.100000000000001" customHeight="1" x14ac:dyDescent="0.25"/>
    <row r="567" ht="20.100000000000001" customHeight="1" x14ac:dyDescent="0.25"/>
    <row r="568" ht="20.100000000000001" customHeight="1" x14ac:dyDescent="0.25"/>
    <row r="569" ht="20.100000000000001" customHeight="1" x14ac:dyDescent="0.25"/>
    <row r="570" ht="20.100000000000001" customHeight="1" x14ac:dyDescent="0.25"/>
    <row r="571" ht="20.100000000000001" customHeight="1" x14ac:dyDescent="0.25"/>
    <row r="572" ht="20.100000000000001" customHeight="1" x14ac:dyDescent="0.25"/>
    <row r="573" ht="20.100000000000001" customHeight="1" x14ac:dyDescent="0.25"/>
    <row r="574" ht="20.100000000000001" customHeight="1" x14ac:dyDescent="0.25"/>
    <row r="575" ht="20.100000000000001" customHeight="1" x14ac:dyDescent="0.25"/>
    <row r="576" ht="20.100000000000001" customHeight="1" x14ac:dyDescent="0.25"/>
    <row r="577" ht="20.100000000000001" customHeight="1" x14ac:dyDescent="0.25"/>
    <row r="578" ht="20.100000000000001" customHeight="1" x14ac:dyDescent="0.25"/>
    <row r="579" ht="20.100000000000001" customHeight="1" x14ac:dyDescent="0.25"/>
    <row r="580" ht="20.100000000000001" customHeight="1" x14ac:dyDescent="0.25"/>
    <row r="581" ht="20.100000000000001" customHeight="1" x14ac:dyDescent="0.25"/>
    <row r="582" ht="20.100000000000001" customHeight="1" x14ac:dyDescent="0.25"/>
    <row r="583" ht="20.100000000000001" customHeight="1" x14ac:dyDescent="0.25"/>
    <row r="584" ht="20.100000000000001" customHeight="1" x14ac:dyDescent="0.25"/>
    <row r="585" ht="20.100000000000001" customHeight="1" x14ac:dyDescent="0.25"/>
    <row r="586" ht="20.100000000000001" customHeight="1" x14ac:dyDescent="0.25"/>
    <row r="587" ht="20.100000000000001" customHeight="1" x14ac:dyDescent="0.25"/>
    <row r="588" ht="20.100000000000001" customHeight="1" x14ac:dyDescent="0.25"/>
    <row r="589" ht="20.100000000000001" customHeight="1" x14ac:dyDescent="0.25"/>
    <row r="590" ht="20.100000000000001" customHeight="1" x14ac:dyDescent="0.25"/>
    <row r="591" ht="20.100000000000001" customHeight="1" x14ac:dyDescent="0.25"/>
    <row r="592" ht="20.100000000000001" customHeight="1" x14ac:dyDescent="0.25"/>
    <row r="593" ht="20.100000000000001" customHeight="1" x14ac:dyDescent="0.25"/>
    <row r="594" ht="20.100000000000001" customHeight="1" x14ac:dyDescent="0.25"/>
    <row r="595" ht="20.100000000000001" customHeight="1" x14ac:dyDescent="0.25"/>
    <row r="596" ht="20.100000000000001" customHeight="1" x14ac:dyDescent="0.25"/>
    <row r="597" ht="20.100000000000001" customHeight="1" x14ac:dyDescent="0.25"/>
    <row r="598" ht="20.100000000000001" customHeight="1" x14ac:dyDescent="0.25"/>
    <row r="599" ht="20.100000000000001" customHeight="1" x14ac:dyDescent="0.25"/>
    <row r="600" ht="20.100000000000001" customHeight="1" x14ac:dyDescent="0.25"/>
    <row r="601" ht="20.100000000000001" customHeight="1" x14ac:dyDescent="0.25"/>
    <row r="602" ht="20.100000000000001" customHeight="1" x14ac:dyDescent="0.25"/>
    <row r="603" ht="20.100000000000001" customHeight="1" x14ac:dyDescent="0.25"/>
    <row r="604" ht="20.100000000000001" customHeight="1" x14ac:dyDescent="0.25"/>
    <row r="605" ht="20.100000000000001" customHeight="1" x14ac:dyDescent="0.25"/>
    <row r="606" ht="20.100000000000001" customHeight="1" x14ac:dyDescent="0.25"/>
    <row r="607" ht="20.100000000000001" customHeight="1" x14ac:dyDescent="0.25"/>
    <row r="608" ht="20.100000000000001" customHeight="1" x14ac:dyDescent="0.25"/>
    <row r="609" ht="20.100000000000001" customHeight="1" x14ac:dyDescent="0.25"/>
    <row r="610" ht="20.100000000000001" customHeight="1" x14ac:dyDescent="0.25"/>
    <row r="611" ht="20.100000000000001" customHeight="1" x14ac:dyDescent="0.25"/>
    <row r="612" ht="20.100000000000001" customHeight="1" x14ac:dyDescent="0.25"/>
    <row r="613" ht="20.100000000000001" customHeight="1" x14ac:dyDescent="0.25"/>
    <row r="614" ht="20.100000000000001" customHeight="1" x14ac:dyDescent="0.25"/>
    <row r="615" ht="20.100000000000001" customHeight="1" x14ac:dyDescent="0.25"/>
    <row r="616" ht="20.100000000000001" customHeight="1" x14ac:dyDescent="0.25"/>
    <row r="617" ht="20.100000000000001" customHeight="1" x14ac:dyDescent="0.25"/>
    <row r="618" ht="20.100000000000001" customHeight="1" x14ac:dyDescent="0.25"/>
    <row r="619" ht="20.100000000000001" customHeight="1" x14ac:dyDescent="0.25"/>
    <row r="620" ht="20.100000000000001" customHeight="1" x14ac:dyDescent="0.25"/>
    <row r="621" ht="20.100000000000001" customHeight="1" x14ac:dyDescent="0.25"/>
    <row r="622" ht="20.100000000000001" customHeight="1" x14ac:dyDescent="0.25"/>
    <row r="623" ht="20.100000000000001" customHeight="1" x14ac:dyDescent="0.25"/>
    <row r="624" ht="20.100000000000001" customHeight="1" x14ac:dyDescent="0.25"/>
    <row r="625" ht="20.100000000000001" customHeight="1" x14ac:dyDescent="0.25"/>
    <row r="626" ht="20.100000000000001" customHeight="1" x14ac:dyDescent="0.25"/>
    <row r="627" ht="20.100000000000001" customHeight="1" x14ac:dyDescent="0.25"/>
    <row r="628" ht="20.100000000000001" customHeight="1" x14ac:dyDescent="0.25"/>
    <row r="629" ht="20.100000000000001" customHeight="1" x14ac:dyDescent="0.25"/>
    <row r="630" ht="20.100000000000001" customHeight="1" x14ac:dyDescent="0.25"/>
    <row r="631" ht="20.100000000000001" customHeight="1" x14ac:dyDescent="0.25"/>
    <row r="632" ht="20.100000000000001" customHeight="1" x14ac:dyDescent="0.25"/>
    <row r="633" ht="20.100000000000001" customHeight="1" x14ac:dyDescent="0.25"/>
    <row r="634" ht="20.100000000000001" customHeight="1" x14ac:dyDescent="0.25"/>
    <row r="635" ht="20.100000000000001" customHeight="1" x14ac:dyDescent="0.25"/>
    <row r="636" ht="20.100000000000001" customHeight="1" x14ac:dyDescent="0.25"/>
    <row r="637" ht="20.100000000000001" customHeight="1" x14ac:dyDescent="0.25"/>
    <row r="638" ht="20.100000000000001" customHeight="1" x14ac:dyDescent="0.25"/>
    <row r="639" ht="20.100000000000001" customHeight="1" x14ac:dyDescent="0.25"/>
    <row r="640" ht="20.100000000000001" customHeight="1" x14ac:dyDescent="0.25"/>
    <row r="641" ht="20.100000000000001" customHeight="1" x14ac:dyDescent="0.25"/>
    <row r="642" ht="20.100000000000001" customHeight="1" x14ac:dyDescent="0.25"/>
    <row r="643" ht="20.100000000000001" customHeight="1" x14ac:dyDescent="0.25"/>
    <row r="644" ht="20.100000000000001" customHeight="1" x14ac:dyDescent="0.25"/>
    <row r="645" ht="20.100000000000001" customHeight="1" x14ac:dyDescent="0.25"/>
    <row r="646" ht="20.100000000000001" customHeight="1" x14ac:dyDescent="0.25"/>
    <row r="647" ht="20.100000000000001" customHeight="1" x14ac:dyDescent="0.25"/>
    <row r="648" ht="20.100000000000001" customHeight="1" x14ac:dyDescent="0.25"/>
    <row r="649" ht="20.100000000000001" customHeight="1" x14ac:dyDescent="0.25"/>
    <row r="650" ht="20.100000000000001" customHeight="1" x14ac:dyDescent="0.25"/>
    <row r="651" ht="20.100000000000001" customHeight="1" x14ac:dyDescent="0.25"/>
    <row r="652" ht="20.100000000000001" customHeight="1" x14ac:dyDescent="0.25"/>
    <row r="653" ht="20.100000000000001" customHeight="1" x14ac:dyDescent="0.25"/>
    <row r="654" ht="20.100000000000001" customHeight="1" x14ac:dyDescent="0.25"/>
    <row r="655" ht="20.100000000000001" customHeight="1" x14ac:dyDescent="0.25"/>
    <row r="656" ht="20.100000000000001" customHeight="1" x14ac:dyDescent="0.25"/>
    <row r="657" ht="20.100000000000001" customHeight="1" x14ac:dyDescent="0.25"/>
    <row r="658" ht="20.100000000000001" customHeight="1" x14ac:dyDescent="0.25"/>
    <row r="659" ht="20.100000000000001" customHeight="1" x14ac:dyDescent="0.25"/>
    <row r="660" ht="20.100000000000001" customHeight="1" x14ac:dyDescent="0.25"/>
    <row r="661" ht="20.100000000000001" customHeight="1" x14ac:dyDescent="0.25"/>
    <row r="662" ht="20.100000000000001" customHeight="1" x14ac:dyDescent="0.25"/>
    <row r="663" ht="20.100000000000001" customHeight="1" x14ac:dyDescent="0.25"/>
    <row r="664" ht="20.100000000000001" customHeight="1" x14ac:dyDescent="0.25"/>
    <row r="665" ht="20.100000000000001" customHeight="1" x14ac:dyDescent="0.25"/>
    <row r="666" ht="20.100000000000001" customHeight="1" x14ac:dyDescent="0.25"/>
    <row r="667" ht="20.100000000000001" customHeight="1" x14ac:dyDescent="0.25"/>
    <row r="668" ht="20.100000000000001" customHeight="1" x14ac:dyDescent="0.25"/>
    <row r="669" ht="20.100000000000001" customHeight="1" x14ac:dyDescent="0.25"/>
    <row r="670" ht="20.100000000000001" customHeight="1" x14ac:dyDescent="0.25"/>
    <row r="671" ht="20.100000000000001" customHeight="1" x14ac:dyDescent="0.25"/>
    <row r="672" ht="20.100000000000001" customHeight="1" x14ac:dyDescent="0.25"/>
    <row r="673" ht="20.100000000000001" customHeight="1" x14ac:dyDescent="0.25"/>
    <row r="674" ht="20.100000000000001" customHeight="1" x14ac:dyDescent="0.25"/>
    <row r="675" ht="20.100000000000001" customHeight="1" x14ac:dyDescent="0.25"/>
    <row r="676" ht="20.100000000000001" customHeight="1" x14ac:dyDescent="0.25"/>
    <row r="677" ht="20.100000000000001" customHeight="1" x14ac:dyDescent="0.25"/>
    <row r="678" ht="20.100000000000001" customHeight="1" x14ac:dyDescent="0.25"/>
    <row r="679" ht="20.100000000000001" customHeight="1" x14ac:dyDescent="0.25"/>
    <row r="680" ht="20.100000000000001" customHeight="1" x14ac:dyDescent="0.25"/>
    <row r="681" ht="20.100000000000001" customHeight="1" x14ac:dyDescent="0.25"/>
    <row r="682" ht="20.100000000000001" customHeight="1" x14ac:dyDescent="0.25"/>
    <row r="683" ht="20.100000000000001" customHeight="1" x14ac:dyDescent="0.25"/>
    <row r="684" ht="20.100000000000001" customHeight="1" x14ac:dyDescent="0.25"/>
    <row r="685" ht="20.100000000000001" customHeight="1" x14ac:dyDescent="0.25"/>
    <row r="686" ht="20.100000000000001" customHeight="1" x14ac:dyDescent="0.25"/>
    <row r="687" ht="20.100000000000001" customHeight="1" x14ac:dyDescent="0.25"/>
    <row r="688" ht="20.100000000000001" customHeight="1" x14ac:dyDescent="0.25"/>
    <row r="689" ht="20.100000000000001" customHeight="1" x14ac:dyDescent="0.25"/>
    <row r="690" ht="20.100000000000001" customHeight="1" x14ac:dyDescent="0.25"/>
    <row r="691" ht="20.100000000000001" customHeight="1" x14ac:dyDescent="0.25"/>
    <row r="692" ht="20.100000000000001" customHeight="1" x14ac:dyDescent="0.25"/>
    <row r="693" ht="20.100000000000001" customHeight="1" x14ac:dyDescent="0.25"/>
    <row r="694" ht="20.100000000000001" customHeight="1" x14ac:dyDescent="0.25"/>
    <row r="695" ht="20.100000000000001" customHeight="1" x14ac:dyDescent="0.25"/>
    <row r="696" ht="20.100000000000001" customHeight="1" x14ac:dyDescent="0.25"/>
    <row r="697" ht="20.100000000000001" customHeight="1" x14ac:dyDescent="0.25"/>
    <row r="698" ht="20.100000000000001" customHeight="1" x14ac:dyDescent="0.25"/>
    <row r="699" ht="20.100000000000001" customHeight="1" x14ac:dyDescent="0.25"/>
    <row r="700" ht="20.100000000000001" customHeight="1" x14ac:dyDescent="0.25"/>
    <row r="701" ht="20.100000000000001" customHeight="1" x14ac:dyDescent="0.25"/>
    <row r="702" ht="20.100000000000001" customHeight="1" x14ac:dyDescent="0.25"/>
    <row r="703" ht="20.100000000000001" customHeight="1" x14ac:dyDescent="0.25"/>
    <row r="704" ht="20.100000000000001" customHeight="1" x14ac:dyDescent="0.25"/>
    <row r="705" ht="20.100000000000001" customHeight="1" x14ac:dyDescent="0.25"/>
    <row r="706" ht="20.100000000000001" customHeight="1" x14ac:dyDescent="0.25"/>
    <row r="707" ht="20.100000000000001" customHeight="1" x14ac:dyDescent="0.25"/>
    <row r="708" ht="20.100000000000001" customHeight="1" x14ac:dyDescent="0.25"/>
    <row r="709" ht="20.100000000000001" customHeight="1" x14ac:dyDescent="0.25"/>
    <row r="710" ht="20.100000000000001" customHeight="1" x14ac:dyDescent="0.25"/>
    <row r="711" ht="20.100000000000001" customHeight="1" x14ac:dyDescent="0.25"/>
    <row r="712" ht="20.100000000000001" customHeight="1" x14ac:dyDescent="0.25"/>
    <row r="713" ht="20.100000000000001" customHeight="1" x14ac:dyDescent="0.25"/>
    <row r="714" ht="20.100000000000001" customHeight="1" x14ac:dyDescent="0.25"/>
    <row r="715" ht="20.100000000000001" customHeight="1" x14ac:dyDescent="0.25"/>
    <row r="716" ht="20.100000000000001" customHeight="1" x14ac:dyDescent="0.25"/>
    <row r="717" ht="20.100000000000001" customHeight="1" x14ac:dyDescent="0.25"/>
    <row r="718" ht="20.100000000000001" customHeight="1" x14ac:dyDescent="0.25"/>
    <row r="719" ht="20.100000000000001" customHeight="1" x14ac:dyDescent="0.25"/>
    <row r="720" ht="20.100000000000001" customHeight="1" x14ac:dyDescent="0.25"/>
    <row r="721" ht="20.100000000000001" customHeight="1" x14ac:dyDescent="0.25"/>
    <row r="722" ht="20.100000000000001" customHeight="1" x14ac:dyDescent="0.25"/>
    <row r="723" ht="20.100000000000001" customHeight="1" x14ac:dyDescent="0.25"/>
    <row r="724" ht="20.100000000000001" customHeight="1" x14ac:dyDescent="0.25"/>
    <row r="725" ht="20.100000000000001" customHeight="1" x14ac:dyDescent="0.25"/>
    <row r="726" ht="20.100000000000001" customHeight="1" x14ac:dyDescent="0.25"/>
    <row r="727" ht="20.100000000000001" customHeight="1" x14ac:dyDescent="0.25"/>
    <row r="728" ht="20.100000000000001" customHeight="1" x14ac:dyDescent="0.25"/>
    <row r="729" ht="20.100000000000001" customHeight="1" x14ac:dyDescent="0.25"/>
    <row r="730" ht="20.100000000000001" customHeight="1" x14ac:dyDescent="0.25"/>
    <row r="731" ht="20.100000000000001" customHeight="1" x14ac:dyDescent="0.25"/>
    <row r="732" ht="20.100000000000001" customHeight="1" x14ac:dyDescent="0.25"/>
    <row r="733" ht="20.100000000000001" customHeight="1" x14ac:dyDescent="0.25"/>
    <row r="734" ht="20.100000000000001" customHeight="1" x14ac:dyDescent="0.25"/>
    <row r="735" ht="20.100000000000001" customHeight="1" x14ac:dyDescent="0.25"/>
    <row r="736" ht="20.100000000000001" customHeight="1" x14ac:dyDescent="0.25"/>
    <row r="737" ht="20.100000000000001" customHeight="1" x14ac:dyDescent="0.25"/>
    <row r="738" ht="20.100000000000001" customHeight="1" x14ac:dyDescent="0.25"/>
    <row r="739" ht="20.100000000000001" customHeight="1" x14ac:dyDescent="0.25"/>
    <row r="740" ht="20.100000000000001" customHeight="1" x14ac:dyDescent="0.25"/>
    <row r="741" ht="20.100000000000001" customHeight="1" x14ac:dyDescent="0.25"/>
    <row r="742" ht="20.100000000000001" customHeight="1" x14ac:dyDescent="0.25"/>
    <row r="743" ht="20.100000000000001" customHeight="1" x14ac:dyDescent="0.25"/>
    <row r="744" ht="20.100000000000001" customHeight="1" x14ac:dyDescent="0.25"/>
    <row r="745" ht="20.100000000000001" customHeight="1" x14ac:dyDescent="0.25"/>
    <row r="746" ht="20.100000000000001" customHeight="1" x14ac:dyDescent="0.25"/>
    <row r="747" ht="20.100000000000001" customHeight="1" x14ac:dyDescent="0.25"/>
    <row r="748" ht="20.100000000000001" customHeight="1" x14ac:dyDescent="0.25"/>
    <row r="749" ht="20.100000000000001" customHeight="1" x14ac:dyDescent="0.25"/>
    <row r="750" ht="20.100000000000001" customHeight="1" x14ac:dyDescent="0.25"/>
    <row r="751" ht="20.100000000000001" customHeight="1" x14ac:dyDescent="0.25"/>
    <row r="752" ht="20.100000000000001" customHeight="1" x14ac:dyDescent="0.25"/>
    <row r="753" ht="20.100000000000001" customHeight="1" x14ac:dyDescent="0.25"/>
    <row r="754" ht="20.100000000000001" customHeight="1" x14ac:dyDescent="0.25"/>
    <row r="755" ht="20.100000000000001" customHeight="1" x14ac:dyDescent="0.25"/>
    <row r="756" ht="20.100000000000001" customHeight="1" x14ac:dyDescent="0.25"/>
    <row r="757" ht="20.100000000000001" customHeight="1" x14ac:dyDescent="0.25"/>
    <row r="758" ht="20.100000000000001" customHeight="1" x14ac:dyDescent="0.25"/>
    <row r="759" ht="20.100000000000001" customHeight="1" x14ac:dyDescent="0.25"/>
    <row r="760" ht="20.100000000000001" customHeight="1" x14ac:dyDescent="0.25"/>
    <row r="761" ht="20.100000000000001" customHeight="1" x14ac:dyDescent="0.25"/>
    <row r="762" ht="20.100000000000001" customHeight="1" x14ac:dyDescent="0.25"/>
    <row r="763" ht="20.100000000000001" customHeight="1" x14ac:dyDescent="0.25"/>
    <row r="764" ht="20.100000000000001" customHeight="1" x14ac:dyDescent="0.25"/>
    <row r="765" ht="20.100000000000001" customHeight="1" x14ac:dyDescent="0.25"/>
    <row r="766" ht="20.100000000000001" customHeight="1" x14ac:dyDescent="0.25"/>
    <row r="767" ht="20.100000000000001" customHeight="1" x14ac:dyDescent="0.25"/>
    <row r="768" ht="20.100000000000001" customHeight="1" x14ac:dyDescent="0.25"/>
    <row r="769" ht="20.100000000000001" customHeight="1" x14ac:dyDescent="0.25"/>
    <row r="770" ht="20.100000000000001" customHeight="1" x14ac:dyDescent="0.25"/>
    <row r="771" ht="20.100000000000001" customHeight="1" x14ac:dyDescent="0.25"/>
    <row r="772" ht="20.100000000000001" customHeight="1" x14ac:dyDescent="0.25"/>
    <row r="773" ht="20.100000000000001" customHeight="1" x14ac:dyDescent="0.25"/>
    <row r="774" ht="20.100000000000001" customHeight="1" x14ac:dyDescent="0.25"/>
    <row r="775" ht="20.100000000000001" customHeight="1" x14ac:dyDescent="0.25"/>
    <row r="776" ht="20.100000000000001" customHeight="1" x14ac:dyDescent="0.25"/>
    <row r="777" ht="20.100000000000001" customHeight="1" x14ac:dyDescent="0.25"/>
    <row r="778" ht="20.100000000000001" customHeight="1" x14ac:dyDescent="0.25"/>
    <row r="779" ht="20.100000000000001" customHeight="1" x14ac:dyDescent="0.25"/>
    <row r="780" ht="20.100000000000001" customHeight="1" x14ac:dyDescent="0.25"/>
    <row r="781" ht="20.100000000000001" customHeight="1" x14ac:dyDescent="0.25"/>
    <row r="782" ht="20.100000000000001" customHeight="1" x14ac:dyDescent="0.25"/>
    <row r="783" ht="20.100000000000001" customHeight="1" x14ac:dyDescent="0.25"/>
    <row r="784" ht="20.100000000000001" customHeight="1" x14ac:dyDescent="0.25"/>
    <row r="785" ht="20.100000000000001" customHeight="1" x14ac:dyDescent="0.25"/>
    <row r="786" ht="20.100000000000001" customHeight="1" x14ac:dyDescent="0.25"/>
    <row r="787" ht="20.100000000000001" customHeight="1" x14ac:dyDescent="0.25"/>
    <row r="788" ht="20.100000000000001" customHeight="1" x14ac:dyDescent="0.25"/>
    <row r="789" ht="20.100000000000001" customHeight="1" x14ac:dyDescent="0.25"/>
    <row r="790" ht="20.100000000000001" customHeight="1" x14ac:dyDescent="0.25"/>
    <row r="791" ht="20.100000000000001" customHeight="1" x14ac:dyDescent="0.25"/>
    <row r="792" ht="20.100000000000001" customHeight="1" x14ac:dyDescent="0.25"/>
    <row r="793" ht="20.100000000000001" customHeight="1" x14ac:dyDescent="0.25"/>
    <row r="794" ht="20.100000000000001" customHeight="1" x14ac:dyDescent="0.25"/>
    <row r="795" ht="20.100000000000001" customHeight="1" x14ac:dyDescent="0.25"/>
    <row r="796" ht="20.100000000000001" customHeight="1" x14ac:dyDescent="0.25"/>
    <row r="797" ht="20.100000000000001" customHeight="1" x14ac:dyDescent="0.25"/>
    <row r="798" ht="20.100000000000001" customHeight="1" x14ac:dyDescent="0.25"/>
    <row r="799" ht="20.100000000000001" customHeight="1" x14ac:dyDescent="0.25"/>
    <row r="800" ht="20.100000000000001" customHeight="1" x14ac:dyDescent="0.25"/>
    <row r="801" ht="20.100000000000001" customHeight="1" x14ac:dyDescent="0.25"/>
    <row r="802" ht="20.100000000000001" customHeight="1" x14ac:dyDescent="0.25"/>
    <row r="803" ht="20.100000000000001" customHeight="1" x14ac:dyDescent="0.25"/>
    <row r="804" ht="20.100000000000001" customHeight="1" x14ac:dyDescent="0.25"/>
    <row r="805" ht="20.100000000000001" customHeight="1" x14ac:dyDescent="0.25"/>
    <row r="806" ht="20.100000000000001" customHeight="1" x14ac:dyDescent="0.25"/>
    <row r="807" ht="20.100000000000001" customHeight="1" x14ac:dyDescent="0.25"/>
    <row r="808" ht="20.100000000000001" customHeight="1" x14ac:dyDescent="0.25"/>
    <row r="809" ht="20.100000000000001" customHeight="1" x14ac:dyDescent="0.25"/>
    <row r="810" ht="20.100000000000001" customHeight="1" x14ac:dyDescent="0.25"/>
    <row r="811" ht="20.100000000000001" customHeight="1" x14ac:dyDescent="0.25"/>
    <row r="812" ht="20.100000000000001" customHeight="1" x14ac:dyDescent="0.25"/>
    <row r="813" ht="20.100000000000001" customHeight="1" x14ac:dyDescent="0.25"/>
    <row r="814" ht="20.100000000000001" customHeight="1" x14ac:dyDescent="0.25"/>
    <row r="815" ht="20.100000000000001" customHeight="1" x14ac:dyDescent="0.25"/>
    <row r="816" ht="20.100000000000001" customHeight="1" x14ac:dyDescent="0.25"/>
    <row r="817" ht="20.100000000000001" customHeight="1" x14ac:dyDescent="0.25"/>
    <row r="818" ht="20.100000000000001" customHeight="1" x14ac:dyDescent="0.25"/>
    <row r="819" ht="20.100000000000001" customHeight="1" x14ac:dyDescent="0.25"/>
    <row r="820" ht="20.100000000000001" customHeight="1" x14ac:dyDescent="0.25"/>
    <row r="821" ht="20.100000000000001" customHeight="1" x14ac:dyDescent="0.25"/>
    <row r="822" ht="20.100000000000001" customHeight="1" x14ac:dyDescent="0.25"/>
    <row r="823" ht="20.100000000000001" customHeight="1" x14ac:dyDescent="0.25"/>
    <row r="824" ht="20.100000000000001" customHeight="1" x14ac:dyDescent="0.25"/>
    <row r="825" ht="20.100000000000001" customHeight="1" x14ac:dyDescent="0.25"/>
    <row r="826" ht="20.100000000000001" customHeight="1" x14ac:dyDescent="0.25"/>
    <row r="827" ht="20.100000000000001" customHeight="1" x14ac:dyDescent="0.25"/>
    <row r="828" ht="20.100000000000001" customHeight="1" x14ac:dyDescent="0.25"/>
    <row r="829" ht="20.100000000000001" customHeight="1" x14ac:dyDescent="0.25"/>
    <row r="830" ht="20.100000000000001" customHeight="1" x14ac:dyDescent="0.25"/>
    <row r="831" ht="20.100000000000001" customHeight="1" x14ac:dyDescent="0.25"/>
    <row r="832" ht="20.100000000000001" customHeight="1" x14ac:dyDescent="0.25"/>
    <row r="833" ht="20.100000000000001" customHeight="1" x14ac:dyDescent="0.25"/>
    <row r="834" ht="20.100000000000001" customHeight="1" x14ac:dyDescent="0.25"/>
    <row r="835" ht="20.100000000000001" customHeight="1" x14ac:dyDescent="0.25"/>
    <row r="836" ht="20.100000000000001" customHeight="1" x14ac:dyDescent="0.25"/>
    <row r="837" ht="20.100000000000001" customHeight="1" x14ac:dyDescent="0.25"/>
    <row r="838" ht="20.100000000000001" customHeight="1" x14ac:dyDescent="0.25"/>
    <row r="839" ht="20.100000000000001" customHeight="1" x14ac:dyDescent="0.25"/>
    <row r="840" ht="20.100000000000001" customHeight="1" x14ac:dyDescent="0.25"/>
    <row r="841" ht="20.100000000000001" customHeight="1" x14ac:dyDescent="0.25"/>
    <row r="842" ht="20.100000000000001" customHeight="1" x14ac:dyDescent="0.25"/>
    <row r="843" ht="20.100000000000001" customHeight="1" x14ac:dyDescent="0.25"/>
    <row r="844" ht="20.100000000000001" customHeight="1" x14ac:dyDescent="0.25"/>
    <row r="845" ht="20.100000000000001" customHeight="1" x14ac:dyDescent="0.25"/>
    <row r="846" ht="20.100000000000001" customHeight="1" x14ac:dyDescent="0.25"/>
    <row r="847" ht="20.100000000000001" customHeight="1" x14ac:dyDescent="0.25"/>
    <row r="848" ht="20.100000000000001" customHeight="1" x14ac:dyDescent="0.25"/>
    <row r="849" ht="20.100000000000001" customHeight="1" x14ac:dyDescent="0.25"/>
    <row r="850" ht="20.100000000000001" customHeight="1" x14ac:dyDescent="0.25"/>
    <row r="851" ht="20.100000000000001" customHeight="1" x14ac:dyDescent="0.25"/>
    <row r="852" ht="20.100000000000001" customHeight="1" x14ac:dyDescent="0.25"/>
    <row r="853" ht="20.100000000000001" customHeight="1" x14ac:dyDescent="0.25"/>
    <row r="854" ht="20.100000000000001" customHeight="1" x14ac:dyDescent="0.25"/>
    <row r="855" ht="20.100000000000001" customHeight="1" x14ac:dyDescent="0.25"/>
    <row r="856" ht="20.100000000000001" customHeight="1" x14ac:dyDescent="0.25"/>
    <row r="857" ht="20.100000000000001" customHeight="1" x14ac:dyDescent="0.25"/>
    <row r="858" ht="20.100000000000001" customHeight="1" x14ac:dyDescent="0.25"/>
    <row r="859" ht="20.100000000000001" customHeight="1" x14ac:dyDescent="0.25"/>
    <row r="860" ht="20.100000000000001" customHeight="1" x14ac:dyDescent="0.25"/>
    <row r="861" ht="20.100000000000001" customHeight="1" x14ac:dyDescent="0.25"/>
    <row r="862" ht="20.100000000000001" customHeight="1" x14ac:dyDescent="0.25"/>
    <row r="863" ht="20.100000000000001" customHeight="1" x14ac:dyDescent="0.25"/>
    <row r="864" ht="20.100000000000001" customHeight="1" x14ac:dyDescent="0.25"/>
    <row r="865" ht="20.100000000000001" customHeight="1" x14ac:dyDescent="0.25"/>
    <row r="866" ht="20.100000000000001" customHeight="1" x14ac:dyDescent="0.25"/>
    <row r="867" ht="20.100000000000001" customHeight="1" x14ac:dyDescent="0.25"/>
    <row r="868" ht="20.100000000000001" customHeight="1" x14ac:dyDescent="0.25"/>
    <row r="869" ht="20.100000000000001" customHeight="1" x14ac:dyDescent="0.25"/>
    <row r="870" ht="20.100000000000001" customHeight="1" x14ac:dyDescent="0.25"/>
    <row r="871" ht="20.100000000000001" customHeight="1" x14ac:dyDescent="0.25"/>
    <row r="872" ht="20.100000000000001" customHeight="1" x14ac:dyDescent="0.25"/>
    <row r="873" ht="20.100000000000001" customHeight="1" x14ac:dyDescent="0.25"/>
    <row r="874" ht="20.100000000000001" customHeight="1" x14ac:dyDescent="0.25"/>
    <row r="875" ht="20.100000000000001" customHeight="1" x14ac:dyDescent="0.25"/>
    <row r="876" ht="20.100000000000001" customHeight="1" x14ac:dyDescent="0.25"/>
    <row r="877" ht="20.100000000000001" customHeight="1" x14ac:dyDescent="0.25"/>
    <row r="878" ht="20.100000000000001" customHeight="1" x14ac:dyDescent="0.25"/>
    <row r="879" ht="20.100000000000001" customHeight="1" x14ac:dyDescent="0.25"/>
    <row r="880" ht="20.100000000000001" customHeight="1" x14ac:dyDescent="0.25"/>
    <row r="881" ht="20.100000000000001" customHeight="1" x14ac:dyDescent="0.25"/>
    <row r="882" ht="20.100000000000001" customHeight="1" x14ac:dyDescent="0.25"/>
    <row r="883" ht="20.100000000000001" customHeight="1" x14ac:dyDescent="0.25"/>
    <row r="884" ht="20.100000000000001" customHeight="1" x14ac:dyDescent="0.25"/>
    <row r="885" ht="20.100000000000001" customHeight="1" x14ac:dyDescent="0.25"/>
    <row r="886" ht="20.100000000000001" customHeight="1" x14ac:dyDescent="0.25"/>
    <row r="887" ht="20.100000000000001" customHeight="1" x14ac:dyDescent="0.25"/>
    <row r="888" ht="20.100000000000001" customHeight="1" x14ac:dyDescent="0.25"/>
    <row r="889" ht="20.100000000000001" customHeight="1" x14ac:dyDescent="0.25"/>
    <row r="890" ht="20.100000000000001" customHeight="1" x14ac:dyDescent="0.25"/>
    <row r="891" ht="20.100000000000001" customHeight="1" x14ac:dyDescent="0.25"/>
    <row r="892" ht="20.100000000000001" customHeight="1" x14ac:dyDescent="0.25"/>
    <row r="893" ht="20.100000000000001" customHeight="1" x14ac:dyDescent="0.25"/>
    <row r="894" ht="20.100000000000001" customHeight="1" x14ac:dyDescent="0.25"/>
    <row r="895" ht="20.100000000000001" customHeight="1" x14ac:dyDescent="0.25"/>
    <row r="896" ht="20.100000000000001" customHeight="1" x14ac:dyDescent="0.25"/>
    <row r="897" ht="20.100000000000001" customHeight="1" x14ac:dyDescent="0.25"/>
    <row r="898" ht="20.100000000000001" customHeight="1" x14ac:dyDescent="0.25"/>
    <row r="899" ht="20.100000000000001" customHeight="1" x14ac:dyDescent="0.25"/>
    <row r="900" ht="20.100000000000001" customHeight="1" x14ac:dyDescent="0.25"/>
    <row r="901" ht="20.100000000000001" customHeight="1" x14ac:dyDescent="0.25"/>
    <row r="902" ht="20.100000000000001" customHeight="1" x14ac:dyDescent="0.25"/>
    <row r="903" ht="20.100000000000001" customHeight="1" x14ac:dyDescent="0.25"/>
    <row r="904" ht="20.100000000000001" customHeight="1" x14ac:dyDescent="0.25"/>
    <row r="905" ht="20.100000000000001" customHeight="1" x14ac:dyDescent="0.25"/>
    <row r="906" ht="20.100000000000001" customHeight="1" x14ac:dyDescent="0.25"/>
    <row r="907" ht="20.100000000000001" customHeight="1" x14ac:dyDescent="0.25"/>
    <row r="908" ht="20.100000000000001" customHeight="1" x14ac:dyDescent="0.25"/>
    <row r="909" ht="20.100000000000001" customHeight="1" x14ac:dyDescent="0.25"/>
    <row r="910" ht="20.100000000000001" customHeight="1" x14ac:dyDescent="0.25"/>
    <row r="911" ht="20.100000000000001" customHeight="1" x14ac:dyDescent="0.25"/>
    <row r="912" ht="20.100000000000001" customHeight="1" x14ac:dyDescent="0.25"/>
    <row r="913" ht="20.100000000000001" customHeight="1" x14ac:dyDescent="0.25"/>
    <row r="914" ht="20.100000000000001" customHeight="1" x14ac:dyDescent="0.25"/>
    <row r="915" ht="20.100000000000001" customHeight="1" x14ac:dyDescent="0.25"/>
    <row r="916" ht="20.100000000000001" customHeight="1" x14ac:dyDescent="0.25"/>
    <row r="917" ht="20.100000000000001" customHeight="1" x14ac:dyDescent="0.25"/>
    <row r="918" ht="20.100000000000001" customHeight="1" x14ac:dyDescent="0.25"/>
    <row r="919" ht="20.100000000000001" customHeight="1" x14ac:dyDescent="0.25"/>
    <row r="920" ht="20.100000000000001" customHeight="1" x14ac:dyDescent="0.25"/>
    <row r="921" ht="20.100000000000001" customHeight="1" x14ac:dyDescent="0.25"/>
    <row r="922" ht="20.100000000000001" customHeight="1" x14ac:dyDescent="0.25"/>
    <row r="923" ht="20.100000000000001" customHeight="1" x14ac:dyDescent="0.25"/>
    <row r="924" ht="20.100000000000001" customHeight="1" x14ac:dyDescent="0.25"/>
    <row r="925" ht="20.100000000000001" customHeight="1" x14ac:dyDescent="0.25"/>
    <row r="926" ht="20.100000000000001" customHeight="1" x14ac:dyDescent="0.25"/>
    <row r="927" ht="20.100000000000001" customHeight="1" x14ac:dyDescent="0.25"/>
    <row r="928" ht="20.100000000000001" customHeight="1" x14ac:dyDescent="0.25"/>
    <row r="929" ht="20.100000000000001" customHeight="1" x14ac:dyDescent="0.25"/>
    <row r="930" ht="20.100000000000001" customHeight="1" x14ac:dyDescent="0.25"/>
    <row r="931" ht="20.100000000000001" customHeight="1" x14ac:dyDescent="0.25"/>
    <row r="932" ht="20.100000000000001" customHeight="1" x14ac:dyDescent="0.25"/>
    <row r="933" ht="20.100000000000001" customHeight="1" x14ac:dyDescent="0.25"/>
    <row r="934" ht="20.100000000000001" customHeight="1" x14ac:dyDescent="0.25"/>
    <row r="935" ht="20.100000000000001" customHeight="1" x14ac:dyDescent="0.25"/>
    <row r="936" ht="20.100000000000001" customHeight="1" x14ac:dyDescent="0.25"/>
    <row r="937" ht="20.100000000000001" customHeight="1" x14ac:dyDescent="0.25"/>
    <row r="938" ht="20.100000000000001" customHeight="1" x14ac:dyDescent="0.25"/>
    <row r="939" ht="20.100000000000001" customHeight="1" x14ac:dyDescent="0.25"/>
    <row r="940" ht="20.100000000000001" customHeight="1" x14ac:dyDescent="0.25"/>
    <row r="941" ht="20.100000000000001" customHeight="1" x14ac:dyDescent="0.25"/>
    <row r="942" ht="20.100000000000001" customHeight="1" x14ac:dyDescent="0.25"/>
    <row r="943" ht="20.100000000000001" customHeight="1" x14ac:dyDescent="0.25"/>
    <row r="944" ht="20.100000000000001" customHeight="1" x14ac:dyDescent="0.25"/>
    <row r="945" ht="20.100000000000001" customHeight="1" x14ac:dyDescent="0.25"/>
    <row r="946" ht="20.100000000000001" customHeight="1" x14ac:dyDescent="0.25"/>
    <row r="947" ht="20.100000000000001" customHeight="1" x14ac:dyDescent="0.25"/>
    <row r="948" ht="20.100000000000001" customHeight="1" x14ac:dyDescent="0.25"/>
    <row r="949" ht="20.100000000000001" customHeight="1" x14ac:dyDescent="0.25"/>
    <row r="950" ht="20.100000000000001" customHeight="1" x14ac:dyDescent="0.25"/>
    <row r="951" ht="20.100000000000001" customHeight="1" x14ac:dyDescent="0.25"/>
    <row r="952" ht="20.100000000000001" customHeight="1" x14ac:dyDescent="0.25"/>
    <row r="953" ht="20.100000000000001" customHeight="1" x14ac:dyDescent="0.25"/>
    <row r="954" ht="20.100000000000001" customHeight="1" x14ac:dyDescent="0.25"/>
    <row r="955" ht="20.100000000000001" customHeight="1" x14ac:dyDescent="0.25"/>
    <row r="956" ht="20.100000000000001" customHeight="1" x14ac:dyDescent="0.25"/>
    <row r="957" ht="20.100000000000001" customHeight="1" x14ac:dyDescent="0.25"/>
    <row r="958" ht="20.100000000000001" customHeight="1" x14ac:dyDescent="0.25"/>
    <row r="959" ht="20.100000000000001" customHeight="1" x14ac:dyDescent="0.25"/>
    <row r="960" ht="20.100000000000001" customHeight="1" x14ac:dyDescent="0.25"/>
    <row r="961" ht="20.100000000000001" customHeight="1" x14ac:dyDescent="0.25"/>
    <row r="962" ht="20.100000000000001" customHeight="1" x14ac:dyDescent="0.25"/>
    <row r="963" ht="20.100000000000001" customHeight="1" x14ac:dyDescent="0.25"/>
    <row r="964" ht="20.100000000000001" customHeight="1" x14ac:dyDescent="0.25"/>
    <row r="965" ht="20.100000000000001" customHeight="1" x14ac:dyDescent="0.25"/>
    <row r="966" ht="20.100000000000001" customHeight="1" x14ac:dyDescent="0.25"/>
    <row r="967" ht="20.100000000000001" customHeight="1" x14ac:dyDescent="0.25"/>
    <row r="968" ht="20.100000000000001" customHeight="1" x14ac:dyDescent="0.25"/>
    <row r="969" ht="20.100000000000001" customHeight="1" x14ac:dyDescent="0.25"/>
    <row r="970" ht="20.100000000000001" customHeight="1" x14ac:dyDescent="0.25"/>
    <row r="971" ht="20.100000000000001" customHeight="1" x14ac:dyDescent="0.25"/>
    <row r="972" ht="20.100000000000001" customHeight="1" x14ac:dyDescent="0.25"/>
    <row r="973" ht="20.100000000000001" customHeight="1" x14ac:dyDescent="0.25"/>
    <row r="974" ht="20.100000000000001" customHeight="1" x14ac:dyDescent="0.25"/>
    <row r="975" ht="20.100000000000001" customHeight="1" x14ac:dyDescent="0.25"/>
    <row r="976" ht="20.100000000000001" customHeight="1" x14ac:dyDescent="0.25"/>
    <row r="977" ht="20.100000000000001" customHeight="1" x14ac:dyDescent="0.25"/>
    <row r="978" ht="20.100000000000001" customHeight="1" x14ac:dyDescent="0.25"/>
    <row r="979" ht="20.100000000000001" customHeight="1" x14ac:dyDescent="0.25"/>
    <row r="980" ht="20.100000000000001" customHeight="1" x14ac:dyDescent="0.25"/>
    <row r="981" ht="20.100000000000001" customHeight="1" x14ac:dyDescent="0.25"/>
    <row r="982" ht="20.100000000000001" customHeight="1" x14ac:dyDescent="0.25"/>
    <row r="983" ht="20.100000000000001" customHeight="1" x14ac:dyDescent="0.25"/>
    <row r="984" ht="20.100000000000001" customHeight="1" x14ac:dyDescent="0.25"/>
    <row r="985" ht="20.100000000000001" customHeight="1" x14ac:dyDescent="0.25"/>
    <row r="986" ht="20.100000000000001" customHeight="1" x14ac:dyDescent="0.25"/>
    <row r="987" ht="20.100000000000001" customHeight="1" x14ac:dyDescent="0.25"/>
    <row r="988" ht="20.100000000000001" customHeight="1" x14ac:dyDescent="0.25"/>
    <row r="989" ht="20.100000000000001" customHeight="1" x14ac:dyDescent="0.25"/>
    <row r="990" ht="20.100000000000001" customHeight="1" x14ac:dyDescent="0.25"/>
    <row r="991" ht="20.100000000000001" customHeight="1" x14ac:dyDescent="0.25"/>
    <row r="992" ht="20.100000000000001" customHeight="1" x14ac:dyDescent="0.25"/>
    <row r="993" ht="20.100000000000001" customHeight="1" x14ac:dyDescent="0.25"/>
    <row r="994" ht="20.100000000000001" customHeight="1" x14ac:dyDescent="0.25"/>
    <row r="995" ht="20.100000000000001" customHeight="1" x14ac:dyDescent="0.25"/>
    <row r="996" ht="20.100000000000001" customHeight="1" x14ac:dyDescent="0.25"/>
    <row r="997" ht="20.100000000000001" customHeight="1" x14ac:dyDescent="0.25"/>
    <row r="998" ht="20.100000000000001" customHeight="1" x14ac:dyDescent="0.25"/>
    <row r="999" ht="20.100000000000001" customHeight="1" x14ac:dyDescent="0.25"/>
    <row r="1000" ht="20.100000000000001" customHeight="1" x14ac:dyDescent="0.25"/>
  </sheetData>
  <mergeCells count="51">
    <mergeCell ref="E15:F15"/>
    <mergeCell ref="K15:L15"/>
    <mergeCell ref="P15:Q15"/>
    <mergeCell ref="C10:Q10"/>
    <mergeCell ref="B2:Q2"/>
    <mergeCell ref="B3:Q3"/>
    <mergeCell ref="B4:Q4"/>
    <mergeCell ref="B5:Q5"/>
    <mergeCell ref="B6:Q6"/>
    <mergeCell ref="C7:P7"/>
    <mergeCell ref="C13:Q13"/>
    <mergeCell ref="E21:H21"/>
    <mergeCell ref="N21:Q21"/>
    <mergeCell ref="C22:D22"/>
    <mergeCell ref="E22:H22"/>
    <mergeCell ref="N22:Q22"/>
    <mergeCell ref="K17:L17"/>
    <mergeCell ref="P17:Q17"/>
    <mergeCell ref="C18:P18"/>
    <mergeCell ref="C19:D19"/>
    <mergeCell ref="C20:D20"/>
    <mergeCell ref="E20:H20"/>
    <mergeCell ref="N20:Q20"/>
    <mergeCell ref="E17:F17"/>
    <mergeCell ref="E25:H25"/>
    <mergeCell ref="N25:Q25"/>
    <mergeCell ref="C32:P32"/>
    <mergeCell ref="C34:C35"/>
    <mergeCell ref="E27:H27"/>
    <mergeCell ref="N27:Q27"/>
    <mergeCell ref="C28:D28"/>
    <mergeCell ref="E28:H28"/>
    <mergeCell ref="N28:Q28"/>
    <mergeCell ref="E29:H29"/>
    <mergeCell ref="C30:D30"/>
    <mergeCell ref="E30:H30"/>
    <mergeCell ref="D31:E31"/>
    <mergeCell ref="K31:L31"/>
    <mergeCell ref="M34:Q34"/>
    <mergeCell ref="H34:L34"/>
    <mergeCell ref="E23:H23"/>
    <mergeCell ref="N23:Q23"/>
    <mergeCell ref="C24:D24"/>
    <mergeCell ref="E24:H24"/>
    <mergeCell ref="N24:Q24"/>
    <mergeCell ref="J39:K39"/>
    <mergeCell ref="C44:P44"/>
    <mergeCell ref="C26:D26"/>
    <mergeCell ref="E26:H26"/>
    <mergeCell ref="N26:Q26"/>
    <mergeCell ref="D34:G34"/>
  </mergeCells>
  <conditionalFormatting sqref="D36:Q37">
    <cfRule type="containsBlanks" dxfId="5" priority="1">
      <formula>LEN(TRIM(D36))=0</formula>
    </cfRule>
  </conditionalFormatting>
  <conditionalFormatting sqref="E15:F15 E17:G17 E20:H20 E22:H22 E24:H24 E26:H26 E28:H28 E30:H30 J40:K42 G47:N47">
    <cfRule type="containsBlanks" dxfId="4" priority="2">
      <formula>LEN(TRIM(E15))=0</formula>
    </cfRule>
  </conditionalFormatting>
  <dataValidations count="15">
    <dataValidation allowBlank="1" showInputMessage="1" showErrorMessage="1" prompt="Isi tahun dengan contoh format : 2020" sqref="G17" xr:uid="{00000000-0002-0000-0000-000000000000}"/>
    <dataValidation allowBlank="1" showInputMessage="1" showErrorMessage="1" prompt="Isi tahun pelajaran dengan contoh format : 20019/2010" sqref="E15:F15" xr:uid="{00000000-0002-0000-0000-000001000000}"/>
    <dataValidation type="list" allowBlank="1" showInputMessage="1" showErrorMessage="1" prompt="Isi bulan dari pilihan menu dropdown." sqref="E17:F17" xr:uid="{00000000-0002-0000-0000-000003000000}">
      <formula1>$U$13:$U$24</formula1>
    </dataValidation>
    <dataValidation allowBlank="1" showInputMessage="1" showErrorMessage="1" prompt="Isi dengan nama lengkap dengan gelar depan dan belakang" sqref="E20:H20" xr:uid="{00000000-0002-0000-0000-000004000000}"/>
    <dataValidation allowBlank="1" showInputMessage="1" showErrorMessage="1" prompt="Isi dengan Nomor Induk Pegawai. Untuk Non-PNS beri tanda strip (-) lalu ENTER" sqref="E22:H22" xr:uid="{00000000-0002-0000-0000-000005000000}"/>
    <dataValidation allowBlank="1" showInputMessage="1" showErrorMessage="1" prompt="Isi dengan nomor peserta sertifikasi" sqref="E24:H24" xr:uid="{00000000-0002-0000-0000-000006000000}"/>
    <dataValidation allowBlank="1" showInputMessage="1" showErrorMessage="1" prompt="Isi dengan Pendidikan Terakhir" sqref="E28:H28" xr:uid="{00000000-0002-0000-0000-000007000000}"/>
    <dataValidation allowBlank="1" showInputMessage="1" showErrorMessage="1" prompt="Isi dengan Mata Pelajaran yang diajarkan. CONTOH: Guru Mata Pelajaran Bahasa Indonesia" sqref="E30:H30" xr:uid="{00000000-0002-0000-0000-000008000000}"/>
    <dataValidation allowBlank="1" showInputMessage="1" showErrorMessage="1" promptTitle="TIDAK PERLU DIRUBAH!" prompt="Isi dengan Nama Madrasah" sqref="N20:Q20" xr:uid="{00000000-0002-0000-0000-000009000000}"/>
    <dataValidation allowBlank="1" showInputMessage="1" showErrorMessage="1" promptTitle="TIDAK PERLU DIRUBAH!" prompt="Isi dengan alama madrasah" sqref="N22:Q22" xr:uid="{00000000-0002-0000-0000-00000A000000}"/>
    <dataValidation allowBlank="1" showInputMessage="1" showErrorMessage="1" promptTitle="TIDAK PERLU DIRUBAH!" prompt="Isi dengan Jumlah Rombel di madrasah" sqref="N24:Q24" xr:uid="{00000000-0002-0000-0000-00000B000000}"/>
    <dataValidation allowBlank="1" showInputMessage="1" showErrorMessage="1" promptTitle="TIDAK PERLU DIRUBAH!" prompt="Isi dengan status akreditasi madrasah. Contoh: Terakreditasi A" sqref="N26:Q26" xr:uid="{00000000-0002-0000-0000-00000C000000}"/>
    <dataValidation allowBlank="1" showInputMessage="1" showErrorMessage="1" promptTitle="TIDAK PERLU DIRUBAH!" prompt="Isi dengan Ada atau Tidak Ada" sqref="N28:Q28" xr:uid="{00000000-0002-0000-0000-00000D000000}"/>
    <dataValidation allowBlank="1" showInputMessage="1" showErrorMessage="1" promptTitle="TIDAK PERLU DIRUBAH!" sqref="P17:Q17 K17:L17 K15:L15 P15:Q15" xr:uid="{00000000-0002-0000-0000-00000E000000}"/>
    <dataValidation type="list" allowBlank="1" showInputMessage="1" showErrorMessage="1" promptTitle="Khusus PNS" prompt="Isi dengan Pangkat dan Golongan Ruang Terbaru_x000a_pilih dari menu dropdown." sqref="E26:H26" xr:uid="{00000000-0002-0000-0000-000002000000}">
      <formula1>$U$30:$U$38</formula1>
    </dataValidation>
  </dataValidations>
  <pageMargins left="0.5" right="0.5" top="0.5" bottom="0.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P56"/>
  <sheetViews>
    <sheetView showGridLines="0" topLeftCell="A11" zoomScale="95" zoomScaleNormal="95" zoomScaleSheetLayoutView="100" workbookViewId="0">
      <selection activeCell="G37" sqref="G37"/>
    </sheetView>
  </sheetViews>
  <sheetFormatPr defaultColWidth="0" defaultRowHeight="20.100000000000001" customHeight="1" zeroHeight="1" x14ac:dyDescent="0.25"/>
  <cols>
    <col min="1" max="2" width="1.42578125" customWidth="1"/>
    <col min="3" max="16" width="13" customWidth="1"/>
    <col min="17" max="17" width="1" customWidth="1"/>
    <col min="18" max="18" width="1.42578125" customWidth="1"/>
    <col min="19" max="19" width="0.42578125" hidden="1" customWidth="1"/>
    <col min="20" max="42" width="9.140625" hidden="1" customWidth="1"/>
  </cols>
  <sheetData>
    <row r="1" spans="1:21" s="25" customFormat="1" ht="7.5" customHeight="1" x14ac:dyDescent="0.25"/>
    <row r="2" spans="1:21" ht="18" customHeight="1" x14ac:dyDescent="0.25">
      <c r="A2" s="25"/>
      <c r="B2" s="284" t="s">
        <v>94</v>
      </c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5"/>
    </row>
    <row r="3" spans="1:21" ht="16.5" x14ac:dyDescent="0.25">
      <c r="A3" s="25"/>
      <c r="B3" s="285" t="s">
        <v>95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5"/>
    </row>
    <row r="4" spans="1:21" ht="16.5" customHeight="1" x14ac:dyDescent="0.25">
      <c r="A4" s="25"/>
      <c r="B4" s="286" t="s">
        <v>96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5"/>
    </row>
    <row r="5" spans="1:21" ht="15" x14ac:dyDescent="0.25">
      <c r="A5" s="25"/>
      <c r="B5" s="287" t="s">
        <v>97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5"/>
    </row>
    <row r="6" spans="1:21" ht="15" x14ac:dyDescent="0.25">
      <c r="A6" s="25"/>
      <c r="B6" s="287" t="s">
        <v>98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5"/>
    </row>
    <row r="7" spans="1:21" ht="3.2" customHeight="1" x14ac:dyDescent="0.25">
      <c r="A7" s="25"/>
      <c r="B7" s="1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"/>
      <c r="R7" s="25"/>
    </row>
    <row r="8" spans="1:21" ht="3" customHeight="1" thickBot="1" x14ac:dyDescent="0.3">
      <c r="A8" s="25"/>
      <c r="B8" s="1"/>
      <c r="C8" s="1"/>
      <c r="D8" s="1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"/>
      <c r="R8" s="25"/>
    </row>
    <row r="9" spans="1:21" ht="8.25" hidden="1" customHeight="1" x14ac:dyDescent="0.25">
      <c r="A9" s="25"/>
      <c r="B9" s="1"/>
      <c r="C9" s="1"/>
      <c r="D9" s="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"/>
      <c r="R9" s="25"/>
    </row>
    <row r="10" spans="1:21" ht="15" x14ac:dyDescent="0.25">
      <c r="A10" s="25"/>
      <c r="B10" s="1"/>
      <c r="C10" s="297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9"/>
      <c r="Q10" s="2"/>
      <c r="R10" s="25"/>
    </row>
    <row r="11" spans="1:21" ht="30" customHeight="1" thickBot="1" x14ac:dyDescent="0.3">
      <c r="A11" s="25"/>
      <c r="B11" s="1"/>
      <c r="C11" s="300" t="s">
        <v>124</v>
      </c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2"/>
      <c r="Q11" s="2"/>
      <c r="R11" s="25"/>
    </row>
    <row r="12" spans="1:21" ht="3" customHeight="1" x14ac:dyDescent="0.25">
      <c r="A12" s="2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5"/>
    </row>
    <row r="13" spans="1:21" ht="15" x14ac:dyDescent="0.25">
      <c r="A13" s="25"/>
      <c r="B13" s="1"/>
      <c r="C13" s="289" t="s">
        <v>42</v>
      </c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"/>
      <c r="R13" s="25"/>
      <c r="U13" t="s">
        <v>82</v>
      </c>
    </row>
    <row r="14" spans="1:21" ht="7.5" customHeight="1" x14ac:dyDescent="0.25">
      <c r="A14" s="25"/>
      <c r="B14" s="1"/>
      <c r="C14" s="1"/>
      <c r="D14" s="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5"/>
      <c r="U14" t="s">
        <v>83</v>
      </c>
    </row>
    <row r="15" spans="1:21" ht="15" x14ac:dyDescent="0.25">
      <c r="A15" s="25"/>
      <c r="B15" s="1"/>
      <c r="C15" s="1" t="s">
        <v>112</v>
      </c>
      <c r="D15" s="1"/>
      <c r="E15" s="280" t="s">
        <v>138</v>
      </c>
      <c r="F15" s="280"/>
      <c r="G15" s="1"/>
      <c r="H15" s="1" t="s">
        <v>107</v>
      </c>
      <c r="I15" s="1"/>
      <c r="J15" s="281" t="s">
        <v>89</v>
      </c>
      <c r="K15" s="281"/>
      <c r="L15" s="1" t="s">
        <v>108</v>
      </c>
      <c r="M15" s="1"/>
      <c r="N15" s="281" t="s">
        <v>90</v>
      </c>
      <c r="O15" s="281"/>
      <c r="P15" s="1"/>
      <c r="Q15" s="1"/>
      <c r="R15" s="25"/>
      <c r="U15" t="s">
        <v>84</v>
      </c>
    </row>
    <row r="16" spans="1:21" ht="3" customHeight="1" x14ac:dyDescent="0.25">
      <c r="A16" s="25"/>
      <c r="B16" s="1"/>
      <c r="C16" s="1"/>
      <c r="D16" s="1"/>
      <c r="E16" s="1"/>
      <c r="F16" s="1"/>
      <c r="G16" s="1"/>
      <c r="H16" s="1"/>
      <c r="I16" s="1"/>
      <c r="J16" s="22"/>
      <c r="K16" s="22"/>
      <c r="L16" s="1"/>
      <c r="M16" s="1"/>
      <c r="N16" s="22"/>
      <c r="O16" s="22"/>
      <c r="P16" s="1"/>
      <c r="Q16" s="1"/>
      <c r="R16" s="25"/>
      <c r="U16" t="s">
        <v>85</v>
      </c>
    </row>
    <row r="17" spans="1:25" ht="15" customHeight="1" x14ac:dyDescent="0.25">
      <c r="A17" s="25"/>
      <c r="B17" s="1"/>
      <c r="C17" s="1" t="s">
        <v>111</v>
      </c>
      <c r="D17" s="1"/>
      <c r="E17" s="278" t="s">
        <v>43</v>
      </c>
      <c r="F17" s="278"/>
      <c r="G17" s="115" t="s">
        <v>135</v>
      </c>
      <c r="H17" s="1" t="s">
        <v>109</v>
      </c>
      <c r="I17" s="1"/>
      <c r="J17" s="276" t="s">
        <v>99</v>
      </c>
      <c r="K17" s="276"/>
      <c r="L17" s="1" t="s">
        <v>110</v>
      </c>
      <c r="M17" s="1"/>
      <c r="N17" s="276" t="s">
        <v>91</v>
      </c>
      <c r="O17" s="276"/>
      <c r="P17" s="1"/>
      <c r="Q17" s="1"/>
      <c r="R17" s="25"/>
      <c r="U17" t="s">
        <v>86</v>
      </c>
    </row>
    <row r="18" spans="1:25" ht="15" x14ac:dyDescent="0.25">
      <c r="A18" s="25"/>
      <c r="B18" s="1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1"/>
      <c r="R18" s="25"/>
      <c r="U18" t="s">
        <v>87</v>
      </c>
    </row>
    <row r="19" spans="1:25" ht="2.1" customHeight="1" x14ac:dyDescent="0.25">
      <c r="A19" s="25"/>
      <c r="B19" s="1"/>
      <c r="C19" s="277" t="s">
        <v>0</v>
      </c>
      <c r="D19" s="277"/>
      <c r="E19" s="1"/>
      <c r="F19" s="1"/>
      <c r="G19" s="1"/>
      <c r="H19" s="1"/>
      <c r="I19" s="1"/>
      <c r="J19" s="19" t="s">
        <v>16</v>
      </c>
      <c r="K19" s="1"/>
      <c r="L19" s="1"/>
      <c r="M19" s="1"/>
      <c r="N19" s="1"/>
      <c r="O19" s="1"/>
      <c r="P19" s="1"/>
      <c r="Q19" s="1"/>
      <c r="R19" s="25"/>
      <c r="U19" t="s">
        <v>43</v>
      </c>
    </row>
    <row r="20" spans="1:25" ht="15" x14ac:dyDescent="0.25">
      <c r="A20" s="25"/>
      <c r="B20" s="1"/>
      <c r="C20" s="259" t="s">
        <v>1</v>
      </c>
      <c r="D20" s="259"/>
      <c r="E20" s="269" t="s">
        <v>116</v>
      </c>
      <c r="F20" s="269"/>
      <c r="G20" s="269"/>
      <c r="H20" s="269"/>
      <c r="I20" s="1"/>
      <c r="J20" s="1" t="s">
        <v>17</v>
      </c>
      <c r="K20" s="1"/>
      <c r="L20" s="267" t="s">
        <v>92</v>
      </c>
      <c r="M20" s="267"/>
      <c r="N20" s="267"/>
      <c r="O20" s="267"/>
      <c r="P20" s="1"/>
      <c r="Q20" s="1"/>
      <c r="R20" s="25"/>
      <c r="U20" t="s">
        <v>44</v>
      </c>
    </row>
    <row r="21" spans="1:25" ht="3" customHeight="1" x14ac:dyDescent="0.25">
      <c r="A21" s="25"/>
      <c r="B21" s="1"/>
      <c r="C21" s="22"/>
      <c r="D21" s="22"/>
      <c r="E21" s="265"/>
      <c r="F21" s="265"/>
      <c r="G21" s="265"/>
      <c r="H21" s="265"/>
      <c r="I21" s="1"/>
      <c r="J21" s="1"/>
      <c r="K21" s="1"/>
      <c r="L21" s="265"/>
      <c r="M21" s="265"/>
      <c r="N21" s="265"/>
      <c r="O21" s="265"/>
      <c r="P21" s="1"/>
      <c r="Q21" s="1"/>
      <c r="R21" s="25"/>
      <c r="U21" t="s">
        <v>55</v>
      </c>
    </row>
    <row r="22" spans="1:25" ht="15" x14ac:dyDescent="0.25">
      <c r="A22" s="25"/>
      <c r="B22" s="1"/>
      <c r="C22" s="259" t="s">
        <v>2</v>
      </c>
      <c r="D22" s="259"/>
      <c r="E22" s="279" t="s">
        <v>117</v>
      </c>
      <c r="F22" s="279"/>
      <c r="G22" s="279"/>
      <c r="H22" s="279"/>
      <c r="I22" s="1"/>
      <c r="J22" s="1" t="s">
        <v>18</v>
      </c>
      <c r="K22" s="1"/>
      <c r="L22" s="261" t="s">
        <v>93</v>
      </c>
      <c r="M22" s="261"/>
      <c r="N22" s="261"/>
      <c r="O22" s="261"/>
      <c r="P22" s="1"/>
      <c r="Q22" s="1"/>
      <c r="R22" s="25"/>
      <c r="U22" t="s">
        <v>58</v>
      </c>
    </row>
    <row r="23" spans="1:25" ht="3" customHeight="1" x14ac:dyDescent="0.25">
      <c r="A23" s="25"/>
      <c r="B23" s="1"/>
      <c r="C23" s="22"/>
      <c r="D23" s="22"/>
      <c r="E23" s="265"/>
      <c r="F23" s="265"/>
      <c r="G23" s="265"/>
      <c r="H23" s="265"/>
      <c r="I23" s="1"/>
      <c r="J23" s="1"/>
      <c r="K23" s="1"/>
      <c r="L23" s="265"/>
      <c r="M23" s="265"/>
      <c r="N23" s="265"/>
      <c r="O23" s="265"/>
      <c r="P23" s="1"/>
      <c r="Q23" s="1"/>
      <c r="R23" s="25"/>
      <c r="U23" t="s">
        <v>56</v>
      </c>
    </row>
    <row r="24" spans="1:25" ht="15" x14ac:dyDescent="0.25">
      <c r="A24" s="25"/>
      <c r="B24" s="1"/>
      <c r="C24" s="259" t="s">
        <v>3</v>
      </c>
      <c r="D24" s="259"/>
      <c r="E24" s="266" t="s">
        <v>120</v>
      </c>
      <c r="F24" s="266"/>
      <c r="G24" s="266"/>
      <c r="H24" s="266"/>
      <c r="I24" s="1"/>
      <c r="J24" s="1" t="s">
        <v>19</v>
      </c>
      <c r="K24" s="1"/>
      <c r="L24" s="267" t="s">
        <v>133</v>
      </c>
      <c r="M24" s="267"/>
      <c r="N24" s="267"/>
      <c r="O24" s="267"/>
      <c r="P24" s="1"/>
      <c r="Q24" s="1"/>
      <c r="R24" s="25"/>
      <c r="U24" t="s">
        <v>57</v>
      </c>
    </row>
    <row r="25" spans="1:25" ht="3" customHeight="1" x14ac:dyDescent="0.25">
      <c r="A25" s="25"/>
      <c r="B25" s="1"/>
      <c r="C25" s="22"/>
      <c r="D25" s="22"/>
      <c r="E25" s="265"/>
      <c r="F25" s="265"/>
      <c r="G25" s="265"/>
      <c r="H25" s="265"/>
      <c r="I25" s="1"/>
      <c r="J25" s="1"/>
      <c r="K25" s="1"/>
      <c r="L25" s="265"/>
      <c r="M25" s="265"/>
      <c r="N25" s="265"/>
      <c r="O25" s="265"/>
      <c r="P25" s="1"/>
      <c r="Q25" s="1"/>
      <c r="R25" s="25"/>
    </row>
    <row r="26" spans="1:25" ht="15" x14ac:dyDescent="0.25">
      <c r="A26" s="25"/>
      <c r="B26" s="1"/>
      <c r="C26" s="259" t="s">
        <v>4</v>
      </c>
      <c r="D26" s="259"/>
      <c r="E26" s="260" t="s">
        <v>64</v>
      </c>
      <c r="F26" s="260"/>
      <c r="G26" s="260"/>
      <c r="H26" s="260"/>
      <c r="I26" s="1"/>
      <c r="J26" s="1" t="s">
        <v>20</v>
      </c>
      <c r="K26" s="1"/>
      <c r="L26" s="261" t="s">
        <v>45</v>
      </c>
      <c r="M26" s="261"/>
      <c r="N26" s="261"/>
      <c r="O26" s="261"/>
      <c r="P26" s="1"/>
      <c r="Q26" s="1"/>
      <c r="R26" s="25"/>
    </row>
    <row r="27" spans="1:25" ht="3" customHeight="1" x14ac:dyDescent="0.25">
      <c r="A27" s="25"/>
      <c r="B27" s="1"/>
      <c r="C27" s="22"/>
      <c r="D27" s="22"/>
      <c r="E27" s="265"/>
      <c r="F27" s="265"/>
      <c r="G27" s="265"/>
      <c r="H27" s="265"/>
      <c r="I27" s="1"/>
      <c r="J27" s="1"/>
      <c r="K27" s="1"/>
      <c r="L27" s="265"/>
      <c r="M27" s="265"/>
      <c r="N27" s="265"/>
      <c r="O27" s="265"/>
      <c r="P27" s="1"/>
      <c r="Q27" s="1"/>
      <c r="R27" s="25"/>
    </row>
    <row r="28" spans="1:25" ht="15" customHeight="1" x14ac:dyDescent="0.25">
      <c r="A28" s="25"/>
      <c r="B28" s="1"/>
      <c r="C28" s="259" t="s">
        <v>5</v>
      </c>
      <c r="D28" s="259"/>
      <c r="E28" s="269" t="s">
        <v>118</v>
      </c>
      <c r="F28" s="269"/>
      <c r="G28" s="269"/>
      <c r="H28" s="269"/>
      <c r="I28" s="1"/>
      <c r="J28" s="1" t="s">
        <v>21</v>
      </c>
      <c r="K28" s="1"/>
      <c r="L28" s="267" t="s">
        <v>46</v>
      </c>
      <c r="M28" s="267"/>
      <c r="N28" s="267"/>
      <c r="O28" s="267"/>
      <c r="P28" s="1"/>
      <c r="Q28" s="1"/>
      <c r="R28" s="25"/>
    </row>
    <row r="29" spans="1:25" ht="3" customHeight="1" x14ac:dyDescent="0.25">
      <c r="A29" s="25"/>
      <c r="B29" s="1"/>
      <c r="C29" s="22"/>
      <c r="D29" s="22"/>
      <c r="E29" s="265"/>
      <c r="F29" s="265"/>
      <c r="G29" s="265"/>
      <c r="H29" s="265"/>
      <c r="I29" s="1"/>
      <c r="J29" s="1"/>
      <c r="K29" s="1"/>
      <c r="L29" s="1"/>
      <c r="M29" s="1"/>
      <c r="N29" s="1"/>
      <c r="O29" s="1"/>
      <c r="P29" s="1"/>
      <c r="Q29" s="1"/>
      <c r="R29" s="25"/>
    </row>
    <row r="30" spans="1:25" ht="15" customHeight="1" x14ac:dyDescent="0.25">
      <c r="A30" s="25"/>
      <c r="B30" s="1"/>
      <c r="C30" s="259" t="s">
        <v>6</v>
      </c>
      <c r="D30" s="259"/>
      <c r="E30" s="260" t="s">
        <v>119</v>
      </c>
      <c r="F30" s="260"/>
      <c r="G30" s="260"/>
      <c r="H30" s="260"/>
      <c r="I30" s="1"/>
      <c r="J30" s="1"/>
      <c r="K30" s="1"/>
      <c r="L30" s="1"/>
      <c r="M30" s="1"/>
      <c r="N30" s="1"/>
      <c r="O30" s="1"/>
      <c r="P30" s="1"/>
      <c r="Q30" s="1"/>
      <c r="R30" s="25"/>
      <c r="U30" t="s">
        <v>61</v>
      </c>
      <c r="Y30" s="26" t="s">
        <v>32</v>
      </c>
    </row>
    <row r="31" spans="1:25" ht="15" x14ac:dyDescent="0.25">
      <c r="A31" s="25"/>
      <c r="B31" s="1"/>
      <c r="C31" s="1"/>
      <c r="D31" s="270"/>
      <c r="E31" s="270"/>
      <c r="F31" s="1"/>
      <c r="G31" s="1"/>
      <c r="H31" s="1"/>
      <c r="I31" s="1"/>
      <c r="J31" s="1"/>
      <c r="K31" s="270"/>
      <c r="L31" s="270"/>
      <c r="M31" s="1"/>
      <c r="N31" s="1"/>
      <c r="O31" s="1"/>
      <c r="P31" s="1"/>
      <c r="Q31" s="1"/>
      <c r="R31" s="25"/>
      <c r="U31" t="s">
        <v>62</v>
      </c>
      <c r="Y31" s="27" t="s">
        <v>33</v>
      </c>
    </row>
    <row r="32" spans="1:25" ht="15.75" x14ac:dyDescent="0.25">
      <c r="A32" s="25"/>
      <c r="B32" s="1"/>
      <c r="C32" s="258" t="str">
        <f>"DATA JUMLAH SISWA/PESERTA EKSTRAKURIKULER BULAN "&amp;E17&amp;" "&amp;G17</f>
        <v>DATA JUMLAH SISWA/PESERTA EKSTRAKURIKULER BULAN JULI 2022</v>
      </c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"/>
      <c r="R32" s="25"/>
      <c r="U32" t="s">
        <v>63</v>
      </c>
      <c r="Y32" s="26" t="s">
        <v>35</v>
      </c>
    </row>
    <row r="33" spans="1:25" ht="7.5" customHeight="1" x14ac:dyDescent="0.25">
      <c r="A33" s="25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5"/>
      <c r="U33" t="s">
        <v>64</v>
      </c>
      <c r="Y33" s="27" t="s">
        <v>36</v>
      </c>
    </row>
    <row r="34" spans="1:25" ht="15" customHeight="1" x14ac:dyDescent="0.25">
      <c r="A34" s="25"/>
      <c r="B34" s="1"/>
      <c r="C34" s="268"/>
      <c r="D34" s="291" t="s">
        <v>113</v>
      </c>
      <c r="E34" s="292"/>
      <c r="F34" s="292"/>
      <c r="G34" s="292"/>
      <c r="H34" s="293"/>
      <c r="I34" s="294" t="s">
        <v>114</v>
      </c>
      <c r="J34" s="295"/>
      <c r="K34" s="295"/>
      <c r="L34" s="296"/>
      <c r="M34" s="290" t="s">
        <v>115</v>
      </c>
      <c r="N34" s="290"/>
      <c r="O34" s="290"/>
      <c r="P34" s="1"/>
      <c r="Q34" s="1"/>
      <c r="R34" s="25"/>
      <c r="U34" t="s">
        <v>65</v>
      </c>
      <c r="Y34" s="26" t="s">
        <v>37</v>
      </c>
    </row>
    <row r="35" spans="1:25" ht="15" customHeight="1" x14ac:dyDescent="0.25">
      <c r="A35" s="25"/>
      <c r="B35" s="1"/>
      <c r="C35" s="268"/>
      <c r="D35" s="36" t="s">
        <v>32</v>
      </c>
      <c r="E35" s="36" t="s">
        <v>33</v>
      </c>
      <c r="F35" s="36" t="s">
        <v>34</v>
      </c>
      <c r="G35" s="36" t="s">
        <v>128</v>
      </c>
      <c r="H35" s="36" t="s">
        <v>132</v>
      </c>
      <c r="I35" s="37" t="s">
        <v>35</v>
      </c>
      <c r="J35" s="37" t="s">
        <v>36</v>
      </c>
      <c r="K35" s="37" t="s">
        <v>37</v>
      </c>
      <c r="L35" s="37" t="s">
        <v>131</v>
      </c>
      <c r="M35" s="38" t="s">
        <v>102</v>
      </c>
      <c r="N35" s="38" t="s">
        <v>103</v>
      </c>
      <c r="O35" s="38" t="s">
        <v>104</v>
      </c>
      <c r="P35" s="1"/>
      <c r="Q35" s="1"/>
      <c r="R35" s="25"/>
      <c r="U35" t="s">
        <v>66</v>
      </c>
      <c r="Y35" s="26" t="s">
        <v>39</v>
      </c>
    </row>
    <row r="36" spans="1:25" ht="15" customHeight="1" x14ac:dyDescent="0.25">
      <c r="A36" s="25"/>
      <c r="B36" s="1"/>
      <c r="C36" s="39" t="s">
        <v>12</v>
      </c>
      <c r="D36" s="40"/>
      <c r="E36" s="41"/>
      <c r="F36" s="40"/>
      <c r="G36" s="41"/>
      <c r="H36" s="41"/>
      <c r="I36" s="40"/>
      <c r="J36" s="41"/>
      <c r="K36" s="40"/>
      <c r="L36" s="40"/>
      <c r="M36" s="40"/>
      <c r="N36" s="41"/>
      <c r="O36" s="40"/>
      <c r="P36" s="1"/>
      <c r="Q36" s="1"/>
      <c r="R36" s="25"/>
      <c r="U36" t="s">
        <v>67</v>
      </c>
      <c r="Y36" s="27" t="s">
        <v>40</v>
      </c>
    </row>
    <row r="37" spans="1:25" ht="15" customHeight="1" x14ac:dyDescent="0.25">
      <c r="A37" s="25"/>
      <c r="B37" s="1"/>
      <c r="C37" s="42" t="s">
        <v>13</v>
      </c>
      <c r="D37" s="40"/>
      <c r="E37" s="41"/>
      <c r="F37" s="40"/>
      <c r="G37" s="41"/>
      <c r="H37" s="41"/>
      <c r="I37" s="40"/>
      <c r="J37" s="41"/>
      <c r="K37" s="40"/>
      <c r="L37" s="40"/>
      <c r="M37" s="40"/>
      <c r="N37" s="41"/>
      <c r="O37" s="40"/>
      <c r="P37" s="1"/>
      <c r="Q37" s="1"/>
      <c r="R37" s="25"/>
      <c r="U37" t="s">
        <v>68</v>
      </c>
      <c r="Y37" s="26" t="s">
        <v>41</v>
      </c>
    </row>
    <row r="38" spans="1:25" ht="15" customHeight="1" x14ac:dyDescent="0.25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5"/>
      <c r="Y38" s="120"/>
    </row>
    <row r="39" spans="1:25" ht="15" customHeight="1" x14ac:dyDescent="0.25">
      <c r="A39" s="25"/>
      <c r="B39" s="1"/>
      <c r="C39" s="1"/>
      <c r="D39" s="1"/>
      <c r="E39" s="1"/>
      <c r="F39" s="1"/>
      <c r="G39" s="1"/>
      <c r="H39" s="1"/>
      <c r="I39" s="257" t="s">
        <v>38</v>
      </c>
      <c r="J39" s="257"/>
      <c r="K39" s="1"/>
      <c r="L39" s="1"/>
      <c r="M39" s="1"/>
      <c r="N39" s="1"/>
      <c r="O39" s="1"/>
      <c r="P39" s="1"/>
      <c r="Q39" s="1"/>
      <c r="R39" s="25"/>
      <c r="Y39" s="120"/>
    </row>
    <row r="40" spans="1:25" ht="15" customHeight="1" x14ac:dyDescent="0.25">
      <c r="A40" s="25"/>
      <c r="B40" s="1"/>
      <c r="C40" s="1"/>
      <c r="D40" s="1"/>
      <c r="E40" s="1"/>
      <c r="F40" s="1"/>
      <c r="G40" s="1"/>
      <c r="H40" s="1"/>
      <c r="I40" s="106" t="s">
        <v>130</v>
      </c>
      <c r="J40" s="106" t="s">
        <v>129</v>
      </c>
      <c r="K40" s="1"/>
      <c r="L40" s="1"/>
      <c r="M40" s="1"/>
      <c r="N40" s="1"/>
      <c r="O40" s="1"/>
      <c r="P40" s="1"/>
      <c r="Q40" s="1"/>
      <c r="R40" s="25"/>
      <c r="Y40" s="120"/>
    </row>
    <row r="41" spans="1:25" ht="15" customHeight="1" x14ac:dyDescent="0.25">
      <c r="A41" s="25"/>
      <c r="B41" s="1"/>
      <c r="C41" s="1"/>
      <c r="D41" s="1"/>
      <c r="E41" s="1"/>
      <c r="F41" s="1"/>
      <c r="G41" s="1"/>
      <c r="H41" s="1"/>
      <c r="I41" s="40"/>
      <c r="J41" s="40"/>
      <c r="K41" s="1"/>
      <c r="L41" s="1"/>
      <c r="M41" s="1"/>
      <c r="N41" s="1"/>
      <c r="O41" s="1"/>
      <c r="P41" s="1"/>
      <c r="Q41" s="1"/>
      <c r="R41" s="25"/>
      <c r="Y41" s="120"/>
    </row>
    <row r="42" spans="1:25" ht="15" customHeight="1" x14ac:dyDescent="0.25">
      <c r="A42" s="25"/>
      <c r="B42" s="1"/>
      <c r="C42" s="1"/>
      <c r="D42" s="1"/>
      <c r="E42" s="1"/>
      <c r="F42" s="1"/>
      <c r="G42" s="1"/>
      <c r="H42" s="1"/>
      <c r="I42" s="41"/>
      <c r="J42" s="41"/>
      <c r="K42" s="1"/>
      <c r="L42" s="1"/>
      <c r="M42" s="1"/>
      <c r="N42" s="1"/>
      <c r="O42" s="1"/>
      <c r="P42" s="1"/>
      <c r="Q42" s="1"/>
      <c r="R42" s="25"/>
      <c r="Y42" s="120"/>
    </row>
    <row r="43" spans="1:25" ht="15" customHeight="1" x14ac:dyDescent="0.2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5"/>
    </row>
    <row r="44" spans="1:25" ht="20.100000000000001" customHeight="1" x14ac:dyDescent="0.25">
      <c r="A44" s="25"/>
      <c r="B44" s="1"/>
      <c r="C44" s="258" t="str">
        <f>"JUMLAH HARI EFEKTIF/KEGIATAN EKSTRAKURIKULER BULAN "&amp;E17&amp;" "&amp;G17</f>
        <v>JUMLAH HARI EFEKTIF/KEGIATAN EKSTRAKURIKULER BULAN JULI 2022</v>
      </c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"/>
      <c r="R44" s="25"/>
    </row>
    <row r="45" spans="1:25" ht="7.5" customHeight="1" x14ac:dyDescent="0.25">
      <c r="A45" s="2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5"/>
    </row>
    <row r="46" spans="1:25" ht="20.100000000000001" customHeight="1" x14ac:dyDescent="0.25">
      <c r="A46" s="25"/>
      <c r="B46" s="1"/>
      <c r="C46" s="1"/>
      <c r="D46" s="1"/>
      <c r="E46" s="1"/>
      <c r="F46" s="43" t="s">
        <v>26</v>
      </c>
      <c r="G46" s="43" t="s">
        <v>27</v>
      </c>
      <c r="H46" s="43" t="s">
        <v>28</v>
      </c>
      <c r="I46" s="43" t="s">
        <v>29</v>
      </c>
      <c r="J46" s="43" t="s">
        <v>105</v>
      </c>
      <c r="K46" s="43" t="s">
        <v>30</v>
      </c>
      <c r="L46" s="43" t="str">
        <f>IF(I40="","",I40)</f>
        <v>apa ya</v>
      </c>
      <c r="M46" s="43" t="str">
        <f>IF(J40="","",J40)</f>
        <v>pramua</v>
      </c>
      <c r="N46" s="1"/>
      <c r="O46" s="1"/>
      <c r="P46" s="1"/>
      <c r="Q46" s="1"/>
      <c r="R46" s="25"/>
    </row>
    <row r="47" spans="1:25" ht="20.100000000000001" customHeight="1" x14ac:dyDescent="0.25">
      <c r="A47" s="25"/>
      <c r="B47" s="1"/>
      <c r="C47" s="1"/>
      <c r="D47" s="1"/>
      <c r="E47" s="1"/>
      <c r="F47" s="40">
        <v>3</v>
      </c>
      <c r="G47" s="40">
        <v>3</v>
      </c>
      <c r="H47" s="40">
        <v>3</v>
      </c>
      <c r="I47" s="40">
        <v>4</v>
      </c>
      <c r="J47" s="40">
        <v>4</v>
      </c>
      <c r="K47" s="40">
        <v>4</v>
      </c>
      <c r="L47" s="40"/>
      <c r="M47" s="40"/>
      <c r="N47" s="1"/>
      <c r="O47" s="1"/>
      <c r="P47" s="1"/>
      <c r="Q47" s="1"/>
      <c r="R47" s="25"/>
    </row>
    <row r="48" spans="1:25" ht="20.100000000000001" customHeight="1" x14ac:dyDescent="0.2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5"/>
    </row>
    <row r="49" spans="1:20" ht="7.5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5" spans="1:20" s="25" customFormat="1" ht="20.100000000000001" hidden="1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ht="20.100000000000001" hidden="1" customHeight="1" x14ac:dyDescent="0.25">
      <c r="S56" s="25"/>
      <c r="T56" s="25"/>
    </row>
  </sheetData>
  <mergeCells count="52">
    <mergeCell ref="C32:P32"/>
    <mergeCell ref="D31:E31"/>
    <mergeCell ref="K31:L31"/>
    <mergeCell ref="E28:H28"/>
    <mergeCell ref="L28:O28"/>
    <mergeCell ref="E29:H29"/>
    <mergeCell ref="C30:D30"/>
    <mergeCell ref="E30:H30"/>
    <mergeCell ref="C28:D28"/>
    <mergeCell ref="E27:H27"/>
    <mergeCell ref="L27:O27"/>
    <mergeCell ref="C22:D22"/>
    <mergeCell ref="E22:H22"/>
    <mergeCell ref="L22:O22"/>
    <mergeCell ref="E23:H23"/>
    <mergeCell ref="L23:O23"/>
    <mergeCell ref="C24:D24"/>
    <mergeCell ref="E24:H24"/>
    <mergeCell ref="L24:O24"/>
    <mergeCell ref="E25:H25"/>
    <mergeCell ref="L25:O25"/>
    <mergeCell ref="C26:D26"/>
    <mergeCell ref="E26:H26"/>
    <mergeCell ref="L26:O26"/>
    <mergeCell ref="C7:P7"/>
    <mergeCell ref="C13:P13"/>
    <mergeCell ref="E15:F15"/>
    <mergeCell ref="J15:K15"/>
    <mergeCell ref="N15:O15"/>
    <mergeCell ref="C10:P10"/>
    <mergeCell ref="C11:P11"/>
    <mergeCell ref="B2:Q2"/>
    <mergeCell ref="B3:Q3"/>
    <mergeCell ref="B4:Q4"/>
    <mergeCell ref="B5:Q5"/>
    <mergeCell ref="B6:Q6"/>
    <mergeCell ref="C44:P44"/>
    <mergeCell ref="I39:J39"/>
    <mergeCell ref="C34:C35"/>
    <mergeCell ref="M34:O34"/>
    <mergeCell ref="D34:H34"/>
    <mergeCell ref="I34:L34"/>
    <mergeCell ref="E21:H21"/>
    <mergeCell ref="L21:O21"/>
    <mergeCell ref="J17:K17"/>
    <mergeCell ref="N17:O17"/>
    <mergeCell ref="C18:P18"/>
    <mergeCell ref="C19:D19"/>
    <mergeCell ref="C20:D20"/>
    <mergeCell ref="E20:H20"/>
    <mergeCell ref="L20:O20"/>
    <mergeCell ref="E17:F17"/>
  </mergeCells>
  <conditionalFormatting sqref="D36:O37">
    <cfRule type="containsBlanks" dxfId="3" priority="2">
      <formula>LEN(TRIM(D36))=0</formula>
    </cfRule>
  </conditionalFormatting>
  <conditionalFormatting sqref="E15:F15 E17:G17 E20:H20 E22:H22 E24:H24 E26:H26 E28:H28 E30:H30 I40:J42 F47:M47">
    <cfRule type="containsBlanks" dxfId="2" priority="3">
      <formula>LEN(TRIM(E15))=0</formula>
    </cfRule>
  </conditionalFormatting>
  <dataValidations count="15">
    <dataValidation allowBlank="1" showInputMessage="1" showErrorMessage="1" promptTitle="TIDAK PERLU DIRUBAH!" sqref="N17:O17 J17:K17 J15:K15 N15:O15" xr:uid="{00000000-0002-0000-0100-000000000000}"/>
    <dataValidation allowBlank="1" showInputMessage="1" showErrorMessage="1" promptTitle="TIDAK PERLU DIRUBAH!" prompt="Isi dengan Ada atau Tidak Ada" sqref="L28:O28" xr:uid="{00000000-0002-0000-0100-000001000000}"/>
    <dataValidation allowBlank="1" showInputMessage="1" showErrorMessage="1" promptTitle="TIDAK PERLU DIRUBAH!" prompt="Isi dengan status akreditasi madrasah. Contoh: Terakreditasi A" sqref="L26:O26" xr:uid="{00000000-0002-0000-0100-000002000000}"/>
    <dataValidation allowBlank="1" showInputMessage="1" showErrorMessage="1" promptTitle="TIDAK PERLU DIRUBAH!" prompt="Isi dengan Jumlah Rombel di madrasah" sqref="L24:O24" xr:uid="{00000000-0002-0000-0100-000003000000}"/>
    <dataValidation allowBlank="1" showInputMessage="1" showErrorMessage="1" promptTitle="TIDAK PERLU DIRUBAH!" prompt="Isi dengan alama madrasah" sqref="L22:O22" xr:uid="{00000000-0002-0000-0100-000004000000}"/>
    <dataValidation allowBlank="1" showInputMessage="1" showErrorMessage="1" promptTitle="TIDAK PERLU DIRUBAH!" prompt="Isi dengan Nama Madrasah" sqref="L20:O20" xr:uid="{00000000-0002-0000-0100-000005000000}"/>
    <dataValidation allowBlank="1" showInputMessage="1" showErrorMessage="1" prompt="Isi dengan Mata Pelajaran yang diajarkan. CONTOH: Guru Mata Pelajaran Bahasa Indonesia" sqref="E30:H30" xr:uid="{00000000-0002-0000-0100-000006000000}"/>
    <dataValidation allowBlank="1" showInputMessage="1" showErrorMessage="1" prompt="Isi dengan Pendidikan Terakhir" sqref="E28:H28" xr:uid="{00000000-0002-0000-0100-000007000000}"/>
    <dataValidation allowBlank="1" showInputMessage="1" showErrorMessage="1" prompt="Isi dengan nomor peserta sertifikasi" sqref="E24:H24" xr:uid="{00000000-0002-0000-0100-000008000000}"/>
    <dataValidation allowBlank="1" showInputMessage="1" showErrorMessage="1" prompt="Isi dengan Nomor Induk Pegawai. Untuk Non-PNS beri tanda strip (-) lalu ENTER" sqref="E22:H22" xr:uid="{00000000-0002-0000-0100-000009000000}"/>
    <dataValidation allowBlank="1" showInputMessage="1" showErrorMessage="1" prompt="Isi dengan nama lengkap dengan gelar depan dan belakang" sqref="E20:H20" xr:uid="{00000000-0002-0000-0100-00000A000000}"/>
    <dataValidation type="list" allowBlank="1" showInputMessage="1" showErrorMessage="1" prompt="Isi bulan dari pilihan menu dropdown." sqref="E17:F17" xr:uid="{00000000-0002-0000-0100-00000B000000}">
      <formula1>$U$13:$U$24</formula1>
    </dataValidation>
    <dataValidation type="list" allowBlank="1" showInputMessage="1" showErrorMessage="1" promptTitle="Khusus PNS" prompt="Isi dengan Pangkat dan Golongan Ruang Terbaru_x000a_pilih dari menu dropdown." sqref="E26:H26" xr:uid="{00000000-0002-0000-0100-00000C000000}">
      <formula1>$U$30:$U$37</formula1>
    </dataValidation>
    <dataValidation allowBlank="1" showInputMessage="1" showErrorMessage="1" prompt="Isi tahun pelajaran dengan contoh format : 20019/2010" sqref="E15:F15" xr:uid="{00000000-0002-0000-0100-00000D000000}"/>
    <dataValidation allowBlank="1" showInputMessage="1" showErrorMessage="1" prompt="Isi tahun dengan contoh format : 2020" sqref="G17" xr:uid="{00000000-0002-0000-0100-00000E000000}"/>
  </dataValidations>
  <hyperlinks>
    <hyperlink ref="C11:P11" location="petunjuk!A1" display="PETUNJUK PENGGUNAAN DAPAT DIBACA DI SINI" xr:uid="{00000000-0004-0000-0100-000000000000}"/>
  </hyperlinks>
  <pageMargins left="0.5" right="0.5" top="0.5" bottom="0.5" header="0.3" footer="0.3"/>
  <pageSetup paperSize="9"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1:C188"/>
  <sheetViews>
    <sheetView topLeftCell="A35" workbookViewId="0">
      <selection activeCell="C38" sqref="C38"/>
    </sheetView>
  </sheetViews>
  <sheetFormatPr defaultColWidth="9.140625" defaultRowHeight="15" x14ac:dyDescent="0.25"/>
  <cols>
    <col min="1" max="16384" width="9.140625" style="28"/>
  </cols>
  <sheetData>
    <row r="21" spans="2:3" x14ac:dyDescent="0.25">
      <c r="B21" s="29" t="str">
        <f>JURNAL_LKH!B21</f>
        <v>Rabu</v>
      </c>
      <c r="C21" s="28" t="str">
        <f>B21&amp;JURNAL_LKH!E21&amp;JURNAL_LKH!F21</f>
        <v>Rabu07.30-10.00</v>
      </c>
    </row>
    <row r="22" spans="2:3" x14ac:dyDescent="0.25">
      <c r="B22" s="29" t="str">
        <f>IF(JURNAL_LKH!B22="",B21,JURNAL_LKH!B22)</f>
        <v>Rabu</v>
      </c>
      <c r="C22" s="28" t="str">
        <f>B22&amp;JURNAL_LKH!E22&amp;JURNAL_LKH!F22</f>
        <v>Rabu10.00-12.00</v>
      </c>
    </row>
    <row r="23" spans="2:3" x14ac:dyDescent="0.25">
      <c r="B23" s="29" t="str">
        <f>IF(JURNAL_LKH!B23="",B22,JURNAL_LKH!B23)</f>
        <v>Rabu</v>
      </c>
      <c r="C23" s="28" t="str">
        <f>B23&amp;JURNAL_LKH!E23&amp;JURNAL_LKH!F23</f>
        <v>Rabu12.00-13.00</v>
      </c>
    </row>
    <row r="24" spans="2:3" x14ac:dyDescent="0.25">
      <c r="B24" s="29" t="str">
        <f>IF(JURNAL_LKH!B24="",B23,JURNAL_LKH!B24)</f>
        <v>Rabu</v>
      </c>
      <c r="C24" s="28" t="str">
        <f>B24&amp;JURNAL_LKH!E24&amp;JURNAL_LKH!F24</f>
        <v>Rabu13.00-15.00</v>
      </c>
    </row>
    <row r="25" spans="2:3" x14ac:dyDescent="0.25">
      <c r="B25" s="29" t="str">
        <f>IF(JURNAL_LKH!B25="",B24,JURNAL_LKH!B25)</f>
        <v>Kamis</v>
      </c>
      <c r="C25" s="28" t="str">
        <f>B25&amp;JURNAL_LKH!E25&amp;JURNAL_LKH!F25</f>
        <v>Kamis07.20-12.00</v>
      </c>
    </row>
    <row r="26" spans="2:3" x14ac:dyDescent="0.25">
      <c r="B26" s="29" t="str">
        <f>IF(JURNAL_LKH!B26="",B25,JURNAL_LKH!B26)</f>
        <v>Kamis</v>
      </c>
      <c r="C26" s="28" t="str">
        <f>B26&amp;JURNAL_LKH!E26&amp;JURNAL_LKH!F26</f>
        <v>Kamis12.00-13.00</v>
      </c>
    </row>
    <row r="27" spans="2:3" x14ac:dyDescent="0.25">
      <c r="B27" s="29" t="str">
        <f>IF(JURNAL_LKH!B27="",B26,JURNAL_LKH!B27)</f>
        <v>Kamis</v>
      </c>
      <c r="C27" s="28" t="str">
        <f>B27&amp;JURNAL_LKH!E27&amp;JURNAL_LKH!F27</f>
        <v>Kamis13.00-15.00</v>
      </c>
    </row>
    <row r="28" spans="2:3" x14ac:dyDescent="0.25">
      <c r="B28" s="29" t="str">
        <f>IF(JURNAL_LKH!B28="",B27,JURNAL_LKH!B28)</f>
        <v>Jumat</v>
      </c>
      <c r="C28" s="28" t="str">
        <f>B28&amp;JURNAL_LKH!E28&amp;JURNAL_LKH!F28</f>
        <v>Jumat07.30-12.00</v>
      </c>
    </row>
    <row r="29" spans="2:3" x14ac:dyDescent="0.25">
      <c r="B29" s="29" t="str">
        <f>IF(JURNAL_LKH!B29="",B28,JURNAL_LKH!B29)</f>
        <v>Sabtu</v>
      </c>
      <c r="C29" s="28" t="str">
        <f>B29&amp;JURNAL_LKH!E29&amp;JURNAL_LKH!F29</f>
        <v>Sabtu07.30-10.00</v>
      </c>
    </row>
    <row r="30" spans="2:3" x14ac:dyDescent="0.25">
      <c r="B30" s="29" t="str">
        <f>IF(JURNAL_LKH!B30="",B29,JURNAL_LKH!B30)</f>
        <v>Sabtu</v>
      </c>
      <c r="C30" s="28" t="str">
        <f>B30&amp;JURNAL_LKH!E30&amp;JURNAL_LKH!F30</f>
        <v>Sabtu10.00-12.00</v>
      </c>
    </row>
    <row r="31" spans="2:3" x14ac:dyDescent="0.25">
      <c r="B31" s="29" t="str">
        <f>IF(JURNAL_LKH!B31="",B30,JURNAL_LKH!B31)</f>
        <v>Sabtu</v>
      </c>
      <c r="C31" s="28" t="str">
        <f>B31&amp;JURNAL_LKH!E31&amp;JURNAL_LKH!F31</f>
        <v>Sabtu12.00-13.00</v>
      </c>
    </row>
    <row r="32" spans="2:3" x14ac:dyDescent="0.25">
      <c r="B32" s="29" t="str">
        <f>IF(JURNAL_LKH!B32="",B31,JURNAL_LKH!B32)</f>
        <v>Sabtu</v>
      </c>
      <c r="C32" s="28" t="str">
        <f>B32&amp;JURNAL_LKH!E32&amp;JURNAL_LKH!F32</f>
        <v>Sabtu13.00-15.00</v>
      </c>
    </row>
    <row r="33" spans="2:3" x14ac:dyDescent="0.25">
      <c r="B33" s="29" t="str">
        <f>IF(JURNAL_LKH!B33="",B32,JURNAL_LKH!B33)</f>
        <v>Senin</v>
      </c>
      <c r="C33" s="28" t="str">
        <f>B33&amp;JURNAL_LKH!E33&amp;JURNAL_LKH!F33</f>
        <v>Senin07.15-10.00</v>
      </c>
    </row>
    <row r="34" spans="2:3" x14ac:dyDescent="0.25">
      <c r="B34" s="29" t="str">
        <f>IF(JURNAL_LKH!B34="",B33,JURNAL_LKH!B34)</f>
        <v>Senin</v>
      </c>
      <c r="C34" s="28" t="str">
        <f>B34&amp;JURNAL_LKH!E34&amp;JURNAL_LKH!F34</f>
        <v>Senin10.00-12.00</v>
      </c>
    </row>
    <row r="35" spans="2:3" x14ac:dyDescent="0.25">
      <c r="B35" s="29" t="str">
        <f>IF(JURNAL_LKH!B35="",B34,JURNAL_LKH!B35)</f>
        <v>Senin</v>
      </c>
      <c r="C35" s="28" t="str">
        <f>B35&amp;JURNAL_LKH!E35&amp;JURNAL_LKH!F35</f>
        <v>Senin12.00-13.00</v>
      </c>
    </row>
    <row r="36" spans="2:3" x14ac:dyDescent="0.25">
      <c r="B36" s="29" t="str">
        <f>IF(JURNAL_LKH!B36="",B35,JURNAL_LKH!B36)</f>
        <v>Senin</v>
      </c>
      <c r="C36" s="28" t="str">
        <f>B36&amp;JURNAL_LKH!E36&amp;JURNAL_LKH!F36</f>
        <v>Senin13.00-15.00</v>
      </c>
    </row>
    <row r="37" spans="2:3" x14ac:dyDescent="0.25">
      <c r="B37" s="29" t="str">
        <f>IF(JURNAL_LKH!B37="",B36,JURNAL_LKH!B37)</f>
        <v>Selasa</v>
      </c>
      <c r="C37" s="28" t="str">
        <f>B37&amp;JURNAL_LKH!E37&amp;JURNAL_LKH!F37</f>
        <v>Selasa07.30-10.00</v>
      </c>
    </row>
    <row r="38" spans="2:3" x14ac:dyDescent="0.25">
      <c r="B38" s="29" t="str">
        <f>IF(JURNAL_LKH!B38="",B37,JURNAL_LKH!B38)</f>
        <v>Selasa</v>
      </c>
      <c r="C38" s="28" t="str">
        <f>B38&amp;JURNAL_LKH!E38&amp;JURNAL_LKH!F38</f>
        <v>Selasa10.00-12.00</v>
      </c>
    </row>
    <row r="39" spans="2:3" x14ac:dyDescent="0.25">
      <c r="B39" s="29" t="str">
        <f>IF(JURNAL_LKH!B39="",B38,JURNAL_LKH!B39)</f>
        <v>Selasa</v>
      </c>
      <c r="C39" s="28" t="str">
        <f>B39&amp;JURNAL_LKH!E39&amp;JURNAL_LKH!F39</f>
        <v>Selasa12.00-13.00</v>
      </c>
    </row>
    <row r="40" spans="2:3" x14ac:dyDescent="0.25">
      <c r="B40" s="29" t="str">
        <f>IF(JURNAL_LKH!B40="",B39,JURNAL_LKH!B40)</f>
        <v>Selasa</v>
      </c>
      <c r="C40" s="28" t="str">
        <f>B40&amp;JURNAL_LKH!E40&amp;JURNAL_LKH!F40</f>
        <v>Selasa13.00-15.00</v>
      </c>
    </row>
    <row r="41" spans="2:3" x14ac:dyDescent="0.25">
      <c r="B41" s="29" t="str">
        <f>IF(JURNAL_LKH!B41="",B40,JURNAL_LKH!B41)</f>
        <v>Rabu</v>
      </c>
      <c r="C41" s="28" t="str">
        <f>B41&amp;JURNAL_LKH!E41&amp;JURNAL_LKH!F41</f>
        <v>Rabu07.30-09.00</v>
      </c>
    </row>
    <row r="42" spans="2:3" x14ac:dyDescent="0.25">
      <c r="B42" s="29" t="str">
        <f>IF(JURNAL_LKH!B42="",B41,JURNAL_LKH!B42)</f>
        <v>Rabu</v>
      </c>
      <c r="C42" s="28" t="str">
        <f>B42&amp;JURNAL_LKH!E42&amp;JURNAL_LKH!F42</f>
        <v>Rabu09.00-12.00</v>
      </c>
    </row>
    <row r="43" spans="2:3" x14ac:dyDescent="0.25">
      <c r="B43" s="29" t="str">
        <f>IF(JURNAL_LKH!B43="",B42,JURNAL_LKH!B43)</f>
        <v>Rabu</v>
      </c>
      <c r="C43" s="28" t="str">
        <f>B43&amp;JURNAL_LKH!E43&amp;JURNAL_LKH!F43</f>
        <v>Rabu12.00-13.00</v>
      </c>
    </row>
    <row r="44" spans="2:3" x14ac:dyDescent="0.25">
      <c r="B44" s="29" t="str">
        <f>IF(JURNAL_LKH!B44="",B43,JURNAL_LKH!B44)</f>
        <v>Rabu</v>
      </c>
      <c r="C44" s="28" t="str">
        <f>B44&amp;JURNAL_LKH!E44&amp;JURNAL_LKH!F44</f>
        <v>Rabu13.00-15.00</v>
      </c>
    </row>
    <row r="45" spans="2:3" x14ac:dyDescent="0.25">
      <c r="B45" s="29" t="str">
        <f>IF(JURNAL_LKH!B45="",B44,JURNAL_LKH!B45)</f>
        <v>Kamis</v>
      </c>
      <c r="C45" s="28" t="str">
        <f>B45&amp;JURNAL_LKH!E45&amp;JURNAL_LKH!F45</f>
        <v>Kamis07.30-10.00</v>
      </c>
    </row>
    <row r="46" spans="2:3" x14ac:dyDescent="0.25">
      <c r="B46" s="29" t="str">
        <f>IF(JURNAL_LKH!B46="",B45,JURNAL_LKH!B46)</f>
        <v>Kamis</v>
      </c>
      <c r="C46" s="28" t="str">
        <f>B46&amp;JURNAL_LKH!E46&amp;JURNAL_LKH!F46</f>
        <v>Kamis10.00-12.00</v>
      </c>
    </row>
    <row r="47" spans="2:3" x14ac:dyDescent="0.25">
      <c r="B47" s="29" t="str">
        <f>IF(JURNAL_LKH!B47="",B46,JURNAL_LKH!B47)</f>
        <v>Kamis</v>
      </c>
      <c r="C47" s="28" t="str">
        <f>B47&amp;JURNAL_LKH!E47&amp;JURNAL_LKH!F47</f>
        <v>Kamis12.00-13.00</v>
      </c>
    </row>
    <row r="48" spans="2:3" x14ac:dyDescent="0.25">
      <c r="B48" s="29" t="str">
        <f>IF(JURNAL_LKH!B48="",B47,JURNAL_LKH!B48)</f>
        <v>Kamis</v>
      </c>
      <c r="C48" s="28" t="str">
        <f>B48&amp;JURNAL_LKH!E48&amp;JURNAL_LKH!F48</f>
        <v>Kamis13.00-15.00</v>
      </c>
    </row>
    <row r="49" spans="2:3" x14ac:dyDescent="0.25">
      <c r="B49" s="29" t="str">
        <f>IF(JURNAL_LKH!B49="",B48,JURNAL_LKH!B49)</f>
        <v>Jumat</v>
      </c>
      <c r="C49" s="28" t="str">
        <f>B49&amp;JURNAL_LKH!E49&amp;JURNAL_LKH!F49</f>
        <v>Jumat07.30-09.00</v>
      </c>
    </row>
    <row r="50" spans="2:3" x14ac:dyDescent="0.25">
      <c r="B50" s="29" t="str">
        <f>IF(JURNAL_LKH!B50="",B49,JURNAL_LKH!B50)</f>
        <v>Jumat</v>
      </c>
      <c r="C50" s="28" t="str">
        <f>B50&amp;JURNAL_LKH!E50&amp;JURNAL_LKH!F50</f>
        <v>Jumat09.00-12.00</v>
      </c>
    </row>
    <row r="51" spans="2:3" x14ac:dyDescent="0.25">
      <c r="B51" s="29" t="str">
        <f>IF(JURNAL_LKH!B51="",B50,JURNAL_LKH!B51)</f>
        <v>Sabtu</v>
      </c>
      <c r="C51" s="28" t="str">
        <f>B51&amp;JURNAL_LKH!E51&amp;JURNAL_LKH!F51</f>
        <v>Sabtu07.30-10.00</v>
      </c>
    </row>
    <row r="52" spans="2:3" x14ac:dyDescent="0.25">
      <c r="B52" s="29" t="str">
        <f>IF(JURNAL_LKH!B52="",B51,JURNAL_LKH!B52)</f>
        <v>Sabtu</v>
      </c>
      <c r="C52" s="28" t="str">
        <f>B52&amp;JURNAL_LKH!E52&amp;JURNAL_LKH!F52</f>
        <v>Sabtu10.00-12.00</v>
      </c>
    </row>
    <row r="53" spans="2:3" x14ac:dyDescent="0.25">
      <c r="B53" s="29" t="str">
        <f>IF(JURNAL_LKH!B53="",B52,JURNAL_LKH!B53)</f>
        <v>Sabtu</v>
      </c>
      <c r="C53" s="28" t="str">
        <f>B53&amp;JURNAL_LKH!E53&amp;JURNAL_LKH!F53</f>
        <v>Sabtu12.00-13.00</v>
      </c>
    </row>
    <row r="54" spans="2:3" x14ac:dyDescent="0.25">
      <c r="B54" s="29" t="str">
        <f>IF(JURNAL_LKH!B54="",B53,JURNAL_LKH!B54)</f>
        <v>Sabtu</v>
      </c>
      <c r="C54" s="28" t="str">
        <f>B54&amp;JURNAL_LKH!E54&amp;JURNAL_LKH!F54</f>
        <v>Sabtu13.00-15.00</v>
      </c>
    </row>
    <row r="55" spans="2:3" x14ac:dyDescent="0.25">
      <c r="B55" s="29" t="str">
        <f>IF(JURNAL_LKH!B55="",B54,JURNAL_LKH!B55)</f>
        <v>Senin</v>
      </c>
      <c r="C55" s="28" t="str">
        <f>B55&amp;JURNAL_LKH!E55&amp;JURNAL_LKH!F55</f>
        <v>Senin07.30-11.45</v>
      </c>
    </row>
    <row r="56" spans="2:3" x14ac:dyDescent="0.25">
      <c r="B56" s="29" t="str">
        <f>IF(JURNAL_LKH!B56="",B55,JURNAL_LKH!B56)</f>
        <v>Senin</v>
      </c>
      <c r="C56" s="28" t="str">
        <f>B56&amp;JURNAL_LKH!E56&amp;JURNAL_LKH!F56</f>
        <v>Senin11.45-13.00</v>
      </c>
    </row>
    <row r="57" spans="2:3" x14ac:dyDescent="0.25">
      <c r="B57" s="29" t="str">
        <f>IF(JURNAL_LKH!B57="",B56,JURNAL_LKH!B57)</f>
        <v>Senin</v>
      </c>
      <c r="C57" s="28" t="str">
        <f>B57&amp;JURNAL_LKH!E57&amp;JURNAL_LKH!F57</f>
        <v>Senin13.30-15.00</v>
      </c>
    </row>
    <row r="58" spans="2:3" x14ac:dyDescent="0.25">
      <c r="B58" s="29" t="str">
        <f>IF(JURNAL_LKH!B58="",B57,JURNAL_LKH!B58)</f>
        <v>Selasa</v>
      </c>
      <c r="C58" s="28" t="str">
        <f>B58&amp;JURNAL_LKH!E58&amp;JURNAL_LKH!F58</f>
        <v>Selasa07.30-12.00</v>
      </c>
    </row>
    <row r="59" spans="2:3" x14ac:dyDescent="0.25">
      <c r="B59" s="29" t="str">
        <f>IF(JURNAL_LKH!B59="",B58,JURNAL_LKH!B59)</f>
        <v>Selasa</v>
      </c>
      <c r="C59" s="28" t="str">
        <f>B59&amp;JURNAL_LKH!E59&amp;JURNAL_LKH!F59</f>
        <v>Selasa12.00-13.00</v>
      </c>
    </row>
    <row r="60" spans="2:3" x14ac:dyDescent="0.25">
      <c r="B60" s="29" t="str">
        <f>IF(JURNAL_LKH!B60="",B59,JURNAL_LKH!B60)</f>
        <v>Selasa</v>
      </c>
      <c r="C60" s="28" t="str">
        <f>B60&amp;JURNAL_LKH!E60&amp;JURNAL_LKH!F60</f>
        <v>Selasa13.00-15.00</v>
      </c>
    </row>
    <row r="61" spans="2:3" x14ac:dyDescent="0.25">
      <c r="B61" s="29" t="str">
        <f>IF(JURNAL_LKH!B61="",B60,JURNAL_LKH!B61)</f>
        <v>Rabu</v>
      </c>
      <c r="C61" s="28" t="str">
        <f>B61&amp;JURNAL_LKH!E61&amp;JURNAL_LKH!F61</f>
        <v>Rabu07.30-12.00</v>
      </c>
    </row>
    <row r="62" spans="2:3" x14ac:dyDescent="0.25">
      <c r="B62" s="29" t="str">
        <f>IF(JURNAL_LKH!B62="",B61,JURNAL_LKH!B62)</f>
        <v>Rabu</v>
      </c>
      <c r="C62" s="28" t="str">
        <f>B62&amp;JURNAL_LKH!E62&amp;JURNAL_LKH!F62</f>
        <v>Rabu12.00-13.00</v>
      </c>
    </row>
    <row r="63" spans="2:3" x14ac:dyDescent="0.25">
      <c r="B63" s="29" t="str">
        <f>IF(JURNAL_LKH!B63="",B62,JURNAL_LKH!B63)</f>
        <v>Rabu</v>
      </c>
      <c r="C63" s="28" t="str">
        <f>B63&amp;JURNAL_LKH!E63&amp;JURNAL_LKH!F63</f>
        <v>Rabu13.00-14.00</v>
      </c>
    </row>
    <row r="64" spans="2:3" x14ac:dyDescent="0.25">
      <c r="B64" s="29" t="str">
        <f>IF(JURNAL_LKH!B64="",B63,JURNAL_LKH!B64)</f>
        <v>Rabu</v>
      </c>
      <c r="C64" s="28" t="str">
        <f>B64&amp;JURNAL_LKH!E64&amp;JURNAL_LKH!F64</f>
        <v>Rabu14.00-15.00</v>
      </c>
    </row>
    <row r="65" spans="2:3" x14ac:dyDescent="0.25">
      <c r="B65" s="29" t="str">
        <f>IF(JURNAL_LKH!B65="",B64,JURNAL_LKH!B65)</f>
        <v>Kamis</v>
      </c>
      <c r="C65" s="28" t="str">
        <f>B65&amp;JURNAL_LKH!E65&amp;JURNAL_LKH!F65</f>
        <v>Kamis07.30-09.00</v>
      </c>
    </row>
    <row r="66" spans="2:3" x14ac:dyDescent="0.25">
      <c r="B66" s="29" t="str">
        <f>IF(JURNAL_LKH!B66="",B65,JURNAL_LKH!B66)</f>
        <v>Kamis</v>
      </c>
      <c r="C66" s="28" t="str">
        <f>B66&amp;JURNAL_LKH!E66&amp;JURNAL_LKH!F66</f>
        <v>Kamis09.00-12.00</v>
      </c>
    </row>
    <row r="67" spans="2:3" x14ac:dyDescent="0.25">
      <c r="B67" s="29" t="str">
        <f>IF(JURNAL_LKH!B67="",B66,JURNAL_LKH!B67)</f>
        <v>Kamis</v>
      </c>
      <c r="C67" s="28" t="str">
        <f>B67&amp;JURNAL_LKH!E67&amp;JURNAL_LKH!F67</f>
        <v>Kamis12.00-13.00</v>
      </c>
    </row>
    <row r="68" spans="2:3" x14ac:dyDescent="0.25">
      <c r="B68" s="29" t="str">
        <f>IF(JURNAL_LKH!B68="",B67,JURNAL_LKH!B68)</f>
        <v>Kamis</v>
      </c>
      <c r="C68" s="28" t="str">
        <f>B68&amp;JURNAL_LKH!E68&amp;JURNAL_LKH!F68</f>
        <v>Kamis13.00-15.00</v>
      </c>
    </row>
    <row r="69" spans="2:3" x14ac:dyDescent="0.25">
      <c r="B69" s="29" t="str">
        <f>IF(JURNAL_LKH!B69="",B68,JURNAL_LKH!B69)</f>
        <v>Jumat</v>
      </c>
      <c r="C69" s="28" t="str">
        <f>B69&amp;JURNAL_LKH!E69&amp;JURNAL_LKH!F69</f>
        <v>Jumat07.30-12.00</v>
      </c>
    </row>
    <row r="70" spans="2:3" x14ac:dyDescent="0.25">
      <c r="B70" s="29" t="str">
        <f>IF(JURNAL_LKH!B70="",B69,JURNAL_LKH!B70)</f>
        <v>Jumat</v>
      </c>
      <c r="C70" s="28" t="str">
        <f>B70&amp;JURNAL_LKH!E70&amp;JURNAL_LKH!F70</f>
        <v>Jumat12.00-13.00</v>
      </c>
    </row>
    <row r="71" spans="2:3" x14ac:dyDescent="0.25">
      <c r="B71" s="29" t="str">
        <f>IF(JURNAL_LKH!B71="",B70,JURNAL_LKH!B71)</f>
        <v>Jumat</v>
      </c>
      <c r="C71" s="28" t="str">
        <f>B71&amp;JURNAL_LKH!E71&amp;JURNAL_LKH!F71</f>
        <v>Jumat</v>
      </c>
    </row>
    <row r="72" spans="2:3" x14ac:dyDescent="0.25">
      <c r="B72" s="29" t="str">
        <f>IF(JURNAL_LKH!B72="",B71,JURNAL_LKH!B72)</f>
        <v>Sabtu</v>
      </c>
      <c r="C72" s="28" t="str">
        <f>B72&amp;JURNAL_LKH!E72&amp;JURNAL_LKH!F72</f>
        <v>Sabtu</v>
      </c>
    </row>
    <row r="73" spans="2:3" x14ac:dyDescent="0.25">
      <c r="B73" s="29" t="str">
        <f>IF(JURNAL_LKH!B73="",B72,JURNAL_LKH!B73)</f>
        <v>Sabtu</v>
      </c>
      <c r="C73" s="28" t="str">
        <f>B73&amp;JURNAL_LKH!E73&amp;JURNAL_LKH!F73</f>
        <v>Sabtu</v>
      </c>
    </row>
    <row r="74" spans="2:3" x14ac:dyDescent="0.25">
      <c r="B74" s="29" t="str">
        <f>IF(JURNAL_LKH!B74="",B73,JURNAL_LKH!B74)</f>
        <v>Sabtu</v>
      </c>
      <c r="C74" s="28" t="str">
        <f>B74&amp;JURNAL_LKH!E74&amp;JURNAL_LKH!F74</f>
        <v>Sabtu</v>
      </c>
    </row>
    <row r="75" spans="2:3" x14ac:dyDescent="0.25">
      <c r="B75" s="29" t="str">
        <f>IF(JURNAL_LKH!B75="",B74,JURNAL_LKH!B75)</f>
        <v>Sabtu</v>
      </c>
      <c r="C75" s="28" t="str">
        <f>B75&amp;JURNAL_LKH!E75&amp;JURNAL_LKH!F75</f>
        <v>Sabtu</v>
      </c>
    </row>
    <row r="76" spans="2:3" x14ac:dyDescent="0.25">
      <c r="B76" s="29" t="str">
        <f>IF(JURNAL_LKH!B76="",B75,JURNAL_LKH!B76)</f>
        <v>Sabtu</v>
      </c>
      <c r="C76" s="28" t="str">
        <f>B76&amp;JURNAL_LKH!E76&amp;JURNAL_LKH!F76</f>
        <v>Sabtu</v>
      </c>
    </row>
    <row r="77" spans="2:3" x14ac:dyDescent="0.25">
      <c r="B77" s="29" t="str">
        <f>IF(JURNAL_LKH!B77="",B76,JURNAL_LKH!B77)</f>
        <v>Sabtu</v>
      </c>
      <c r="C77" s="28" t="str">
        <f>B77&amp;JURNAL_LKH!E77&amp;JURNAL_LKH!F77</f>
        <v>Sabtu</v>
      </c>
    </row>
    <row r="78" spans="2:3" x14ac:dyDescent="0.25">
      <c r="B78" s="29" t="str">
        <f>IF(JURNAL_LKH!B78="",B77,JURNAL_LKH!B78)</f>
        <v>Sabtu</v>
      </c>
      <c r="C78" s="28" t="str">
        <f>B78&amp;JURNAL_LKH!E78&amp;JURNAL_LKH!F78</f>
        <v>Sabtu</v>
      </c>
    </row>
    <row r="79" spans="2:3" x14ac:dyDescent="0.25">
      <c r="B79" s="29" t="str">
        <f>IF(JURNAL_LKH!B79="",B78,JURNAL_LKH!B79)</f>
        <v>Sabtu</v>
      </c>
      <c r="C79" s="28" t="str">
        <f>B79&amp;JURNAL_LKH!E79&amp;JURNAL_LKH!F79</f>
        <v>Sabtu</v>
      </c>
    </row>
    <row r="80" spans="2:3" x14ac:dyDescent="0.25">
      <c r="B80" s="29" t="str">
        <f>IF(JURNAL_LKH!B80="",B79,JURNAL_LKH!B80)</f>
        <v>Sabtu</v>
      </c>
      <c r="C80" s="28" t="str">
        <f>B80&amp;JURNAL_LKH!E80&amp;JURNAL_LKH!F80</f>
        <v>Sabtu</v>
      </c>
    </row>
    <row r="81" spans="2:3" x14ac:dyDescent="0.25">
      <c r="B81" s="29" t="str">
        <f>IF(JURNAL_LKH!B81="",B80,JURNAL_LKH!B81)</f>
        <v>Sabtu</v>
      </c>
      <c r="C81" s="28" t="str">
        <f>B81&amp;JURNAL_LKH!E81&amp;JURNAL_LKH!F81</f>
        <v>Sabtu</v>
      </c>
    </row>
    <row r="82" spans="2:3" x14ac:dyDescent="0.25">
      <c r="B82" s="29" t="str">
        <f>IF(JURNAL_LKH!B82="",B81,JURNAL_LKH!B82)</f>
        <v>Sabtu</v>
      </c>
      <c r="C82" s="28" t="str">
        <f>B82&amp;JURNAL_LKH!E82&amp;JURNAL_LKH!F82</f>
        <v>Sabtu</v>
      </c>
    </row>
    <row r="83" spans="2:3" x14ac:dyDescent="0.25">
      <c r="B83" s="29" t="str">
        <f>IF(JURNAL_LKH!B83="",B82,JURNAL_LKH!B83)</f>
        <v>Sabtu</v>
      </c>
      <c r="C83" s="28" t="str">
        <f>B83&amp;JURNAL_LKH!E83&amp;JURNAL_LKH!F83</f>
        <v>Sabtu</v>
      </c>
    </row>
    <row r="84" spans="2:3" x14ac:dyDescent="0.25">
      <c r="B84" s="29" t="str">
        <f>IF(JURNAL_LKH!B84="",B83,JURNAL_LKH!B84)</f>
        <v>Sabtu</v>
      </c>
      <c r="C84" s="28" t="str">
        <f>B84&amp;JURNAL_LKH!E84&amp;JURNAL_LKH!F84</f>
        <v>Sabtu</v>
      </c>
    </row>
    <row r="85" spans="2:3" x14ac:dyDescent="0.25">
      <c r="B85" s="29" t="str">
        <f>IF(JURNAL_LKH!B85="",B84,JURNAL_LKH!B85)</f>
        <v>Sabtu</v>
      </c>
      <c r="C85" s="28" t="str">
        <f>B85&amp;JURNAL_LKH!E85&amp;JURNAL_LKH!F85</f>
        <v>Sabtu</v>
      </c>
    </row>
    <row r="86" spans="2:3" x14ac:dyDescent="0.25">
      <c r="B86" s="29" t="str">
        <f>IF(JURNAL_LKH!B86="",B85,JURNAL_LKH!B86)</f>
        <v>Sabtu</v>
      </c>
      <c r="C86" s="28" t="str">
        <f>B86&amp;JURNAL_LKH!E86&amp;JURNAL_LKH!F86</f>
        <v>Sabtu</v>
      </c>
    </row>
    <row r="87" spans="2:3" x14ac:dyDescent="0.25">
      <c r="B87" s="29" t="str">
        <f>IF(JURNAL_LKH!B87="",B86,JURNAL_LKH!B87)</f>
        <v>Sabtu</v>
      </c>
      <c r="C87" s="28" t="str">
        <f>B87&amp;JURNAL_LKH!E87&amp;JURNAL_LKH!F87</f>
        <v>Sabtu</v>
      </c>
    </row>
    <row r="88" spans="2:3" x14ac:dyDescent="0.25">
      <c r="B88" s="29" t="str">
        <f>IF(JURNAL_LKH!B88="",B87,JURNAL_LKH!B88)</f>
        <v>Sabtu</v>
      </c>
      <c r="C88" s="28" t="str">
        <f>B88&amp;JURNAL_LKH!E88&amp;JURNAL_LKH!F88</f>
        <v>Sabtu</v>
      </c>
    </row>
    <row r="89" spans="2:3" x14ac:dyDescent="0.25">
      <c r="B89" s="29" t="str">
        <f>IF(JURNAL_LKH!B89="",B88,JURNAL_LKH!B89)</f>
        <v>Sabtu</v>
      </c>
      <c r="C89" s="28" t="str">
        <f>B89&amp;JURNAL_LKH!E89&amp;JURNAL_LKH!F89</f>
        <v>Sabtu</v>
      </c>
    </row>
    <row r="90" spans="2:3" x14ac:dyDescent="0.25">
      <c r="B90" s="29" t="str">
        <f>IF(JURNAL_LKH!B90="",B89,JURNAL_LKH!B90)</f>
        <v>Sabtu</v>
      </c>
      <c r="C90" s="28" t="str">
        <f>B90&amp;JURNAL_LKH!E90&amp;JURNAL_LKH!F90</f>
        <v>Sabtu</v>
      </c>
    </row>
    <row r="91" spans="2:3" x14ac:dyDescent="0.25">
      <c r="B91" s="29" t="str">
        <f>IF(JURNAL_LKH!B91="",B90,JURNAL_LKH!B91)</f>
        <v>Sabtu</v>
      </c>
      <c r="C91" s="28" t="str">
        <f>B91&amp;JURNAL_LKH!E91&amp;JURNAL_LKH!F91</f>
        <v>Sabtu</v>
      </c>
    </row>
    <row r="92" spans="2:3" x14ac:dyDescent="0.25">
      <c r="B92" s="29" t="str">
        <f>IF(JURNAL_LKH!B92="",B91,JURNAL_LKH!B92)</f>
        <v>Sabtu</v>
      </c>
      <c r="C92" s="28" t="str">
        <f>B92&amp;JURNAL_LKH!E92&amp;JURNAL_LKH!F92</f>
        <v>Sabtu</v>
      </c>
    </row>
    <row r="93" spans="2:3" x14ac:dyDescent="0.25">
      <c r="B93" s="29" t="str">
        <f>IF(JURNAL_LKH!B93="",B92,JURNAL_LKH!B93)</f>
        <v>Sabtu</v>
      </c>
      <c r="C93" s="28" t="str">
        <f>B93&amp;JURNAL_LKH!E93&amp;JURNAL_LKH!F93</f>
        <v>Sabtu</v>
      </c>
    </row>
    <row r="94" spans="2:3" x14ac:dyDescent="0.25">
      <c r="B94" s="29" t="str">
        <f>IF(JURNAL_LKH!B94="",B93,JURNAL_LKH!B94)</f>
        <v>Sabtu</v>
      </c>
      <c r="C94" s="28" t="str">
        <f>B94&amp;JURNAL_LKH!E94&amp;JURNAL_LKH!F94</f>
        <v>Sabtu</v>
      </c>
    </row>
    <row r="95" spans="2:3" x14ac:dyDescent="0.25">
      <c r="B95" s="29" t="str">
        <f>IF(JURNAL_LKH!B95="",B94,JURNAL_LKH!B95)</f>
        <v>Sabtu</v>
      </c>
      <c r="C95" s="28" t="str">
        <f>B95&amp;JURNAL_LKH!E95&amp;JURNAL_LKH!F95</f>
        <v>Sabtu</v>
      </c>
    </row>
    <row r="96" spans="2:3" x14ac:dyDescent="0.25">
      <c r="B96" s="29" t="str">
        <f>IF(JURNAL_LKH!B96="",B95,JURNAL_LKH!B96)</f>
        <v>Sabtu</v>
      </c>
      <c r="C96" s="28" t="str">
        <f>B96&amp;JURNAL_LKH!E96&amp;JURNAL_LKH!F96</f>
        <v>Sabtu</v>
      </c>
    </row>
    <row r="97" spans="2:3" x14ac:dyDescent="0.25">
      <c r="B97" s="29" t="str">
        <f>IF(JURNAL_LKH!B97="",B96,JURNAL_LKH!B97)</f>
        <v>Sabtu</v>
      </c>
      <c r="C97" s="28" t="str">
        <f>B97&amp;JURNAL_LKH!E97&amp;JURNAL_LKH!F97</f>
        <v>Sabtu</v>
      </c>
    </row>
    <row r="98" spans="2:3" x14ac:dyDescent="0.25">
      <c r="B98" s="29" t="str">
        <f>IF(JURNAL_LKH!B98="",B97,JURNAL_LKH!B98)</f>
        <v>Sabtu</v>
      </c>
      <c r="C98" s="28" t="str">
        <f>B98&amp;JURNAL_LKH!E98&amp;JURNAL_LKH!F98</f>
        <v>Sabtu</v>
      </c>
    </row>
    <row r="99" spans="2:3" x14ac:dyDescent="0.25">
      <c r="B99" s="29" t="str">
        <f>IF(JURNAL_LKH!B99="",B98,JURNAL_LKH!B99)</f>
        <v>Sabtu</v>
      </c>
      <c r="C99" s="28" t="str">
        <f>B99&amp;JURNAL_LKH!E99&amp;JURNAL_LKH!F99</f>
        <v>Sabtu</v>
      </c>
    </row>
    <row r="100" spans="2:3" x14ac:dyDescent="0.25">
      <c r="B100" s="29" t="str">
        <f>IF(JURNAL_LKH!B100="",B99,JURNAL_LKH!B100)</f>
        <v>Sabtu</v>
      </c>
      <c r="C100" s="28" t="str">
        <f>B100&amp;JURNAL_LKH!E100&amp;JURNAL_LKH!F100</f>
        <v>Sabtu</v>
      </c>
    </row>
    <row r="101" spans="2:3" x14ac:dyDescent="0.25">
      <c r="B101" s="29" t="str">
        <f>IF(JURNAL_LKH!B101="",B100,JURNAL_LKH!B101)</f>
        <v>Sabtu</v>
      </c>
      <c r="C101" s="28" t="str">
        <f>B101&amp;JURNAL_LKH!E101&amp;JURNAL_LKH!F101</f>
        <v>Sabtu</v>
      </c>
    </row>
    <row r="102" spans="2:3" x14ac:dyDescent="0.25">
      <c r="B102" s="29" t="str">
        <f>IF(JURNAL_LKH!B102="",B101,JURNAL_LKH!B102)</f>
        <v>Sabtu</v>
      </c>
      <c r="C102" s="28" t="str">
        <f>B102&amp;JURNAL_LKH!E102&amp;JURNAL_LKH!F102</f>
        <v>Sabtu</v>
      </c>
    </row>
    <row r="103" spans="2:3" x14ac:dyDescent="0.25">
      <c r="B103" s="29" t="str">
        <f>IF(JURNAL_LKH!B103="",B102,JURNAL_LKH!B103)</f>
        <v>Sabtu</v>
      </c>
      <c r="C103" s="28" t="str">
        <f>B103&amp;JURNAL_LKH!E103&amp;JURNAL_LKH!F103</f>
        <v>Sabtu</v>
      </c>
    </row>
    <row r="104" spans="2:3" x14ac:dyDescent="0.25">
      <c r="B104" s="29" t="str">
        <f>IF(JURNAL_LKH!B104="",B103,JURNAL_LKH!B104)</f>
        <v>Sabtu</v>
      </c>
      <c r="C104" s="28" t="str">
        <f>B104&amp;JURNAL_LKH!E104&amp;JURNAL_LKH!F104</f>
        <v>Sabtu</v>
      </c>
    </row>
    <row r="105" spans="2:3" x14ac:dyDescent="0.25">
      <c r="B105" s="29" t="str">
        <f>IF(JURNAL_LKH!B105="",B104,JURNAL_LKH!B105)</f>
        <v>Sabtu</v>
      </c>
      <c r="C105" s="28" t="str">
        <f>B105&amp;JURNAL_LKH!E105&amp;JURNAL_LKH!F105</f>
        <v>Sabtu</v>
      </c>
    </row>
    <row r="106" spans="2:3" x14ac:dyDescent="0.25">
      <c r="B106" s="29" t="str">
        <f>IF(JURNAL_LKH!B106="",B105,JURNAL_LKH!B106)</f>
        <v>Sabtu</v>
      </c>
      <c r="C106" s="28" t="str">
        <f>B106&amp;JURNAL_LKH!E106&amp;JURNAL_LKH!F106</f>
        <v>Sabtu</v>
      </c>
    </row>
    <row r="107" spans="2:3" x14ac:dyDescent="0.25">
      <c r="B107" s="29" t="str">
        <f>IF(JURNAL_LKH!B107="",B106,JURNAL_LKH!B107)</f>
        <v>Sabtu</v>
      </c>
      <c r="C107" s="28" t="str">
        <f>B107&amp;JURNAL_LKH!E107&amp;JURNAL_LKH!F107</f>
        <v>Sabtu</v>
      </c>
    </row>
    <row r="108" spans="2:3" x14ac:dyDescent="0.25">
      <c r="B108" s="29" t="str">
        <f>IF(JURNAL_LKH!B108="",B107,JURNAL_LKH!B108)</f>
        <v>Sabtu</v>
      </c>
      <c r="C108" s="28" t="str">
        <f>B108&amp;JURNAL_LKH!E108&amp;JURNAL_LKH!F108</f>
        <v>Sabtu</v>
      </c>
    </row>
    <row r="109" spans="2:3" x14ac:dyDescent="0.25">
      <c r="B109" s="29" t="str">
        <f>IF(JURNAL_LKH!B109="",B108,JURNAL_LKH!B109)</f>
        <v>Sabtu</v>
      </c>
      <c r="C109" s="28" t="str">
        <f>B109&amp;JURNAL_LKH!E109&amp;JURNAL_LKH!F109</f>
        <v>Sabtu</v>
      </c>
    </row>
    <row r="110" spans="2:3" x14ac:dyDescent="0.25">
      <c r="B110" s="29" t="str">
        <f>IF(JURNAL_LKH!B110="",B109,JURNAL_LKH!B110)</f>
        <v>Sabtu</v>
      </c>
      <c r="C110" s="28" t="str">
        <f>B110&amp;JURNAL_LKH!E110&amp;JURNAL_LKH!F110</f>
        <v>Sabtu</v>
      </c>
    </row>
    <row r="111" spans="2:3" x14ac:dyDescent="0.25">
      <c r="B111" s="29" t="str">
        <f>IF(JURNAL_LKH!B111="",B110,JURNAL_LKH!B111)</f>
        <v>Sabtu</v>
      </c>
      <c r="C111" s="28" t="str">
        <f>B111&amp;JURNAL_LKH!E111&amp;JURNAL_LKH!F111</f>
        <v>Sabtu</v>
      </c>
    </row>
    <row r="112" spans="2:3" x14ac:dyDescent="0.25">
      <c r="B112" s="29" t="str">
        <f>IF(JURNAL_LKH!B112="",B111,JURNAL_LKH!B112)</f>
        <v>Sabtu</v>
      </c>
      <c r="C112" s="28" t="str">
        <f>B112&amp;JURNAL_LKH!E112&amp;JURNAL_LKH!F112</f>
        <v>Sabtu</v>
      </c>
    </row>
    <row r="113" spans="2:3" x14ac:dyDescent="0.25">
      <c r="B113" s="29" t="str">
        <f>IF(JURNAL_LKH!B113="",B112,JURNAL_LKH!B113)</f>
        <v>Sabtu</v>
      </c>
      <c r="C113" s="28" t="str">
        <f>B113&amp;JURNAL_LKH!E113&amp;JURNAL_LKH!F113</f>
        <v>Sabtu</v>
      </c>
    </row>
    <row r="114" spans="2:3" x14ac:dyDescent="0.25">
      <c r="B114" s="29" t="str">
        <f>IF(JURNAL_LKH!B114="",B113,JURNAL_LKH!B114)</f>
        <v>Sabtu</v>
      </c>
      <c r="C114" s="28" t="str">
        <f>B114&amp;JURNAL_LKH!E114&amp;JURNAL_LKH!F114</f>
        <v>Sabtu</v>
      </c>
    </row>
    <row r="115" spans="2:3" x14ac:dyDescent="0.25">
      <c r="B115" s="29" t="str">
        <f>IF(JURNAL_LKH!B115="",B114,JURNAL_LKH!B115)</f>
        <v>Sabtu</v>
      </c>
      <c r="C115" s="28" t="str">
        <f>B115&amp;JURNAL_LKH!E115&amp;JURNAL_LKH!F115</f>
        <v>Sabtu</v>
      </c>
    </row>
    <row r="116" spans="2:3" x14ac:dyDescent="0.25">
      <c r="B116" s="29" t="str">
        <f>IF(JURNAL_LKH!B116="",B115,JURNAL_LKH!B116)</f>
        <v>Sabtu</v>
      </c>
      <c r="C116" s="28" t="str">
        <f>B116&amp;JURNAL_LKH!E116&amp;JURNAL_LKH!F116</f>
        <v>Sabtu</v>
      </c>
    </row>
    <row r="117" spans="2:3" x14ac:dyDescent="0.25">
      <c r="B117" s="29" t="str">
        <f>IF(JURNAL_LKH!B117="",B116,JURNAL_LKH!B117)</f>
        <v>Sabtu</v>
      </c>
      <c r="C117" s="28" t="str">
        <f>B117&amp;JURNAL_LKH!E117&amp;JURNAL_LKH!F117</f>
        <v>Sabtu</v>
      </c>
    </row>
    <row r="118" spans="2:3" x14ac:dyDescent="0.25">
      <c r="B118" s="29" t="str">
        <f>IF(JURNAL_LKH!B118="",B117,JURNAL_LKH!B118)</f>
        <v>Sabtu</v>
      </c>
      <c r="C118" s="28" t="str">
        <f>B118&amp;JURNAL_LKH!E118&amp;JURNAL_LKH!F118</f>
        <v>Sabtu</v>
      </c>
    </row>
    <row r="119" spans="2:3" x14ac:dyDescent="0.25">
      <c r="B119" s="29" t="str">
        <f>IF(JURNAL_LKH!B119="",B118,JURNAL_LKH!B119)</f>
        <v>Sabtu</v>
      </c>
      <c r="C119" s="28" t="str">
        <f>B119&amp;JURNAL_LKH!E119&amp;JURNAL_LKH!F119</f>
        <v>Sabtu</v>
      </c>
    </row>
    <row r="120" spans="2:3" x14ac:dyDescent="0.25">
      <c r="B120" s="29" t="str">
        <f>IF(JURNAL_LKH!B120="",B119,JURNAL_LKH!B120)</f>
        <v>Sabtu</v>
      </c>
      <c r="C120" s="28" t="str">
        <f>B120&amp;JURNAL_LKH!E120&amp;JURNAL_LKH!F120</f>
        <v>Sabtu</v>
      </c>
    </row>
    <row r="121" spans="2:3" x14ac:dyDescent="0.25">
      <c r="B121" s="29" t="str">
        <f>IF(JURNAL_LKH!B121="",B120,JURNAL_LKH!B121)</f>
        <v>Sabtu</v>
      </c>
      <c r="C121" s="28" t="str">
        <f>B121&amp;JURNAL_LKH!E121&amp;JURNAL_LKH!F121</f>
        <v>Sabtu</v>
      </c>
    </row>
    <row r="122" spans="2:3" x14ac:dyDescent="0.25">
      <c r="B122" s="29" t="str">
        <f>IF(JURNAL_LKH!B122="",B121,JURNAL_LKH!B122)</f>
        <v>Sabtu</v>
      </c>
      <c r="C122" s="28" t="str">
        <f>B122&amp;JURNAL_LKH!E122&amp;JURNAL_LKH!F122</f>
        <v>Sabtu</v>
      </c>
    </row>
    <row r="123" spans="2:3" x14ac:dyDescent="0.25">
      <c r="B123" s="29" t="str">
        <f>IF(JURNAL_LKH!B123="",B122,JURNAL_LKH!B123)</f>
        <v>Sabtu</v>
      </c>
      <c r="C123" s="28" t="str">
        <f>B123&amp;JURNAL_LKH!E123&amp;JURNAL_LKH!F123</f>
        <v>Sabtu</v>
      </c>
    </row>
    <row r="124" spans="2:3" x14ac:dyDescent="0.25">
      <c r="B124" s="29" t="str">
        <f>IF(JURNAL_LKH!B124="",B123,JURNAL_LKH!B124)</f>
        <v>Sabtu</v>
      </c>
      <c r="C124" s="28" t="str">
        <f>B124&amp;JURNAL_LKH!E124&amp;JURNAL_LKH!F124</f>
        <v>Sabtu</v>
      </c>
    </row>
    <row r="125" spans="2:3" x14ac:dyDescent="0.25">
      <c r="B125" s="29" t="str">
        <f>IF(JURNAL_LKH!B125="",B124,JURNAL_LKH!B125)</f>
        <v>Sabtu</v>
      </c>
      <c r="C125" s="28" t="str">
        <f>B125&amp;JURNAL_LKH!E125&amp;JURNAL_LKH!F125</f>
        <v>Sabtu</v>
      </c>
    </row>
    <row r="126" spans="2:3" x14ac:dyDescent="0.25">
      <c r="B126" s="29" t="str">
        <f>IF(JURNAL_LKH!B126="",B125,JURNAL_LKH!B126)</f>
        <v>Sabtu</v>
      </c>
      <c r="C126" s="28" t="str">
        <f>B126&amp;JURNAL_LKH!E126&amp;JURNAL_LKH!F126</f>
        <v>Sabtu</v>
      </c>
    </row>
    <row r="127" spans="2:3" x14ac:dyDescent="0.25">
      <c r="B127" s="29" t="str">
        <f>IF(JURNAL_LKH!B127="",B126,JURNAL_LKH!B127)</f>
        <v>Sabtu</v>
      </c>
      <c r="C127" s="28" t="str">
        <f>B127&amp;JURNAL_LKH!E127&amp;JURNAL_LKH!F127</f>
        <v>Sabtu</v>
      </c>
    </row>
    <row r="128" spans="2:3" x14ac:dyDescent="0.25">
      <c r="B128" s="29" t="str">
        <f>IF(JURNAL_LKH!B128="",B127,JURNAL_LKH!B128)</f>
        <v>Sabtu</v>
      </c>
      <c r="C128" s="28" t="str">
        <f>B128&amp;JURNAL_LKH!E128&amp;JURNAL_LKH!F128</f>
        <v>Sabtu</v>
      </c>
    </row>
    <row r="129" spans="2:3" x14ac:dyDescent="0.25">
      <c r="B129" s="29" t="str">
        <f>IF(JURNAL_LKH!B129="",B128,JURNAL_LKH!B129)</f>
        <v>Sabtu</v>
      </c>
      <c r="C129" s="28" t="str">
        <f>B129&amp;JURNAL_LKH!E129&amp;JURNAL_LKH!F129</f>
        <v>Sabtu</v>
      </c>
    </row>
    <row r="130" spans="2:3" x14ac:dyDescent="0.25">
      <c r="B130" s="29" t="str">
        <f>IF(JURNAL_LKH!B130="",B129,JURNAL_LKH!B130)</f>
        <v>Sabtu</v>
      </c>
      <c r="C130" s="28" t="str">
        <f>B130&amp;JURNAL_LKH!E130&amp;JURNAL_LKH!F130</f>
        <v>Sabtu</v>
      </c>
    </row>
    <row r="131" spans="2:3" x14ac:dyDescent="0.25">
      <c r="B131" s="29" t="str">
        <f>IF(JURNAL_LKH!B131="",B130,JURNAL_LKH!B131)</f>
        <v>Sabtu</v>
      </c>
      <c r="C131" s="28" t="str">
        <f>B131&amp;JURNAL_LKH!E131&amp;JURNAL_LKH!F131</f>
        <v>Sabtu</v>
      </c>
    </row>
    <row r="132" spans="2:3" x14ac:dyDescent="0.25">
      <c r="B132" s="29" t="str">
        <f>IF(JURNAL_LKH!B132="",B131,JURNAL_LKH!B132)</f>
        <v>Sabtu</v>
      </c>
      <c r="C132" s="28" t="str">
        <f>B132&amp;JURNAL_LKH!E132&amp;JURNAL_LKH!F132</f>
        <v>Sabtu</v>
      </c>
    </row>
    <row r="133" spans="2:3" x14ac:dyDescent="0.25">
      <c r="B133" s="29" t="str">
        <f>IF(JURNAL_LKH!B133="",B132,JURNAL_LKH!B133)</f>
        <v>Sabtu</v>
      </c>
      <c r="C133" s="28" t="str">
        <f>B133&amp;JURNAL_LKH!E133&amp;JURNAL_LKH!F133</f>
        <v>Sabtu</v>
      </c>
    </row>
    <row r="134" spans="2:3" x14ac:dyDescent="0.25">
      <c r="B134" s="29" t="str">
        <f>IF(JURNAL_LKH!B134="",B133,JURNAL_LKH!B134)</f>
        <v>Sabtu</v>
      </c>
      <c r="C134" s="28" t="str">
        <f>B134&amp;JURNAL_LKH!E134&amp;JURNAL_LKH!F134</f>
        <v>Sabtu</v>
      </c>
    </row>
    <row r="135" spans="2:3" x14ac:dyDescent="0.25">
      <c r="B135" s="29" t="str">
        <f>IF(JURNAL_LKH!B135="",B134,JURNAL_LKH!B135)</f>
        <v>Sabtu</v>
      </c>
      <c r="C135" s="28" t="str">
        <f>B135&amp;JURNAL_LKH!E135&amp;JURNAL_LKH!F135</f>
        <v>Sabtu</v>
      </c>
    </row>
    <row r="136" spans="2:3" x14ac:dyDescent="0.25">
      <c r="B136" s="29" t="str">
        <f>IF(JURNAL_LKH!B136="",B135,JURNAL_LKH!B136)</f>
        <v>Sabtu</v>
      </c>
      <c r="C136" s="28" t="str">
        <f>B136&amp;JURNAL_LKH!E136&amp;JURNAL_LKH!F136</f>
        <v>Sabtu</v>
      </c>
    </row>
    <row r="137" spans="2:3" x14ac:dyDescent="0.25">
      <c r="B137" s="29" t="str">
        <f>IF(JURNAL_LKH!B137="",B136,JURNAL_LKH!B137)</f>
        <v>Sabtu</v>
      </c>
      <c r="C137" s="28" t="str">
        <f>B137&amp;JURNAL_LKH!E137&amp;JURNAL_LKH!F137</f>
        <v>Sabtu</v>
      </c>
    </row>
    <row r="138" spans="2:3" x14ac:dyDescent="0.25">
      <c r="B138" s="29" t="str">
        <f>IF(JURNAL_LKH!B138="",B137,JURNAL_LKH!B138)</f>
        <v>Sabtu</v>
      </c>
      <c r="C138" s="28" t="str">
        <f>B138&amp;JURNAL_LKH!E138&amp;JURNAL_LKH!F138</f>
        <v>Sabtu</v>
      </c>
    </row>
    <row r="139" spans="2:3" x14ac:dyDescent="0.25">
      <c r="B139" s="29" t="str">
        <f>IF(JURNAL_LKH!B139="",B138,JURNAL_LKH!B139)</f>
        <v>Sabtu</v>
      </c>
      <c r="C139" s="28" t="str">
        <f>B139&amp;JURNAL_LKH!E139&amp;JURNAL_LKH!F139</f>
        <v>Sabtu</v>
      </c>
    </row>
    <row r="140" spans="2:3" x14ac:dyDescent="0.25">
      <c r="B140" s="29" t="str">
        <f>IF(JURNAL_LKH!B140="",B139,JURNAL_LKH!B140)</f>
        <v>Sabtu</v>
      </c>
      <c r="C140" s="28" t="str">
        <f>B140&amp;JURNAL_LKH!E140&amp;JURNAL_LKH!F140</f>
        <v>Sabtu</v>
      </c>
    </row>
    <row r="141" spans="2:3" x14ac:dyDescent="0.25">
      <c r="B141" s="29" t="str">
        <f>IF(JURNAL_LKH!B141="",B140,JURNAL_LKH!B141)</f>
        <v>Sabtu</v>
      </c>
      <c r="C141" s="28" t="str">
        <f>B141&amp;JURNAL_LKH!E141&amp;JURNAL_LKH!F141</f>
        <v>Sabtu</v>
      </c>
    </row>
    <row r="142" spans="2:3" x14ac:dyDescent="0.25">
      <c r="B142" s="29" t="str">
        <f>IF(JURNAL_LKH!B142="",B141,JURNAL_LKH!B142)</f>
        <v>Sabtu</v>
      </c>
      <c r="C142" s="28" t="str">
        <f>B142&amp;JURNAL_LKH!E142&amp;JURNAL_LKH!F142</f>
        <v>Sabtu</v>
      </c>
    </row>
    <row r="143" spans="2:3" x14ac:dyDescent="0.25">
      <c r="B143" s="29" t="str">
        <f>IF(JURNAL_LKH!B143="",B142,JURNAL_LKH!B143)</f>
        <v>Sabtu</v>
      </c>
      <c r="C143" s="28" t="str">
        <f>B143&amp;JURNAL_LKH!E143&amp;JURNAL_LKH!F143</f>
        <v>Sabtu</v>
      </c>
    </row>
    <row r="144" spans="2:3" x14ac:dyDescent="0.25">
      <c r="B144" s="29" t="str">
        <f>IF(JURNAL_LKH!B144="",B143,JURNAL_LKH!B144)</f>
        <v>Sabtu</v>
      </c>
      <c r="C144" s="28" t="str">
        <f>B144&amp;JURNAL_LKH!E144&amp;JURNAL_LKH!F144</f>
        <v>Sabtu</v>
      </c>
    </row>
    <row r="145" spans="2:3" x14ac:dyDescent="0.25">
      <c r="B145" s="29" t="str">
        <f>IF(JURNAL_LKH!B145="",B144,JURNAL_LKH!B145)</f>
        <v>Sabtu</v>
      </c>
      <c r="C145" s="28" t="str">
        <f>B145&amp;JURNAL_LKH!E145&amp;JURNAL_LKH!F145</f>
        <v>Sabtu</v>
      </c>
    </row>
    <row r="146" spans="2:3" x14ac:dyDescent="0.25">
      <c r="B146" s="29" t="str">
        <f>IF(JURNAL_LKH!B146="",B145,JURNAL_LKH!B146)</f>
        <v>Sabtu</v>
      </c>
      <c r="C146" s="28" t="str">
        <f>B146&amp;JURNAL_LKH!E146&amp;JURNAL_LKH!F146</f>
        <v>Sabtu</v>
      </c>
    </row>
    <row r="147" spans="2:3" x14ac:dyDescent="0.25">
      <c r="B147" s="29" t="str">
        <f>IF(JURNAL_LKH!B147="",B146,JURNAL_LKH!B147)</f>
        <v>Sabtu</v>
      </c>
      <c r="C147" s="28" t="str">
        <f>B147&amp;JURNAL_LKH!E147&amp;JURNAL_LKH!F147</f>
        <v>Sabtu</v>
      </c>
    </row>
    <row r="148" spans="2:3" x14ac:dyDescent="0.25">
      <c r="B148" s="29" t="str">
        <f>IF(JURNAL_LKH!B148="",B147,JURNAL_LKH!B148)</f>
        <v>Sabtu</v>
      </c>
      <c r="C148" s="28" t="str">
        <f>B148&amp;JURNAL_LKH!E148&amp;JURNAL_LKH!F148</f>
        <v>Sabtu</v>
      </c>
    </row>
    <row r="149" spans="2:3" x14ac:dyDescent="0.25">
      <c r="B149" s="29" t="str">
        <f>IF(JURNAL_LKH!B149="",B148,JURNAL_LKH!B149)</f>
        <v>Sabtu</v>
      </c>
      <c r="C149" s="28" t="str">
        <f>B149&amp;JURNAL_LKH!E149&amp;JURNAL_LKH!F149</f>
        <v>Sabtu</v>
      </c>
    </row>
    <row r="150" spans="2:3" x14ac:dyDescent="0.25">
      <c r="B150" s="29" t="str">
        <f>IF(JURNAL_LKH!B150="",B149,JURNAL_LKH!B150)</f>
        <v>Sabtu</v>
      </c>
      <c r="C150" s="28" t="str">
        <f>B150&amp;JURNAL_LKH!E150&amp;JURNAL_LKH!F150</f>
        <v>Sabtu</v>
      </c>
    </row>
    <row r="151" spans="2:3" x14ac:dyDescent="0.25">
      <c r="B151" s="29" t="str">
        <f>IF(JURNAL_LKH!B151="",B150,JURNAL_LKH!B151)</f>
        <v>Sabtu</v>
      </c>
      <c r="C151" s="28" t="str">
        <f>B151&amp;JURNAL_LKH!E151&amp;JURNAL_LKH!F151</f>
        <v>Sabtu</v>
      </c>
    </row>
    <row r="152" spans="2:3" x14ac:dyDescent="0.25">
      <c r="B152" s="29" t="str">
        <f>IF(JURNAL_LKH!B152="",B151,JURNAL_LKH!B152)</f>
        <v>Sabtu</v>
      </c>
      <c r="C152" s="28" t="str">
        <f>B152&amp;JURNAL_LKH!E152&amp;JURNAL_LKH!F152</f>
        <v>Sabtu</v>
      </c>
    </row>
    <row r="153" spans="2:3" x14ac:dyDescent="0.25">
      <c r="B153" s="29" t="str">
        <f>IF(JURNAL_LKH!B153="",B152,JURNAL_LKH!B153)</f>
        <v>Sabtu</v>
      </c>
      <c r="C153" s="28" t="str">
        <f>B153&amp;JURNAL_LKH!E153&amp;JURNAL_LKH!F153</f>
        <v>Sabtu</v>
      </c>
    </row>
    <row r="154" spans="2:3" x14ac:dyDescent="0.25">
      <c r="B154" s="29" t="str">
        <f>IF(JURNAL_LKH!B154="",B153,JURNAL_LKH!B154)</f>
        <v>Sabtu</v>
      </c>
      <c r="C154" s="28" t="str">
        <f>B154&amp;JURNAL_LKH!E154&amp;JURNAL_LKH!F154</f>
        <v>Sabtu</v>
      </c>
    </row>
    <row r="155" spans="2:3" x14ac:dyDescent="0.25">
      <c r="B155" s="29" t="str">
        <f>IF(JURNAL_LKH!B155="",B154,JURNAL_LKH!B155)</f>
        <v>Sabtu</v>
      </c>
      <c r="C155" s="28" t="str">
        <f>B155&amp;JURNAL_LKH!E155&amp;JURNAL_LKH!F155</f>
        <v>Sabtu</v>
      </c>
    </row>
    <row r="156" spans="2:3" x14ac:dyDescent="0.25">
      <c r="B156" s="29" t="str">
        <f>IF(JURNAL_LKH!B156="",B155,JURNAL_LKH!B156)</f>
        <v>Sabtu</v>
      </c>
      <c r="C156" s="28" t="str">
        <f>B156&amp;JURNAL_LKH!E156&amp;JURNAL_LKH!F156</f>
        <v>Sabtu</v>
      </c>
    </row>
    <row r="157" spans="2:3" x14ac:dyDescent="0.25">
      <c r="B157" s="29" t="str">
        <f>IF(JURNAL_LKH!B157="",B156,JURNAL_LKH!B157)</f>
        <v>Sabtu</v>
      </c>
      <c r="C157" s="28" t="str">
        <f>B157&amp;JURNAL_LKH!E157&amp;JURNAL_LKH!F157</f>
        <v>Sabtu</v>
      </c>
    </row>
    <row r="158" spans="2:3" x14ac:dyDescent="0.25">
      <c r="B158" s="29" t="str">
        <f>IF(JURNAL_LKH!B158="",B157,JURNAL_LKH!B158)</f>
        <v>Sabtu</v>
      </c>
      <c r="C158" s="28" t="str">
        <f>B158&amp;JURNAL_LKH!E158&amp;JURNAL_LKH!F158</f>
        <v>Sabtu</v>
      </c>
    </row>
    <row r="159" spans="2:3" x14ac:dyDescent="0.25">
      <c r="B159" s="29" t="str">
        <f>IF(JURNAL_LKH!B159="",B158,JURNAL_LKH!B159)</f>
        <v>Sabtu</v>
      </c>
      <c r="C159" s="28" t="str">
        <f>B159&amp;JURNAL_LKH!E159&amp;JURNAL_LKH!F159</f>
        <v>Sabtu</v>
      </c>
    </row>
    <row r="160" spans="2:3" x14ac:dyDescent="0.25">
      <c r="B160" s="29" t="str">
        <f>IF(JURNAL_LKH!B160="",B159,JURNAL_LKH!B160)</f>
        <v>Sabtu</v>
      </c>
      <c r="C160" s="28" t="str">
        <f>B160&amp;JURNAL_LKH!E160&amp;JURNAL_LKH!F160</f>
        <v>Sabtu</v>
      </c>
    </row>
    <row r="161" spans="2:3" x14ac:dyDescent="0.25">
      <c r="B161" s="29" t="str">
        <f>IF(JURNAL_LKH!B161="",B160,JURNAL_LKH!B161)</f>
        <v>Sabtu</v>
      </c>
      <c r="C161" s="28" t="str">
        <f>B161&amp;JURNAL_LKH!E161&amp;JURNAL_LKH!F161</f>
        <v>Sabtu</v>
      </c>
    </row>
    <row r="162" spans="2:3" x14ac:dyDescent="0.25">
      <c r="B162" s="29" t="str">
        <f>IF(JURNAL_LKH!B162="",B161,JURNAL_LKH!B162)</f>
        <v>Sabtu</v>
      </c>
      <c r="C162" s="28" t="str">
        <f>B162&amp;JURNAL_LKH!E162&amp;JURNAL_LKH!F162</f>
        <v>Sabtu</v>
      </c>
    </row>
    <row r="163" spans="2:3" x14ac:dyDescent="0.25">
      <c r="B163" s="29" t="str">
        <f>IF(JURNAL_LKH!B163="",B162,JURNAL_LKH!B163)</f>
        <v>Sabtu</v>
      </c>
      <c r="C163" s="28" t="str">
        <f>B163&amp;JURNAL_LKH!E163&amp;JURNAL_LKH!F163</f>
        <v>Sabtu</v>
      </c>
    </row>
    <row r="164" spans="2:3" x14ac:dyDescent="0.25">
      <c r="B164" s="29" t="str">
        <f>IF(JURNAL_LKH!B164="",B163,JURNAL_LKH!B164)</f>
        <v>Sabtu</v>
      </c>
      <c r="C164" s="28" t="str">
        <f>B164&amp;JURNAL_LKH!E164&amp;JURNAL_LKH!F164</f>
        <v>Sabtu</v>
      </c>
    </row>
    <row r="165" spans="2:3" x14ac:dyDescent="0.25">
      <c r="B165" s="29" t="str">
        <f>IF(JURNAL_LKH!B165="",B164,JURNAL_LKH!B165)</f>
        <v>Sabtu</v>
      </c>
      <c r="C165" s="28" t="str">
        <f>B165&amp;JURNAL_LKH!E165&amp;JURNAL_LKH!F165</f>
        <v>Sabtu</v>
      </c>
    </row>
    <row r="166" spans="2:3" x14ac:dyDescent="0.25">
      <c r="B166" s="29" t="str">
        <f>IF(JURNAL_LKH!B166="",B165,JURNAL_LKH!B166)</f>
        <v>Sabtu</v>
      </c>
      <c r="C166" s="28" t="str">
        <f>B166&amp;JURNAL_LKH!E166&amp;JURNAL_LKH!F166</f>
        <v>Sabtu</v>
      </c>
    </row>
    <row r="167" spans="2:3" x14ac:dyDescent="0.25">
      <c r="B167" s="29" t="str">
        <f>IF(JURNAL_LKH!B167="",B166,JURNAL_LKH!B167)</f>
        <v>Sabtu</v>
      </c>
      <c r="C167" s="28" t="str">
        <f>B167&amp;JURNAL_LKH!E167&amp;JURNAL_LKH!F167</f>
        <v>Sabtu</v>
      </c>
    </row>
    <row r="168" spans="2:3" x14ac:dyDescent="0.25">
      <c r="B168" s="29" t="str">
        <f>IF(JURNAL_LKH!B168="",B167,JURNAL_LKH!B168)</f>
        <v>Sabtu</v>
      </c>
      <c r="C168" s="28" t="str">
        <f>B168&amp;JURNAL_LKH!E168&amp;JURNAL_LKH!F168</f>
        <v>Sabtu</v>
      </c>
    </row>
    <row r="169" spans="2:3" x14ac:dyDescent="0.25">
      <c r="B169" s="29" t="str">
        <f>IF(JURNAL_LKH!B169="",B168,JURNAL_LKH!B169)</f>
        <v>Sabtu</v>
      </c>
      <c r="C169" s="28" t="str">
        <f>B169&amp;JURNAL_LKH!E169&amp;JURNAL_LKH!F169</f>
        <v>Sabtu</v>
      </c>
    </row>
    <row r="170" spans="2:3" x14ac:dyDescent="0.25">
      <c r="B170" s="29" t="str">
        <f>IF(JURNAL_LKH!B170="",B169,JURNAL_LKH!B170)</f>
        <v>Sabtu</v>
      </c>
      <c r="C170" s="28" t="str">
        <f>B170&amp;JURNAL_LKH!E170&amp;JURNAL_LKH!F170</f>
        <v>Sabtu</v>
      </c>
    </row>
    <row r="171" spans="2:3" x14ac:dyDescent="0.25">
      <c r="B171" s="29" t="str">
        <f>IF(JURNAL_LKH!B171="",B170,JURNAL_LKH!B171)</f>
        <v>Sabtu</v>
      </c>
      <c r="C171" s="28" t="str">
        <f>B171&amp;JURNAL_LKH!E171&amp;JURNAL_LKH!F171</f>
        <v>Sabtu</v>
      </c>
    </row>
    <row r="172" spans="2:3" x14ac:dyDescent="0.25">
      <c r="B172" s="29" t="str">
        <f>IF(JURNAL_LKH!B172="",B171,JURNAL_LKH!B172)</f>
        <v>Sabtu</v>
      </c>
      <c r="C172" s="28" t="str">
        <f>B172&amp;JURNAL_LKH!E172&amp;JURNAL_LKH!F172</f>
        <v>Sabtu</v>
      </c>
    </row>
    <row r="173" spans="2:3" x14ac:dyDescent="0.25">
      <c r="B173" s="29" t="str">
        <f>IF(JURNAL_LKH!B173="",B172,JURNAL_LKH!B173)</f>
        <v>Sabtu</v>
      </c>
      <c r="C173" s="28" t="str">
        <f>B173&amp;JURNAL_LKH!E173&amp;JURNAL_LKH!F173</f>
        <v>Sabtu</v>
      </c>
    </row>
    <row r="174" spans="2:3" x14ac:dyDescent="0.25">
      <c r="B174" s="29" t="str">
        <f>IF(JURNAL_LKH!B174="",B173,JURNAL_LKH!B174)</f>
        <v>Sabtu</v>
      </c>
      <c r="C174" s="28" t="str">
        <f>B174&amp;JURNAL_LKH!E174&amp;JURNAL_LKH!F174</f>
        <v>Sabtu</v>
      </c>
    </row>
    <row r="175" spans="2:3" x14ac:dyDescent="0.25">
      <c r="B175" s="29" t="str">
        <f>IF(JURNAL_LKH!B175="",B174,JURNAL_LKH!B175)</f>
        <v>Sabtu</v>
      </c>
      <c r="C175" s="28" t="str">
        <f>B175&amp;JURNAL_LKH!E175&amp;JURNAL_LKH!F175</f>
        <v>Sabtu</v>
      </c>
    </row>
    <row r="176" spans="2:3" x14ac:dyDescent="0.25">
      <c r="B176" s="29" t="str">
        <f>IF(JURNAL_LKH!B176="",B175,JURNAL_LKH!B176)</f>
        <v>Sabtu</v>
      </c>
      <c r="C176" s="28" t="str">
        <f>B176&amp;JURNAL_LKH!E176&amp;JURNAL_LKH!F176</f>
        <v>Sabtu</v>
      </c>
    </row>
    <row r="177" spans="2:3" x14ac:dyDescent="0.25">
      <c r="B177" s="29" t="str">
        <f>IF(JURNAL_LKH!B177="",B176,JURNAL_LKH!B177)</f>
        <v>Sabtu</v>
      </c>
      <c r="C177" s="28" t="str">
        <f>B177&amp;JURNAL_LKH!E177&amp;JURNAL_LKH!F177</f>
        <v>Sabtu</v>
      </c>
    </row>
    <row r="178" spans="2:3" x14ac:dyDescent="0.25">
      <c r="B178" s="29" t="str">
        <f>IF(JURNAL_LKH!B178="",B177,JURNAL_LKH!B178)</f>
        <v>Sabtu</v>
      </c>
      <c r="C178" s="28" t="str">
        <f>B178&amp;JURNAL_LKH!E178&amp;JURNAL_LKH!F178</f>
        <v>Sabtu</v>
      </c>
    </row>
    <row r="179" spans="2:3" x14ac:dyDescent="0.25">
      <c r="B179" s="29" t="str">
        <f>IF(JURNAL_LKH!B179="",B178,JURNAL_LKH!B179)</f>
        <v>Sabtu</v>
      </c>
      <c r="C179" s="28" t="str">
        <f>B179&amp;JURNAL_LKH!E179&amp;JURNAL_LKH!F179</f>
        <v>Sabtu</v>
      </c>
    </row>
    <row r="180" spans="2:3" x14ac:dyDescent="0.25">
      <c r="B180" s="29" t="str">
        <f>IF(JURNAL_LKH!B180="",B179,JURNAL_LKH!B180)</f>
        <v>Sabtu</v>
      </c>
      <c r="C180" s="28" t="str">
        <f>B180&amp;JURNAL_LKH!E180&amp;JURNAL_LKH!F180</f>
        <v>Sabtu</v>
      </c>
    </row>
    <row r="181" spans="2:3" x14ac:dyDescent="0.25">
      <c r="B181" s="29" t="str">
        <f>IF(JURNAL_LKH!B181="",B180,JURNAL_LKH!B181)</f>
        <v>Sabtu</v>
      </c>
      <c r="C181" s="28" t="str">
        <f>B181&amp;JURNAL_LKH!E181&amp;JURNAL_LKH!F181</f>
        <v>Sabtu</v>
      </c>
    </row>
    <row r="182" spans="2:3" x14ac:dyDescent="0.25">
      <c r="B182" s="29" t="str">
        <f>IF(JURNAL_LKH!B182="",B181,JURNAL_LKH!B182)</f>
        <v>Sabtu</v>
      </c>
      <c r="C182" s="28" t="str">
        <f>B182&amp;JURNAL_LKH!E182&amp;JURNAL_LKH!F182</f>
        <v>Sabtu</v>
      </c>
    </row>
    <row r="183" spans="2:3" x14ac:dyDescent="0.25">
      <c r="B183" s="29" t="str">
        <f>IF(JURNAL_LKH!B183="",B182,JURNAL_LKH!B183)</f>
        <v>Sabtu</v>
      </c>
      <c r="C183" s="28" t="str">
        <f>B183&amp;JURNAL_LKH!E183&amp;JURNAL_LKH!F183</f>
        <v>Sabtu</v>
      </c>
    </row>
    <row r="184" spans="2:3" x14ac:dyDescent="0.25">
      <c r="B184" s="29" t="str">
        <f>IF(JURNAL_LKH!B184="",B183,JURNAL_LKH!B184)</f>
        <v>Sabtu</v>
      </c>
      <c r="C184" s="28" t="str">
        <f>B184&amp;JURNAL_LKH!E184&amp;JURNAL_LKH!F184</f>
        <v>Sabtu</v>
      </c>
    </row>
    <row r="185" spans="2:3" x14ac:dyDescent="0.25">
      <c r="B185" s="29" t="str">
        <f>IF(JURNAL_LKH!B185="",B184,JURNAL_LKH!B185)</f>
        <v>Sabtu</v>
      </c>
      <c r="C185" s="28" t="str">
        <f>B185&amp;JURNAL_LKH!E185&amp;JURNAL_LKH!F185</f>
        <v>Sabtu</v>
      </c>
    </row>
    <row r="186" spans="2:3" x14ac:dyDescent="0.25">
      <c r="B186" s="29" t="str">
        <f>IF(JURNAL_LKH!B186="",B185,JURNAL_LKH!B186)</f>
        <v>Sabtu</v>
      </c>
      <c r="C186" s="28" t="str">
        <f>B186&amp;JURNAL_LKH!E186&amp;JURNAL_LKH!F186</f>
        <v>Sabtu</v>
      </c>
    </row>
    <row r="187" spans="2:3" x14ac:dyDescent="0.25">
      <c r="B187" s="29" t="str">
        <f>IF(JURNAL_LKH!B187="",B186,JURNAL_LKH!B187)</f>
        <v>Sabtu</v>
      </c>
      <c r="C187" s="28" t="str">
        <f>B187&amp;JURNAL_LKH!E187&amp;JURNAL_LKH!F187</f>
        <v>Sabtu</v>
      </c>
    </row>
    <row r="188" spans="2:3" x14ac:dyDescent="0.25">
      <c r="B188" s="29" t="str">
        <f>IF(JURNAL_LKH!B188="",B187,JURNAL_LKH!B188)</f>
        <v>Sabtu</v>
      </c>
      <c r="C188" s="28" t="str">
        <f>B188&amp;JURNAL_LKH!E188&amp;JURNAL_LKH!F188</f>
        <v>Sabtu</v>
      </c>
    </row>
  </sheetData>
  <sheetProtection selectLockedCells="1" selectUnlockedCell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pageSetUpPr fitToPage="1"/>
  </sheetPr>
  <dimension ref="A1:XFD1203"/>
  <sheetViews>
    <sheetView showGridLines="0" topLeftCell="A35" zoomScale="110" zoomScaleNormal="110" workbookViewId="0">
      <selection activeCell="G48" sqref="G48"/>
    </sheetView>
  </sheetViews>
  <sheetFormatPr defaultColWidth="0" defaultRowHeight="1.5" customHeight="1" zeroHeight="1" x14ac:dyDescent="0.25"/>
  <cols>
    <col min="1" max="1" width="3.7109375" style="128" customWidth="1"/>
    <col min="2" max="2" width="6.7109375" style="128" customWidth="1"/>
    <col min="3" max="3" width="3.28515625" style="130" customWidth="1"/>
    <col min="4" max="4" width="15.85546875" style="128" customWidth="1"/>
    <col min="5" max="5" width="11.42578125" style="131" customWidth="1"/>
    <col min="6" max="6" width="7.140625" style="128" customWidth="1"/>
    <col min="7" max="7" width="13.85546875" style="128" customWidth="1"/>
    <col min="8" max="8" width="6.28515625" style="128" customWidth="1"/>
    <col min="9" max="9" width="46.5703125" style="148" customWidth="1"/>
    <col min="10" max="10" width="10.85546875" style="128" customWidth="1"/>
    <col min="11" max="11" width="7" style="128" customWidth="1"/>
    <col min="12" max="14" width="4.5703125" style="128" customWidth="1"/>
    <col min="15" max="15" width="12.140625" style="128" customWidth="1"/>
    <col min="16" max="16" width="0.5703125" style="128" customWidth="1"/>
    <col min="17" max="17" width="17.5703125" style="169" customWidth="1"/>
    <col min="18" max="18" width="17.7109375" style="169" customWidth="1"/>
    <col min="19" max="21" width="12.7109375" style="169" customWidth="1"/>
    <col min="22" max="22" width="9.140625" style="169" customWidth="1"/>
    <col min="23" max="23" width="17.5703125" style="128" customWidth="1"/>
    <col min="24" max="24" width="17.7109375" style="128" customWidth="1"/>
    <col min="25" max="27" width="12.7109375" style="128" customWidth="1"/>
    <col min="28" max="29" width="12.7109375" style="128" hidden="1" customWidth="1"/>
    <col min="30" max="16384" width="9.140625" style="128" hidden="1"/>
  </cols>
  <sheetData>
    <row r="1" spans="1:16" ht="20.25" x14ac:dyDescent="0.25">
      <c r="A1" s="333" t="s">
        <v>94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</row>
    <row r="2" spans="1:16" ht="20.25" x14ac:dyDescent="0.25">
      <c r="A2" s="335" t="s">
        <v>95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</row>
    <row r="3" spans="1:16" ht="15" x14ac:dyDescent="0.25">
      <c r="A3" s="337" t="s">
        <v>96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</row>
    <row r="4" spans="1:16" ht="15.75" x14ac:dyDescent="0.25">
      <c r="A4" s="339" t="s">
        <v>97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</row>
    <row r="5" spans="1:16" ht="16.5" thickBot="1" x14ac:dyDescent="0.3">
      <c r="A5" s="341" t="s">
        <v>98</v>
      </c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</row>
    <row r="6" spans="1:16" ht="2.25" customHeight="1" thickBot="1" x14ac:dyDescent="0.3">
      <c r="A6" s="134"/>
      <c r="B6" s="134"/>
      <c r="C6" s="135"/>
      <c r="D6" s="134"/>
      <c r="E6" s="136"/>
      <c r="F6" s="134"/>
      <c r="G6" s="134"/>
      <c r="H6" s="134"/>
      <c r="I6" s="146"/>
      <c r="J6" s="134"/>
      <c r="K6" s="134"/>
      <c r="L6" s="134"/>
      <c r="M6" s="134"/>
      <c r="N6" s="134"/>
      <c r="O6" s="134"/>
    </row>
    <row r="7" spans="1:16" ht="15.75" customHeight="1" thickTop="1" x14ac:dyDescent="0.25">
      <c r="A7" s="137"/>
      <c r="B7" s="137"/>
      <c r="C7" s="138"/>
      <c r="D7" s="137"/>
      <c r="E7" s="139"/>
      <c r="F7" s="139"/>
      <c r="G7" s="139"/>
      <c r="H7" s="139"/>
      <c r="I7" s="214"/>
      <c r="J7" s="139"/>
      <c r="K7" s="139"/>
      <c r="L7" s="139"/>
      <c r="M7" s="139"/>
      <c r="N7" s="139"/>
      <c r="O7" s="139"/>
      <c r="P7" s="140"/>
    </row>
    <row r="8" spans="1:16" ht="15.75" customHeight="1" x14ac:dyDescent="0.25">
      <c r="A8" s="306" t="s">
        <v>134</v>
      </c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8"/>
      <c r="P8" s="131"/>
    </row>
    <row r="9" spans="1:16" ht="15.75" customHeight="1" x14ac:dyDescent="0.25">
      <c r="A9" s="312" t="str">
        <f>"BULAN : "&amp;DATA!E17&amp;" "&amp;DATA!G17</f>
        <v>BULAN : JULI 2026</v>
      </c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4"/>
      <c r="P9" s="131"/>
    </row>
    <row r="10" spans="1:16" ht="15.75" customHeight="1" x14ac:dyDescent="0.25">
      <c r="A10" s="52" t="s">
        <v>0</v>
      </c>
      <c r="B10" s="52"/>
      <c r="C10" s="52"/>
      <c r="D10" s="52"/>
      <c r="E10" s="309"/>
      <c r="F10" s="310"/>
      <c r="G10" s="310"/>
      <c r="H10" s="311"/>
      <c r="I10" s="215" t="s">
        <v>125</v>
      </c>
      <c r="J10" s="6"/>
      <c r="K10" s="6"/>
      <c r="L10" s="6"/>
      <c r="M10" s="6"/>
      <c r="N10" s="6"/>
      <c r="O10" s="6"/>
      <c r="P10" s="131"/>
    </row>
    <row r="11" spans="1:16" ht="15.75" customHeight="1" x14ac:dyDescent="0.25">
      <c r="A11" s="56" t="str">
        <f>"Nama Guru              : "&amp;DATA!E20</f>
        <v>Nama Guru              : Nurlailatul Hasanah, S.Ag</v>
      </c>
      <c r="B11" s="57"/>
      <c r="C11" s="57"/>
      <c r="D11" s="58"/>
      <c r="E11" s="128"/>
      <c r="I11" s="343" t="str">
        <f>"  Nama Madrasah       : "&amp;DATA!N20</f>
        <v xml:space="preserve">  Nama Madrasah       : MTs. AL IHSAN TANAH GROGOT</v>
      </c>
      <c r="J11" s="344"/>
      <c r="K11" s="55"/>
      <c r="L11" s="55"/>
      <c r="M11" s="55"/>
      <c r="N11" s="55"/>
      <c r="O11" s="55"/>
    </row>
    <row r="12" spans="1:16" ht="15.75" customHeight="1" x14ac:dyDescent="0.25">
      <c r="A12" s="56" t="str">
        <f>"NIP                         : "&amp;DATA!E22</f>
        <v>NIP                         : 197311272005012002</v>
      </c>
      <c r="B12" s="57"/>
      <c r="C12" s="57"/>
      <c r="D12" s="58"/>
      <c r="E12" s="59"/>
      <c r="F12" s="59"/>
      <c r="G12" s="59"/>
      <c r="I12" s="343" t="str">
        <f>"  Alamat Madrasah     : "&amp;DATA!N22</f>
        <v xml:space="preserve">  Alamat Madrasah     : Jl. Cendrawasih RT. 04 Desa Senaken Tanah Grogot</v>
      </c>
      <c r="J12" s="344"/>
      <c r="K12" s="55"/>
      <c r="L12" s="55"/>
      <c r="M12" s="55"/>
      <c r="N12" s="55"/>
      <c r="O12" s="55"/>
    </row>
    <row r="13" spans="1:16" ht="15.75" customHeight="1" x14ac:dyDescent="0.25">
      <c r="A13" s="56" t="str">
        <f>"No Sertifikasi           : "&amp;DATA!E24</f>
        <v>No Sertifikasi           : 2111423801163</v>
      </c>
      <c r="B13" s="57"/>
      <c r="C13" s="57"/>
      <c r="D13" s="58"/>
      <c r="E13" s="128"/>
      <c r="I13" s="343" t="str">
        <f>"  Jumlah Ruang Kelas : "&amp;DATA!N24</f>
        <v xml:space="preserve">  Jumlah Ruang Kelas : 6 (Enam)</v>
      </c>
      <c r="J13" s="344"/>
      <c r="K13" s="55"/>
      <c r="L13" s="55"/>
      <c r="M13" s="55"/>
      <c r="N13" s="55"/>
      <c r="O13" s="55"/>
    </row>
    <row r="14" spans="1:16" ht="15.75" customHeight="1" x14ac:dyDescent="0.25">
      <c r="A14" s="56" t="str">
        <f>"Pangkat/Gol Ruang  : "&amp;DATA!E26</f>
        <v>Pangkat/Gol Ruang  : Guru madya pembina tingkat I, golongan IV/b</v>
      </c>
      <c r="B14" s="57"/>
      <c r="C14" s="57"/>
      <c r="D14" s="58"/>
      <c r="E14" s="128"/>
      <c r="I14" s="343" t="str">
        <f>"  Status Madrasah       : "&amp;DATA!N26</f>
        <v xml:space="preserve">  Status Madrasah       : Terakreditasi A</v>
      </c>
      <c r="J14" s="344"/>
      <c r="K14" s="55"/>
      <c r="L14" s="55"/>
      <c r="M14" s="55"/>
      <c r="N14" s="55"/>
      <c r="O14" s="55"/>
    </row>
    <row r="15" spans="1:16" ht="15.75" customHeight="1" x14ac:dyDescent="0.25">
      <c r="A15" s="56" t="str">
        <f>"Pendidikan               : "&amp;DATA!E28</f>
        <v>Pendidikan               : S.1 Tarbiyah</v>
      </c>
      <c r="B15" s="57"/>
      <c r="C15" s="57"/>
      <c r="D15" s="58"/>
      <c r="E15" s="128"/>
      <c r="I15" s="343" t="str">
        <f>"  Internet                     : "&amp;DATA!N28</f>
        <v xml:space="preserve">  Internet                     : Ada</v>
      </c>
      <c r="J15" s="344"/>
      <c r="K15" s="55"/>
      <c r="L15" s="55"/>
      <c r="M15" s="55"/>
      <c r="N15" s="55"/>
      <c r="O15" s="55"/>
    </row>
    <row r="16" spans="1:16" ht="15.75" customHeight="1" x14ac:dyDescent="0.25">
      <c r="A16" s="56" t="str">
        <f>"Status Guru              : "&amp;DATA!E30</f>
        <v>Status Guru              : Sejarah Kebudayaan Islam (SKI) dan Akidah Akhlak</v>
      </c>
      <c r="B16" s="6"/>
      <c r="C16" s="6"/>
      <c r="D16" s="6"/>
      <c r="E16" s="128"/>
      <c r="F16" s="129"/>
      <c r="G16" s="129"/>
      <c r="H16" s="129"/>
      <c r="I16" s="216"/>
      <c r="J16" s="48"/>
      <c r="K16" s="6"/>
      <c r="L16" s="6"/>
      <c r="M16" s="6"/>
      <c r="N16" s="6"/>
      <c r="O16" s="6"/>
    </row>
    <row r="17" spans="1:22" ht="15" customHeight="1" x14ac:dyDescent="0.25">
      <c r="A17" s="56"/>
      <c r="B17" s="7"/>
      <c r="C17" s="7"/>
      <c r="D17" s="7"/>
      <c r="E17" s="128"/>
      <c r="F17" s="183"/>
      <c r="G17" s="183"/>
      <c r="H17" s="183"/>
      <c r="I17" s="217"/>
      <c r="J17" s="184"/>
      <c r="K17" s="7"/>
      <c r="L17" s="7"/>
      <c r="M17" s="7"/>
      <c r="N17" s="7"/>
      <c r="O17" s="7"/>
    </row>
    <row r="18" spans="1:22" ht="15" customHeight="1" thickBot="1" x14ac:dyDescent="0.3">
      <c r="A18" s="48"/>
      <c r="B18" s="7"/>
      <c r="C18" s="30"/>
      <c r="D18" s="7"/>
      <c r="E18" s="8"/>
      <c r="F18" s="7"/>
      <c r="G18" s="7"/>
      <c r="H18" s="7"/>
      <c r="I18" s="218"/>
      <c r="J18" s="7"/>
      <c r="K18" s="7"/>
      <c r="L18" s="7"/>
      <c r="M18" s="7"/>
      <c r="N18" s="7"/>
      <c r="O18" s="7"/>
    </row>
    <row r="19" spans="1:22" ht="15.75" customHeight="1" x14ac:dyDescent="0.25">
      <c r="A19" s="324" t="s">
        <v>70</v>
      </c>
      <c r="B19" s="315" t="s">
        <v>72</v>
      </c>
      <c r="C19" s="315"/>
      <c r="D19" s="315"/>
      <c r="E19" s="326" t="s">
        <v>101</v>
      </c>
      <c r="F19" s="328" t="s">
        <v>136</v>
      </c>
      <c r="G19" s="315" t="s">
        <v>73</v>
      </c>
      <c r="H19" s="315" t="s">
        <v>126</v>
      </c>
      <c r="I19" s="331" t="s">
        <v>137</v>
      </c>
      <c r="J19" s="315" t="s">
        <v>78</v>
      </c>
      <c r="K19" s="317" t="s">
        <v>79</v>
      </c>
      <c r="L19" s="319" t="s">
        <v>74</v>
      </c>
      <c r="M19" s="320"/>
      <c r="N19" s="321"/>
      <c r="O19" s="322" t="s">
        <v>80</v>
      </c>
      <c r="P19" s="141"/>
    </row>
    <row r="20" spans="1:22" ht="15.75" customHeight="1" thickBot="1" x14ac:dyDescent="0.3">
      <c r="A20" s="325"/>
      <c r="B20" s="60" t="s">
        <v>71</v>
      </c>
      <c r="C20" s="330" t="s">
        <v>106</v>
      </c>
      <c r="D20" s="330"/>
      <c r="E20" s="327"/>
      <c r="F20" s="329"/>
      <c r="G20" s="316"/>
      <c r="H20" s="316"/>
      <c r="I20" s="332"/>
      <c r="J20" s="316"/>
      <c r="K20" s="318"/>
      <c r="L20" s="132" t="s">
        <v>75</v>
      </c>
      <c r="M20" s="132" t="s">
        <v>76</v>
      </c>
      <c r="N20" s="132" t="s">
        <v>77</v>
      </c>
      <c r="O20" s="323"/>
      <c r="P20" s="142"/>
    </row>
    <row r="21" spans="1:22" s="229" customFormat="1" ht="30" customHeight="1" thickTop="1" x14ac:dyDescent="0.25">
      <c r="A21" s="185" t="s">
        <v>81</v>
      </c>
      <c r="B21" s="186" t="str">
        <f>IF(C21="","",TEXT(C21&amp;D21,"dddd"))</f>
        <v>Rabu</v>
      </c>
      <c r="C21" s="187">
        <v>1</v>
      </c>
      <c r="D21" s="188" t="str">
        <f>IF(C21="","",PROPER(DATA!$E$17)&amp;" "&amp;DATA!$G$17)</f>
        <v>Juli 2026</v>
      </c>
      <c r="E21" s="226" t="s">
        <v>185</v>
      </c>
      <c r="F21" s="208"/>
      <c r="G21" s="209"/>
      <c r="H21" s="210"/>
      <c r="I21" s="211" t="s">
        <v>203</v>
      </c>
      <c r="J21" s="192" t="s">
        <v>121</v>
      </c>
      <c r="K21" s="193" t="s">
        <v>122</v>
      </c>
      <c r="L21" s="194"/>
      <c r="M21" s="194"/>
      <c r="N21" s="194"/>
      <c r="O21" s="244"/>
      <c r="P21" s="195"/>
      <c r="Q21" s="196"/>
      <c r="R21" s="196"/>
      <c r="S21" s="196"/>
      <c r="T21" s="196"/>
      <c r="U21" s="196"/>
      <c r="V21" s="196"/>
    </row>
    <row r="22" spans="1:22" s="204" customFormat="1" ht="29.25" customHeight="1" x14ac:dyDescent="0.25">
      <c r="A22" s="197" t="str">
        <f>IF(C22="","",COUNT($C$21:D22)&amp;".")</f>
        <v/>
      </c>
      <c r="B22" s="198" t="str">
        <f t="shared" ref="B22:B85" si="0">IF(C22="","",TEXT(C22&amp;D22,"dddd"))</f>
        <v/>
      </c>
      <c r="C22" s="199"/>
      <c r="D22" s="200" t="str">
        <f>IF(C22="","",PROPER(DATA!$E$17)&amp;" "&amp;DATA!$G$17)</f>
        <v/>
      </c>
      <c r="E22" s="226" t="s">
        <v>186</v>
      </c>
      <c r="F22" s="208"/>
      <c r="G22" s="209"/>
      <c r="H22" s="210"/>
      <c r="I22" s="211" t="s">
        <v>218</v>
      </c>
      <c r="J22" s="192" t="s">
        <v>121</v>
      </c>
      <c r="K22" s="191" t="s">
        <v>122</v>
      </c>
      <c r="L22" s="190"/>
      <c r="M22" s="190"/>
      <c r="N22" s="190"/>
      <c r="O22" s="201"/>
      <c r="P22" s="202"/>
      <c r="Q22" s="203"/>
      <c r="R22" s="203"/>
      <c r="S22" s="203"/>
      <c r="T22" s="203"/>
      <c r="U22" s="203"/>
      <c r="V22" s="203"/>
    </row>
    <row r="23" spans="1:22" s="204" customFormat="1" ht="15" customHeight="1" x14ac:dyDescent="0.25">
      <c r="A23" s="197" t="str">
        <f>IF(C23="","",COUNT($C$21:D23)&amp;".")</f>
        <v/>
      </c>
      <c r="B23" s="198" t="str">
        <f t="shared" si="0"/>
        <v/>
      </c>
      <c r="C23" s="199"/>
      <c r="D23" s="200" t="str">
        <f>IF(C23="","",PROPER(DATA!$E$17)&amp;" "&amp;DATA!$G$17)</f>
        <v/>
      </c>
      <c r="E23" s="226" t="s">
        <v>182</v>
      </c>
      <c r="F23" s="208"/>
      <c r="G23" s="209"/>
      <c r="H23" s="210"/>
      <c r="I23" s="231" t="s">
        <v>187</v>
      </c>
      <c r="J23" s="192" t="s">
        <v>121</v>
      </c>
      <c r="K23" s="191" t="s">
        <v>122</v>
      </c>
      <c r="L23" s="190"/>
      <c r="M23" s="190"/>
      <c r="N23" s="190"/>
      <c r="O23" s="201"/>
      <c r="P23" s="202"/>
      <c r="Q23" s="203"/>
      <c r="R23" s="203"/>
      <c r="S23" s="203"/>
      <c r="T23" s="203"/>
      <c r="U23" s="203"/>
      <c r="V23" s="203"/>
    </row>
    <row r="24" spans="1:22" s="204" customFormat="1" ht="29.25" customHeight="1" x14ac:dyDescent="0.25">
      <c r="A24" s="197" t="str">
        <f>IF(C24="","",COUNT($C$21:D24)&amp;".")</f>
        <v/>
      </c>
      <c r="B24" s="198" t="str">
        <f t="shared" si="0"/>
        <v/>
      </c>
      <c r="C24" s="199"/>
      <c r="D24" s="200" t="str">
        <f>IF(C24="","",PROPER(DATA!$E$17)&amp;" "&amp;DATA!$G$17)</f>
        <v/>
      </c>
      <c r="E24" s="226" t="s">
        <v>183</v>
      </c>
      <c r="F24" s="208"/>
      <c r="G24" s="209"/>
      <c r="H24" s="210"/>
      <c r="I24" s="211" t="s">
        <v>219</v>
      </c>
      <c r="J24" s="192" t="s">
        <v>121</v>
      </c>
      <c r="K24" s="191" t="s">
        <v>122</v>
      </c>
      <c r="L24" s="190"/>
      <c r="M24" s="205"/>
      <c r="N24" s="190"/>
      <c r="O24" s="201"/>
      <c r="P24" s="202"/>
      <c r="Q24" s="203"/>
      <c r="R24" s="203"/>
      <c r="S24" s="203"/>
      <c r="T24" s="203"/>
      <c r="U24" s="203"/>
      <c r="V24" s="203"/>
    </row>
    <row r="25" spans="1:22" s="204" customFormat="1" ht="45" customHeight="1" x14ac:dyDescent="0.25">
      <c r="A25" s="197" t="str">
        <f>IF(C25="","",COUNT($C$21:D25)&amp;".")</f>
        <v>2.</v>
      </c>
      <c r="B25" s="198" t="str">
        <f t="shared" si="0"/>
        <v>Kamis</v>
      </c>
      <c r="C25" s="199">
        <v>2</v>
      </c>
      <c r="D25" s="200" t="str">
        <f>IF(C25="","",PROPER(DATA!$E$17)&amp;" "&amp;DATA!$G$17)</f>
        <v>Juli 2026</v>
      </c>
      <c r="E25" s="226" t="s">
        <v>188</v>
      </c>
      <c r="F25" s="208"/>
      <c r="G25" s="209"/>
      <c r="H25" s="210"/>
      <c r="I25" s="211" t="s">
        <v>223</v>
      </c>
      <c r="J25" s="192" t="s">
        <v>121</v>
      </c>
      <c r="K25" s="191" t="s">
        <v>122</v>
      </c>
      <c r="L25" s="190"/>
      <c r="M25" s="190"/>
      <c r="N25" s="190"/>
      <c r="O25" s="201"/>
      <c r="P25" s="202"/>
      <c r="Q25" s="203"/>
      <c r="R25" s="203"/>
      <c r="S25" s="203"/>
      <c r="T25" s="203"/>
      <c r="U25" s="203"/>
      <c r="V25" s="203"/>
    </row>
    <row r="26" spans="1:22" s="204" customFormat="1" ht="15.75" customHeight="1" x14ac:dyDescent="0.25">
      <c r="A26" s="197" t="str">
        <f>IF(C26="","",COUNT($C$21:D26)&amp;".")</f>
        <v/>
      </c>
      <c r="B26" s="198" t="str">
        <f t="shared" si="0"/>
        <v/>
      </c>
      <c r="C26" s="199"/>
      <c r="D26" s="200" t="str">
        <f>IF(C26="","",PROPER(DATA!$E$17)&amp;" "&amp;DATA!$G$17)</f>
        <v/>
      </c>
      <c r="E26" s="226" t="s">
        <v>182</v>
      </c>
      <c r="F26" s="208"/>
      <c r="G26" s="209"/>
      <c r="H26" s="210"/>
      <c r="I26" s="245" t="s">
        <v>187</v>
      </c>
      <c r="J26" s="192" t="s">
        <v>121</v>
      </c>
      <c r="K26" s="191" t="s">
        <v>122</v>
      </c>
      <c r="L26" s="190"/>
      <c r="M26" s="190"/>
      <c r="N26" s="190"/>
      <c r="O26" s="201"/>
      <c r="P26" s="202"/>
      <c r="Q26" s="203"/>
      <c r="R26" s="203"/>
      <c r="S26" s="203"/>
      <c r="T26" s="203"/>
      <c r="U26" s="203"/>
      <c r="V26" s="203"/>
    </row>
    <row r="27" spans="1:22" s="224" customFormat="1" ht="30" customHeight="1" x14ac:dyDescent="0.25">
      <c r="A27" s="197" t="str">
        <f>IF(C27="","",COUNT($C$21:D27)&amp;".")</f>
        <v/>
      </c>
      <c r="B27" s="198" t="str">
        <f t="shared" si="0"/>
        <v/>
      </c>
      <c r="C27" s="199"/>
      <c r="D27" s="200" t="str">
        <f>IF(C27="","",PROPER(DATA!$E$17)&amp;" "&amp;DATA!$G$17)</f>
        <v/>
      </c>
      <c r="E27" s="226" t="s">
        <v>183</v>
      </c>
      <c r="F27" s="208"/>
      <c r="G27" s="209"/>
      <c r="H27" s="210"/>
      <c r="I27" s="211" t="s">
        <v>224</v>
      </c>
      <c r="J27" s="192" t="s">
        <v>121</v>
      </c>
      <c r="K27" s="191" t="s">
        <v>122</v>
      </c>
      <c r="L27" s="190"/>
      <c r="M27" s="190"/>
      <c r="N27" s="190"/>
      <c r="O27" s="201"/>
      <c r="P27" s="222"/>
      <c r="Q27" s="223"/>
      <c r="R27" s="223"/>
      <c r="S27" s="223"/>
      <c r="T27" s="223"/>
      <c r="U27" s="223"/>
      <c r="V27" s="223"/>
    </row>
    <row r="28" spans="1:22" s="204" customFormat="1" ht="15" customHeight="1" x14ac:dyDescent="0.25">
      <c r="A28" s="197" t="str">
        <f>IF(C28="","",COUNT($C$21:D28)&amp;".")</f>
        <v>3.</v>
      </c>
      <c r="B28" s="198" t="str">
        <f t="shared" si="0"/>
        <v>Jumat</v>
      </c>
      <c r="C28" s="199">
        <v>3</v>
      </c>
      <c r="D28" s="200" t="str">
        <f>IF(C28="","",PROPER(DATA!$E$17)&amp;" "&amp;DATA!$G$17)</f>
        <v>Juli 2026</v>
      </c>
      <c r="E28" s="226" t="s">
        <v>189</v>
      </c>
      <c r="F28" s="208"/>
      <c r="G28" s="209"/>
      <c r="H28" s="210"/>
      <c r="I28" s="246" t="s">
        <v>225</v>
      </c>
      <c r="J28" s="192" t="s">
        <v>121</v>
      </c>
      <c r="K28" s="191" t="s">
        <v>122</v>
      </c>
      <c r="L28" s="190"/>
      <c r="M28" s="190"/>
      <c r="N28" s="190"/>
      <c r="O28" s="201"/>
      <c r="P28" s="202"/>
      <c r="Q28" s="203"/>
      <c r="R28" s="203"/>
      <c r="S28" s="203"/>
      <c r="T28" s="203"/>
      <c r="U28" s="203"/>
      <c r="V28" s="203"/>
    </row>
    <row r="29" spans="1:22" s="204" customFormat="1" ht="15" customHeight="1" x14ac:dyDescent="0.25">
      <c r="A29" s="197" t="str">
        <f>IF(C29="","",COUNT($C$21:D29)&amp;".")</f>
        <v>4.</v>
      </c>
      <c r="B29" s="198" t="str">
        <f t="shared" si="0"/>
        <v>Sabtu</v>
      </c>
      <c r="C29" s="199">
        <v>4</v>
      </c>
      <c r="D29" s="200" t="str">
        <f>IF(C29="","",PROPER(DATA!$E$17)&amp;" "&amp;DATA!$G$17)</f>
        <v>Juli 2026</v>
      </c>
      <c r="E29" s="226" t="s">
        <v>185</v>
      </c>
      <c r="F29" s="208"/>
      <c r="G29" s="209"/>
      <c r="H29" s="210"/>
      <c r="I29" s="220" t="s">
        <v>226</v>
      </c>
      <c r="J29" s="192" t="s">
        <v>121</v>
      </c>
      <c r="K29" s="189" t="s">
        <v>122</v>
      </c>
      <c r="L29" s="190"/>
      <c r="M29" s="190"/>
      <c r="N29" s="190"/>
      <c r="O29" s="201"/>
      <c r="P29" s="202"/>
      <c r="Q29" s="203"/>
      <c r="R29" s="203"/>
      <c r="S29" s="203"/>
      <c r="T29" s="203"/>
      <c r="U29" s="203"/>
      <c r="V29" s="203"/>
    </row>
    <row r="30" spans="1:22" s="204" customFormat="1" ht="15" customHeight="1" x14ac:dyDescent="0.25">
      <c r="A30" s="248" t="str">
        <f>IF(C30="","",COUNT($C$21:D30)&amp;".")</f>
        <v/>
      </c>
      <c r="B30" s="249" t="str">
        <f t="shared" si="0"/>
        <v/>
      </c>
      <c r="C30" s="250"/>
      <c r="D30" s="251" t="str">
        <f>IF(C30="","",PROPER(DATA!$E$17)&amp;" "&amp;DATA!$G$17)</f>
        <v/>
      </c>
      <c r="E30" s="227" t="s">
        <v>186</v>
      </c>
      <c r="F30" s="212"/>
      <c r="G30" s="213"/>
      <c r="H30" s="252"/>
      <c r="I30" s="245" t="s">
        <v>227</v>
      </c>
      <c r="J30" s="253" t="s">
        <v>121</v>
      </c>
      <c r="K30" s="254" t="s">
        <v>122</v>
      </c>
      <c r="L30" s="255"/>
      <c r="M30" s="255"/>
      <c r="N30" s="255"/>
      <c r="O30" s="256"/>
      <c r="P30" s="202"/>
      <c r="Q30" s="203"/>
      <c r="R30" s="203"/>
      <c r="S30" s="203"/>
      <c r="T30" s="203"/>
      <c r="U30" s="203"/>
      <c r="V30" s="203"/>
    </row>
    <row r="31" spans="1:22" s="204" customFormat="1" ht="15" customHeight="1" x14ac:dyDescent="0.25">
      <c r="A31" s="197" t="str">
        <f>IF(C31="","",COUNT($C$21:D31)&amp;".")</f>
        <v/>
      </c>
      <c r="B31" s="198" t="str">
        <f t="shared" si="0"/>
        <v/>
      </c>
      <c r="C31" s="199"/>
      <c r="D31" s="200" t="str">
        <f>IF(C31="","",PROPER(DATA!$E$17)&amp;" "&amp;DATA!$G$17)</f>
        <v/>
      </c>
      <c r="E31" s="226" t="s">
        <v>182</v>
      </c>
      <c r="F31" s="208"/>
      <c r="G31" s="209"/>
      <c r="H31" s="210"/>
      <c r="I31" s="245" t="s">
        <v>187</v>
      </c>
      <c r="J31" s="192" t="s">
        <v>121</v>
      </c>
      <c r="K31" s="189" t="s">
        <v>122</v>
      </c>
      <c r="L31" s="190"/>
      <c r="M31" s="190"/>
      <c r="N31" s="190"/>
      <c r="O31" s="201"/>
      <c r="P31" s="202"/>
      <c r="Q31" s="203"/>
      <c r="R31" s="203"/>
      <c r="S31" s="203"/>
      <c r="T31" s="203"/>
      <c r="U31" s="203"/>
      <c r="V31" s="203"/>
    </row>
    <row r="32" spans="1:22" s="204" customFormat="1" ht="30" customHeight="1" x14ac:dyDescent="0.25">
      <c r="A32" s="197" t="str">
        <f>IF(C32="","",COUNT($C$21:D32)&amp;".")</f>
        <v/>
      </c>
      <c r="B32" s="198" t="str">
        <f t="shared" si="0"/>
        <v/>
      </c>
      <c r="C32" s="199"/>
      <c r="D32" s="200" t="str">
        <f>IF(C32="","",PROPER(DATA!$E$17)&amp;" "&amp;DATA!$G$17)</f>
        <v/>
      </c>
      <c r="E32" s="226" t="s">
        <v>183</v>
      </c>
      <c r="F32" s="208"/>
      <c r="G32" s="209"/>
      <c r="H32" s="210"/>
      <c r="I32" s="231" t="s">
        <v>228</v>
      </c>
      <c r="J32" s="192" t="s">
        <v>121</v>
      </c>
      <c r="K32" s="189" t="s">
        <v>122</v>
      </c>
      <c r="L32" s="190"/>
      <c r="M32" s="190"/>
      <c r="N32" s="190"/>
      <c r="O32" s="201"/>
      <c r="P32" s="202"/>
      <c r="Q32" s="203"/>
      <c r="R32" s="203"/>
      <c r="S32" s="203"/>
      <c r="T32" s="203"/>
      <c r="U32" s="203"/>
      <c r="V32" s="203"/>
    </row>
    <row r="33" spans="1:22" s="204" customFormat="1" ht="30" customHeight="1" x14ac:dyDescent="0.25">
      <c r="A33" s="197" t="str">
        <f>IF(C33="","",COUNT($C$21:D33)&amp;".")</f>
        <v>5.</v>
      </c>
      <c r="B33" s="198" t="str">
        <f t="shared" si="0"/>
        <v>Senin</v>
      </c>
      <c r="C33" s="199">
        <v>6</v>
      </c>
      <c r="D33" s="200" t="str">
        <f>IF(C33="","",PROPER(DATA!$E$17)&amp;" "&amp;DATA!$G$17)</f>
        <v>Juli 2026</v>
      </c>
      <c r="E33" s="226" t="s">
        <v>197</v>
      </c>
      <c r="F33" s="208"/>
      <c r="G33" s="209"/>
      <c r="H33" s="210"/>
      <c r="I33" s="220" t="s">
        <v>213</v>
      </c>
      <c r="J33" s="192" t="s">
        <v>121</v>
      </c>
      <c r="K33" s="189" t="s">
        <v>122</v>
      </c>
      <c r="L33" s="190"/>
      <c r="M33" s="190"/>
      <c r="N33" s="190"/>
      <c r="O33" s="201"/>
      <c r="P33" s="202"/>
      <c r="Q33" s="203"/>
      <c r="R33" s="203"/>
      <c r="S33" s="203"/>
      <c r="T33" s="203"/>
      <c r="U33" s="203"/>
      <c r="V33" s="203"/>
    </row>
    <row r="34" spans="1:22" s="204" customFormat="1" ht="30" customHeight="1" x14ac:dyDescent="0.25">
      <c r="A34" s="197" t="str">
        <f>IF(C34="","",COUNT($C$21:D34)&amp;".")</f>
        <v/>
      </c>
      <c r="B34" s="198" t="str">
        <f t="shared" si="0"/>
        <v/>
      </c>
      <c r="C34" s="199"/>
      <c r="D34" s="200" t="str">
        <f>IF(C34="","",PROPER(DATA!$E$17)&amp;" "&amp;DATA!$G$17)</f>
        <v/>
      </c>
      <c r="E34" s="226" t="s">
        <v>186</v>
      </c>
      <c r="F34" s="208"/>
      <c r="G34" s="209"/>
      <c r="H34" s="210"/>
      <c r="I34" s="220" t="s">
        <v>220</v>
      </c>
      <c r="J34" s="192" t="s">
        <v>121</v>
      </c>
      <c r="K34" s="189" t="s">
        <v>122</v>
      </c>
      <c r="L34" s="190"/>
      <c r="M34" s="190"/>
      <c r="N34" s="190"/>
      <c r="O34" s="201"/>
      <c r="P34" s="202"/>
      <c r="Q34" s="203"/>
      <c r="R34" s="203"/>
      <c r="S34" s="203"/>
      <c r="T34" s="203"/>
      <c r="U34" s="203"/>
      <c r="V34" s="203"/>
    </row>
    <row r="35" spans="1:22" s="204" customFormat="1" ht="15" customHeight="1" x14ac:dyDescent="0.25">
      <c r="A35" s="197" t="str">
        <f>IF(C35="","",COUNT($C$21:D35)&amp;".")</f>
        <v/>
      </c>
      <c r="B35" s="198" t="str">
        <f t="shared" si="0"/>
        <v/>
      </c>
      <c r="C35" s="199"/>
      <c r="D35" s="200" t="str">
        <f>IF(C35="","",PROPER(DATA!$E$17)&amp;" "&amp;DATA!$G$17)</f>
        <v/>
      </c>
      <c r="E35" s="226" t="s">
        <v>182</v>
      </c>
      <c r="F35" s="208"/>
      <c r="G35" s="209"/>
      <c r="H35" s="210"/>
      <c r="I35" s="245" t="s">
        <v>187</v>
      </c>
      <c r="J35" s="192" t="s">
        <v>121</v>
      </c>
      <c r="K35" s="189" t="s">
        <v>122</v>
      </c>
      <c r="L35" s="190"/>
      <c r="M35" s="190"/>
      <c r="N35" s="190"/>
      <c r="O35" s="201"/>
      <c r="P35" s="202"/>
      <c r="Q35" s="203"/>
      <c r="R35" s="203"/>
      <c r="S35" s="203"/>
      <c r="T35" s="203"/>
      <c r="U35" s="203"/>
      <c r="V35" s="203"/>
    </row>
    <row r="36" spans="1:22" s="204" customFormat="1" ht="15" customHeight="1" x14ac:dyDescent="0.25">
      <c r="A36" s="197" t="str">
        <f>IF(C36="","",COUNT($C$21:D36)&amp;".")</f>
        <v/>
      </c>
      <c r="B36" s="198" t="str">
        <f t="shared" si="0"/>
        <v/>
      </c>
      <c r="C36" s="199"/>
      <c r="D36" s="200" t="str">
        <f>IF(C36="","",PROPER(DATA!$E$17)&amp;" "&amp;DATA!$G$17)</f>
        <v/>
      </c>
      <c r="E36" s="226" t="s">
        <v>183</v>
      </c>
      <c r="F36" s="208"/>
      <c r="G36" s="209"/>
      <c r="H36" s="210"/>
      <c r="I36" s="220" t="s">
        <v>214</v>
      </c>
      <c r="J36" s="192" t="s">
        <v>121</v>
      </c>
      <c r="K36" s="189" t="s">
        <v>122</v>
      </c>
      <c r="L36" s="190"/>
      <c r="M36" s="190"/>
      <c r="N36" s="190"/>
      <c r="O36" s="201"/>
      <c r="P36" s="202"/>
      <c r="Q36" s="203"/>
      <c r="R36" s="203"/>
      <c r="S36" s="203"/>
      <c r="T36" s="203"/>
      <c r="U36" s="203"/>
      <c r="V36" s="203"/>
    </row>
    <row r="37" spans="1:22" s="204" customFormat="1" ht="15.75" customHeight="1" x14ac:dyDescent="0.25">
      <c r="A37" s="197" t="str">
        <f>IF(C37="","",COUNT($C$21:D37)&amp;".")</f>
        <v>6.</v>
      </c>
      <c r="B37" s="198" t="str">
        <f t="shared" si="0"/>
        <v>Selasa</v>
      </c>
      <c r="C37" s="199">
        <v>7</v>
      </c>
      <c r="D37" s="200" t="str">
        <f>IF(C37="","",PROPER(DATA!$E$17)&amp;" "&amp;DATA!$G$17)</f>
        <v>Juli 2026</v>
      </c>
      <c r="E37" s="226" t="s">
        <v>185</v>
      </c>
      <c r="F37" s="208"/>
      <c r="G37" s="209"/>
      <c r="H37" s="210"/>
      <c r="I37" s="245" t="s">
        <v>190</v>
      </c>
      <c r="J37" s="192" t="s">
        <v>121</v>
      </c>
      <c r="K37" s="189" t="s">
        <v>122</v>
      </c>
      <c r="L37" s="190"/>
      <c r="M37" s="190"/>
      <c r="N37" s="190"/>
      <c r="O37" s="201"/>
      <c r="P37" s="202"/>
      <c r="Q37" s="203"/>
      <c r="R37" s="203"/>
      <c r="S37" s="203"/>
      <c r="T37" s="203"/>
      <c r="U37" s="203"/>
      <c r="V37" s="203"/>
    </row>
    <row r="38" spans="1:22" s="204" customFormat="1" ht="30" customHeight="1" x14ac:dyDescent="0.25">
      <c r="A38" s="197" t="str">
        <f>IF(C38="","",COUNT($C$21:D38)&amp;".")</f>
        <v/>
      </c>
      <c r="B38" s="198" t="str">
        <f t="shared" si="0"/>
        <v/>
      </c>
      <c r="C38" s="199"/>
      <c r="D38" s="200" t="str">
        <f>IF(C38="","",PROPER(DATA!$E$17)&amp;" "&amp;DATA!$G$17)</f>
        <v/>
      </c>
      <c r="E38" s="226" t="s">
        <v>186</v>
      </c>
      <c r="F38" s="208"/>
      <c r="G38" s="209"/>
      <c r="H38" s="210"/>
      <c r="I38" s="211" t="s">
        <v>221</v>
      </c>
      <c r="J38" s="192" t="s">
        <v>121</v>
      </c>
      <c r="K38" s="189" t="s">
        <v>122</v>
      </c>
      <c r="L38" s="190"/>
      <c r="M38" s="190"/>
      <c r="N38" s="190"/>
      <c r="O38" s="201"/>
      <c r="P38" s="202"/>
      <c r="Q38" s="203"/>
      <c r="R38" s="203"/>
      <c r="S38" s="203"/>
      <c r="T38" s="203"/>
      <c r="U38" s="203"/>
      <c r="V38" s="203"/>
    </row>
    <row r="39" spans="1:22" s="204" customFormat="1" ht="15" customHeight="1" x14ac:dyDescent="0.25">
      <c r="A39" s="197" t="str">
        <f>IF(C39="","",COUNT($C$21:D39)&amp;".")</f>
        <v/>
      </c>
      <c r="B39" s="198" t="str">
        <f t="shared" si="0"/>
        <v/>
      </c>
      <c r="C39" s="199"/>
      <c r="D39" s="200" t="str">
        <f>IF(C39="","",PROPER(DATA!$E$17)&amp;" "&amp;DATA!$G$17)</f>
        <v/>
      </c>
      <c r="E39" s="226" t="s">
        <v>182</v>
      </c>
      <c r="F39" s="208"/>
      <c r="G39" s="209"/>
      <c r="H39" s="210"/>
      <c r="I39" s="219" t="s">
        <v>187</v>
      </c>
      <c r="J39" s="192" t="s">
        <v>121</v>
      </c>
      <c r="K39" s="189" t="s">
        <v>122</v>
      </c>
      <c r="L39" s="190"/>
      <c r="M39" s="190"/>
      <c r="N39" s="190"/>
      <c r="O39" s="201"/>
      <c r="P39" s="202"/>
      <c r="Q39" s="203"/>
      <c r="R39" s="203"/>
      <c r="S39" s="203"/>
      <c r="T39" s="203"/>
      <c r="U39" s="203"/>
      <c r="V39" s="203"/>
    </row>
    <row r="40" spans="1:22" s="204" customFormat="1" ht="30" customHeight="1" x14ac:dyDescent="0.25">
      <c r="A40" s="197" t="str">
        <f>IF(C40="","",COUNT($C$21:D40)&amp;".")</f>
        <v/>
      </c>
      <c r="B40" s="198" t="str">
        <f t="shared" si="0"/>
        <v/>
      </c>
      <c r="C40" s="199"/>
      <c r="D40" s="200" t="str">
        <f>IF(C40="","",PROPER(DATA!$E$17)&amp;" "&amp;DATA!$G$17)</f>
        <v/>
      </c>
      <c r="E40" s="226" t="s">
        <v>183</v>
      </c>
      <c r="F40" s="208"/>
      <c r="G40" s="209"/>
      <c r="H40" s="210"/>
      <c r="I40" s="211" t="s">
        <v>215</v>
      </c>
      <c r="J40" s="192" t="s">
        <v>121</v>
      </c>
      <c r="K40" s="189" t="s">
        <v>122</v>
      </c>
      <c r="L40" s="190"/>
      <c r="M40" s="190"/>
      <c r="N40" s="190"/>
      <c r="O40" s="201"/>
      <c r="P40" s="202"/>
      <c r="Q40" s="203"/>
      <c r="R40" s="203"/>
      <c r="S40" s="203"/>
      <c r="T40" s="203"/>
      <c r="U40" s="203"/>
      <c r="V40" s="203"/>
    </row>
    <row r="41" spans="1:22" s="204" customFormat="1" ht="15.75" customHeight="1" x14ac:dyDescent="0.25">
      <c r="A41" s="197" t="str">
        <f>IF(C41="","",COUNT($C$21:D41)&amp;".")</f>
        <v>7.</v>
      </c>
      <c r="B41" s="198" t="str">
        <f t="shared" si="0"/>
        <v>Rabu</v>
      </c>
      <c r="C41" s="199">
        <v>8</v>
      </c>
      <c r="D41" s="200" t="str">
        <f>IF(C41="","",PROPER(DATA!$E$17)&amp;" "&amp;DATA!$G$17)</f>
        <v>Juli 2026</v>
      </c>
      <c r="E41" s="226" t="s">
        <v>191</v>
      </c>
      <c r="F41" s="208"/>
      <c r="G41" s="209"/>
      <c r="H41" s="210"/>
      <c r="I41" s="211" t="s">
        <v>216</v>
      </c>
      <c r="J41" s="192" t="s">
        <v>121</v>
      </c>
      <c r="K41" s="189" t="s">
        <v>122</v>
      </c>
      <c r="L41" s="190"/>
      <c r="M41" s="190"/>
      <c r="N41" s="190"/>
      <c r="O41" s="201"/>
      <c r="P41" s="202"/>
      <c r="Q41" s="203"/>
      <c r="R41" s="203"/>
      <c r="S41" s="203"/>
      <c r="T41" s="203"/>
      <c r="U41" s="203"/>
      <c r="V41" s="203"/>
    </row>
    <row r="42" spans="1:22" s="204" customFormat="1" ht="15" customHeight="1" x14ac:dyDescent="0.25">
      <c r="A42" s="197" t="str">
        <f>IF(C42="","",COUNT($C$21:D42)&amp;".")</f>
        <v/>
      </c>
      <c r="B42" s="198" t="str">
        <f t="shared" si="0"/>
        <v/>
      </c>
      <c r="C42" s="199"/>
      <c r="D42" s="200" t="str">
        <f>IF(C42="","",PROPER(DATA!$E$17)&amp;" "&amp;DATA!$G$17)</f>
        <v/>
      </c>
      <c r="E42" s="226" t="s">
        <v>192</v>
      </c>
      <c r="F42" s="208"/>
      <c r="G42" s="209"/>
      <c r="H42" s="210"/>
      <c r="I42" s="211" t="s">
        <v>217</v>
      </c>
      <c r="J42" s="192" t="s">
        <v>121</v>
      </c>
      <c r="K42" s="189" t="s">
        <v>122</v>
      </c>
      <c r="L42" s="190"/>
      <c r="M42" s="190"/>
      <c r="N42" s="190"/>
      <c r="O42" s="201"/>
      <c r="P42" s="202"/>
      <c r="Q42" s="203"/>
      <c r="R42" s="203"/>
      <c r="S42" s="203"/>
      <c r="T42" s="203"/>
      <c r="U42" s="203"/>
      <c r="V42" s="203"/>
    </row>
    <row r="43" spans="1:22" s="204" customFormat="1" ht="15" customHeight="1" x14ac:dyDescent="0.25">
      <c r="A43" s="197" t="str">
        <f>IF(C43="","",COUNT($C$21:D43)&amp;".")</f>
        <v/>
      </c>
      <c r="B43" s="198" t="str">
        <f t="shared" si="0"/>
        <v/>
      </c>
      <c r="C43" s="199"/>
      <c r="D43" s="200" t="str">
        <f>IF(C43="","",PROPER(DATA!$E$17)&amp;" "&amp;DATA!$G$17)</f>
        <v/>
      </c>
      <c r="E43" s="226" t="s">
        <v>182</v>
      </c>
      <c r="F43" s="208"/>
      <c r="G43" s="209"/>
      <c r="H43" s="210"/>
      <c r="I43" s="231" t="s">
        <v>187</v>
      </c>
      <c r="J43" s="192" t="s">
        <v>121</v>
      </c>
      <c r="K43" s="189" t="s">
        <v>122</v>
      </c>
      <c r="L43" s="190"/>
      <c r="M43" s="190"/>
      <c r="N43" s="190"/>
      <c r="O43" s="201"/>
      <c r="P43" s="202"/>
      <c r="Q43" s="203"/>
      <c r="R43" s="203"/>
      <c r="S43" s="203"/>
      <c r="T43" s="203"/>
      <c r="U43" s="203"/>
      <c r="V43" s="203"/>
    </row>
    <row r="44" spans="1:22" s="204" customFormat="1" ht="30" customHeight="1" x14ac:dyDescent="0.25">
      <c r="A44" s="197" t="str">
        <f>IF(C44="","",COUNT($C$21:D44)&amp;".")</f>
        <v/>
      </c>
      <c r="B44" s="198" t="str">
        <f t="shared" si="0"/>
        <v/>
      </c>
      <c r="C44" s="199"/>
      <c r="D44" s="200" t="str">
        <f>IF(C44="","",PROPER(DATA!$E$17)&amp;" "&amp;DATA!$G$17)</f>
        <v/>
      </c>
      <c r="E44" s="226" t="s">
        <v>183</v>
      </c>
      <c r="F44" s="212"/>
      <c r="G44" s="213"/>
      <c r="H44" s="210"/>
      <c r="I44" s="211" t="s">
        <v>222</v>
      </c>
      <c r="J44" s="192" t="s">
        <v>121</v>
      </c>
      <c r="K44" s="189" t="s">
        <v>122</v>
      </c>
      <c r="L44" s="190"/>
      <c r="M44" s="190"/>
      <c r="N44" s="190"/>
      <c r="O44" s="201"/>
      <c r="P44" s="202"/>
      <c r="Q44" s="203"/>
      <c r="R44" s="203"/>
      <c r="S44" s="203"/>
      <c r="T44" s="203"/>
      <c r="U44" s="203"/>
      <c r="V44" s="203"/>
    </row>
    <row r="45" spans="1:22" s="204" customFormat="1" ht="15" customHeight="1" x14ac:dyDescent="0.25">
      <c r="A45" s="197" t="str">
        <f>IF(C45="","",COUNT($C$21:D45)&amp;".")</f>
        <v>8.</v>
      </c>
      <c r="B45" s="198" t="str">
        <f t="shared" si="0"/>
        <v>Kamis</v>
      </c>
      <c r="C45" s="199">
        <v>9</v>
      </c>
      <c r="D45" s="200" t="str">
        <f>IF(C45="","",PROPER(DATA!$E$17)&amp;" "&amp;DATA!$G$17)</f>
        <v>Juli 2026</v>
      </c>
      <c r="E45" s="226" t="s">
        <v>185</v>
      </c>
      <c r="F45" s="208"/>
      <c r="G45" s="209"/>
      <c r="H45" s="210"/>
      <c r="I45" s="245" t="s">
        <v>194</v>
      </c>
      <c r="J45" s="192" t="s">
        <v>121</v>
      </c>
      <c r="K45" s="189" t="s">
        <v>122</v>
      </c>
      <c r="L45" s="190"/>
      <c r="M45" s="190"/>
      <c r="N45" s="190"/>
      <c r="O45" s="201"/>
      <c r="P45" s="202"/>
      <c r="Q45" s="203"/>
      <c r="R45" s="203"/>
      <c r="S45" s="203"/>
      <c r="T45" s="203"/>
      <c r="U45" s="203"/>
      <c r="V45" s="203"/>
    </row>
    <row r="46" spans="1:22" s="204" customFormat="1" ht="15" customHeight="1" x14ac:dyDescent="0.25">
      <c r="A46" s="197" t="str">
        <f>IF(C46="","",COUNT($C$21:D46)&amp;".")</f>
        <v/>
      </c>
      <c r="B46" s="198" t="str">
        <f t="shared" si="0"/>
        <v/>
      </c>
      <c r="C46" s="199"/>
      <c r="D46" s="200" t="str">
        <f>IF(C46="","",PROPER(DATA!$E$17)&amp;" "&amp;DATA!$G$17)</f>
        <v/>
      </c>
      <c r="E46" s="226" t="s">
        <v>186</v>
      </c>
      <c r="F46" s="208"/>
      <c r="G46" s="209"/>
      <c r="H46" s="210"/>
      <c r="I46" s="245" t="s">
        <v>193</v>
      </c>
      <c r="J46" s="192" t="s">
        <v>121</v>
      </c>
      <c r="K46" s="189" t="s">
        <v>122</v>
      </c>
      <c r="L46" s="190"/>
      <c r="M46" s="190"/>
      <c r="N46" s="190"/>
      <c r="O46" s="201"/>
      <c r="P46" s="202"/>
      <c r="Q46" s="203"/>
      <c r="R46" s="203"/>
      <c r="S46" s="203"/>
      <c r="T46" s="203"/>
      <c r="U46" s="203"/>
      <c r="V46" s="203"/>
    </row>
    <row r="47" spans="1:22" s="204" customFormat="1" ht="15" customHeight="1" x14ac:dyDescent="0.25">
      <c r="A47" s="197" t="str">
        <f>IF(C47="","",COUNT($C$21:D47)&amp;".")</f>
        <v/>
      </c>
      <c r="B47" s="198" t="str">
        <f t="shared" si="0"/>
        <v/>
      </c>
      <c r="C47" s="199"/>
      <c r="D47" s="200" t="str">
        <f>IF(C47="","",PROPER(DATA!$E$17)&amp;" "&amp;DATA!$G$17)</f>
        <v/>
      </c>
      <c r="E47" s="226" t="s">
        <v>182</v>
      </c>
      <c r="F47" s="208"/>
      <c r="G47" s="209"/>
      <c r="H47" s="210"/>
      <c r="I47" s="231" t="s">
        <v>187</v>
      </c>
      <c r="J47" s="192" t="s">
        <v>121</v>
      </c>
      <c r="K47" s="189" t="s">
        <v>122</v>
      </c>
      <c r="L47" s="190"/>
      <c r="M47" s="190"/>
      <c r="N47" s="190"/>
      <c r="O47" s="201"/>
      <c r="P47" s="202"/>
      <c r="Q47" s="203"/>
      <c r="R47" s="203"/>
      <c r="S47" s="203"/>
      <c r="T47" s="203"/>
      <c r="U47" s="203"/>
      <c r="V47" s="203"/>
    </row>
    <row r="48" spans="1:22" s="204" customFormat="1" ht="15" customHeight="1" x14ac:dyDescent="0.25">
      <c r="A48" s="197" t="str">
        <f>IF(C48="","",COUNT($C$21:D48)&amp;".")</f>
        <v/>
      </c>
      <c r="B48" s="198" t="str">
        <f t="shared" si="0"/>
        <v/>
      </c>
      <c r="C48" s="199"/>
      <c r="D48" s="200" t="str">
        <f>IF(C48="","",PROPER(DATA!$E$17)&amp;" "&amp;DATA!$G$17)</f>
        <v/>
      </c>
      <c r="E48" s="226" t="s">
        <v>183</v>
      </c>
      <c r="F48" s="208"/>
      <c r="G48" s="209"/>
      <c r="H48" s="210"/>
      <c r="I48" s="245" t="s">
        <v>193</v>
      </c>
      <c r="J48" s="192" t="s">
        <v>121</v>
      </c>
      <c r="K48" s="189" t="s">
        <v>122</v>
      </c>
      <c r="L48" s="190"/>
      <c r="M48" s="190"/>
      <c r="N48" s="190"/>
      <c r="O48" s="201"/>
      <c r="P48" s="202"/>
      <c r="Q48" s="203"/>
      <c r="R48" s="203"/>
      <c r="S48" s="203"/>
      <c r="T48" s="203"/>
      <c r="U48" s="203"/>
      <c r="V48" s="203"/>
    </row>
    <row r="49" spans="1:22" s="204" customFormat="1" ht="15" customHeight="1" x14ac:dyDescent="0.25">
      <c r="A49" s="197" t="str">
        <f>IF(C49="","",COUNT($C$21:D49)&amp;".")</f>
        <v>9.</v>
      </c>
      <c r="B49" s="198" t="str">
        <f t="shared" si="0"/>
        <v>Jumat</v>
      </c>
      <c r="C49" s="199">
        <v>10</v>
      </c>
      <c r="D49" s="200" t="str">
        <f>IF(C49="","",PROPER(DATA!$E$17)&amp;" "&amp;DATA!$G$17)</f>
        <v>Juli 2026</v>
      </c>
      <c r="E49" s="226" t="s">
        <v>191</v>
      </c>
      <c r="F49" s="208"/>
      <c r="G49" s="209"/>
      <c r="H49" s="210"/>
      <c r="I49" s="245" t="s">
        <v>195</v>
      </c>
      <c r="J49" s="192" t="s">
        <v>121</v>
      </c>
      <c r="K49" s="189" t="s">
        <v>122</v>
      </c>
      <c r="L49" s="190"/>
      <c r="M49" s="190"/>
      <c r="N49" s="190"/>
      <c r="O49" s="201"/>
      <c r="P49" s="202"/>
      <c r="Q49" s="203"/>
      <c r="R49" s="203"/>
      <c r="S49" s="203"/>
      <c r="T49" s="203"/>
      <c r="U49" s="203"/>
      <c r="V49" s="203"/>
    </row>
    <row r="50" spans="1:22" s="204" customFormat="1" ht="15" customHeight="1" x14ac:dyDescent="0.25">
      <c r="A50" s="197" t="str">
        <f>IF(C50="","",COUNT($C$21:D50)&amp;".")</f>
        <v/>
      </c>
      <c r="B50" s="198" t="str">
        <f t="shared" si="0"/>
        <v/>
      </c>
      <c r="C50" s="199"/>
      <c r="D50" s="200" t="str">
        <f>IF(C50="","",PROPER(DATA!$E$17)&amp;" "&amp;DATA!$G$17)</f>
        <v/>
      </c>
      <c r="E50" s="226" t="s">
        <v>192</v>
      </c>
      <c r="F50" s="208"/>
      <c r="G50" s="209"/>
      <c r="H50" s="210"/>
      <c r="I50" s="245" t="s">
        <v>196</v>
      </c>
      <c r="J50" s="192" t="s">
        <v>121</v>
      </c>
      <c r="K50" s="189" t="s">
        <v>122</v>
      </c>
      <c r="L50" s="190"/>
      <c r="M50" s="190"/>
      <c r="N50" s="190"/>
      <c r="O50" s="201"/>
      <c r="P50" s="202"/>
      <c r="Q50" s="203"/>
      <c r="R50" s="203"/>
      <c r="S50" s="203"/>
      <c r="T50" s="203"/>
      <c r="U50" s="203"/>
      <c r="V50" s="203"/>
    </row>
    <row r="51" spans="1:22" s="204" customFormat="1" ht="15" customHeight="1" x14ac:dyDescent="0.25">
      <c r="A51" s="197" t="str">
        <f>IF(C51="","",COUNT($C$21:D51)&amp;".")</f>
        <v>10.</v>
      </c>
      <c r="B51" s="198" t="str">
        <f t="shared" si="0"/>
        <v>Sabtu</v>
      </c>
      <c r="C51" s="199">
        <v>11</v>
      </c>
      <c r="D51" s="200" t="str">
        <f>IF(C51="","",PROPER(DATA!$E$17)&amp;" "&amp;DATA!$G$17)</f>
        <v>Juli 2026</v>
      </c>
      <c r="E51" s="226" t="s">
        <v>185</v>
      </c>
      <c r="F51" s="208"/>
      <c r="G51" s="209"/>
      <c r="H51" s="210"/>
      <c r="I51" s="245" t="s">
        <v>194</v>
      </c>
      <c r="J51" s="192" t="s">
        <v>121</v>
      </c>
      <c r="K51" s="189" t="s">
        <v>122</v>
      </c>
      <c r="L51" s="190"/>
      <c r="M51" s="190"/>
      <c r="N51" s="190"/>
      <c r="O51" s="201"/>
      <c r="P51" s="202"/>
      <c r="Q51" s="203"/>
      <c r="R51" s="203"/>
      <c r="S51" s="203"/>
      <c r="T51" s="203"/>
      <c r="U51" s="203"/>
      <c r="V51" s="203"/>
    </row>
    <row r="52" spans="1:22" s="204" customFormat="1" ht="15" customHeight="1" x14ac:dyDescent="0.25">
      <c r="A52" s="197" t="str">
        <f>IF(C52="","",COUNT($C$21:D52)&amp;".")</f>
        <v/>
      </c>
      <c r="B52" s="198" t="str">
        <f t="shared" si="0"/>
        <v/>
      </c>
      <c r="C52" s="199"/>
      <c r="D52" s="200" t="str">
        <f>IF(C52="","",PROPER(DATA!$E$17)&amp;" "&amp;DATA!$G$17)</f>
        <v/>
      </c>
      <c r="E52" s="226" t="s">
        <v>186</v>
      </c>
      <c r="F52" s="208"/>
      <c r="G52" s="209"/>
      <c r="H52" s="210"/>
      <c r="I52" s="245" t="s">
        <v>198</v>
      </c>
      <c r="J52" s="192" t="s">
        <v>121</v>
      </c>
      <c r="K52" s="189" t="s">
        <v>122</v>
      </c>
      <c r="L52" s="190"/>
      <c r="M52" s="190"/>
      <c r="N52" s="190"/>
      <c r="O52" s="201"/>
      <c r="P52" s="202"/>
      <c r="Q52" s="203"/>
      <c r="R52" s="203"/>
      <c r="S52" s="203"/>
      <c r="T52" s="203"/>
      <c r="U52" s="203"/>
      <c r="V52" s="203"/>
    </row>
    <row r="53" spans="1:22" s="204" customFormat="1" ht="15" customHeight="1" x14ac:dyDescent="0.25">
      <c r="A53" s="197" t="str">
        <f>IF(C53="","",COUNT($C$21:D53)&amp;".")</f>
        <v/>
      </c>
      <c r="B53" s="198" t="str">
        <f t="shared" si="0"/>
        <v/>
      </c>
      <c r="C53" s="199"/>
      <c r="D53" s="200" t="str">
        <f>IF(C53="","",PROPER(DATA!$E$17)&amp;" "&amp;DATA!$G$17)</f>
        <v/>
      </c>
      <c r="E53" s="226" t="s">
        <v>182</v>
      </c>
      <c r="F53" s="208"/>
      <c r="G53" s="209"/>
      <c r="H53" s="210"/>
      <c r="I53" s="231" t="s">
        <v>187</v>
      </c>
      <c r="J53" s="192" t="s">
        <v>121</v>
      </c>
      <c r="K53" s="189" t="s">
        <v>122</v>
      </c>
      <c r="L53" s="190"/>
      <c r="M53" s="190"/>
      <c r="N53" s="190"/>
      <c r="O53" s="201"/>
      <c r="P53" s="202"/>
      <c r="Q53" s="203"/>
      <c r="R53" s="203"/>
      <c r="S53" s="203"/>
      <c r="T53" s="203"/>
      <c r="U53" s="203"/>
      <c r="V53" s="203"/>
    </row>
    <row r="54" spans="1:22" s="204" customFormat="1" ht="15" customHeight="1" thickBot="1" x14ac:dyDescent="0.3">
      <c r="A54" s="197" t="str">
        <f>IF(C54="","",COUNT($C$21:D54)&amp;".")</f>
        <v/>
      </c>
      <c r="B54" s="198" t="str">
        <f t="shared" si="0"/>
        <v/>
      </c>
      <c r="C54" s="199"/>
      <c r="D54" s="200" t="str">
        <f>IF(C54="","",PROPER(DATA!$E$17)&amp;" "&amp;DATA!$G$17)</f>
        <v/>
      </c>
      <c r="E54" s="226" t="s">
        <v>183</v>
      </c>
      <c r="F54" s="208"/>
      <c r="G54" s="209"/>
      <c r="H54" s="210"/>
      <c r="I54" s="245" t="s">
        <v>198</v>
      </c>
      <c r="J54" s="192" t="s">
        <v>121</v>
      </c>
      <c r="K54" s="189" t="s">
        <v>122</v>
      </c>
      <c r="L54" s="190"/>
      <c r="M54" s="190"/>
      <c r="N54" s="190"/>
      <c r="O54" s="201"/>
      <c r="P54" s="202"/>
      <c r="Q54" s="203"/>
      <c r="R54" s="203"/>
      <c r="S54" s="203"/>
      <c r="T54" s="203"/>
      <c r="U54" s="203"/>
      <c r="V54" s="203"/>
    </row>
    <row r="55" spans="1:22" s="204" customFormat="1" ht="45" customHeight="1" thickTop="1" x14ac:dyDescent="0.25">
      <c r="A55" s="197" t="str">
        <f>IF(C55="","",COUNT($C$21:D55)&amp;".")</f>
        <v>11.</v>
      </c>
      <c r="B55" s="198" t="str">
        <f t="shared" si="0"/>
        <v>Senin</v>
      </c>
      <c r="C55" s="199">
        <v>13</v>
      </c>
      <c r="D55" s="200" t="str">
        <f>IF(C55="","",PROPER(DATA!$E$17)&amp;" "&amp;DATA!$G$17)</f>
        <v>Juli 2026</v>
      </c>
      <c r="E55" s="227" t="s">
        <v>200</v>
      </c>
      <c r="F55" s="208"/>
      <c r="G55" s="209"/>
      <c r="H55" s="210"/>
      <c r="I55" s="230" t="s">
        <v>204</v>
      </c>
      <c r="J55" s="192" t="s">
        <v>121</v>
      </c>
      <c r="K55" s="189" t="s">
        <v>122</v>
      </c>
      <c r="L55" s="190"/>
      <c r="M55" s="190"/>
      <c r="N55" s="190"/>
      <c r="O55" s="201"/>
      <c r="P55" s="202"/>
      <c r="Q55" s="203"/>
      <c r="R55" s="203"/>
      <c r="S55" s="203"/>
      <c r="T55" s="203"/>
      <c r="U55" s="203"/>
      <c r="V55" s="203"/>
    </row>
    <row r="56" spans="1:22" s="204" customFormat="1" ht="15" customHeight="1" x14ac:dyDescent="0.25">
      <c r="A56" s="197" t="str">
        <f>IF(C56="","",COUNT($C$21:D56)&amp;".")</f>
        <v/>
      </c>
      <c r="B56" s="198" t="str">
        <f t="shared" si="0"/>
        <v/>
      </c>
      <c r="C56" s="199"/>
      <c r="D56" s="200" t="str">
        <f>IF(C56="","",PROPER(DATA!$E$17)&amp;" "&amp;DATA!$G$17)</f>
        <v/>
      </c>
      <c r="E56" s="227" t="s">
        <v>201</v>
      </c>
      <c r="F56" s="208"/>
      <c r="G56" s="209"/>
      <c r="H56" s="210"/>
      <c r="I56" s="231" t="s">
        <v>187</v>
      </c>
      <c r="J56" s="192" t="s">
        <v>121</v>
      </c>
      <c r="K56" s="189" t="s">
        <v>122</v>
      </c>
      <c r="L56" s="190"/>
      <c r="M56" s="190"/>
      <c r="N56" s="190"/>
      <c r="O56" s="201"/>
      <c r="P56" s="202"/>
      <c r="Q56" s="203"/>
      <c r="R56" s="203"/>
      <c r="S56" s="203"/>
      <c r="T56" s="203"/>
      <c r="U56" s="203"/>
      <c r="V56" s="203"/>
    </row>
    <row r="57" spans="1:22" s="204" customFormat="1" ht="15" customHeight="1" x14ac:dyDescent="0.25">
      <c r="A57" s="197" t="str">
        <f>IF(C57="","",COUNT($C$21:D57)&amp;".")</f>
        <v/>
      </c>
      <c r="B57" s="198" t="str">
        <f t="shared" si="0"/>
        <v/>
      </c>
      <c r="C57" s="199"/>
      <c r="D57" s="200" t="str">
        <f>IF(C57="","",PROPER(DATA!$E$17)&amp;" "&amp;DATA!$G$17)</f>
        <v/>
      </c>
      <c r="E57" s="227" t="s">
        <v>202</v>
      </c>
      <c r="F57" s="208"/>
      <c r="G57" s="209"/>
      <c r="H57" s="210"/>
      <c r="I57" s="247" t="s">
        <v>205</v>
      </c>
      <c r="J57" s="192" t="s">
        <v>121</v>
      </c>
      <c r="K57" s="189" t="s">
        <v>122</v>
      </c>
      <c r="L57" s="190"/>
      <c r="M57" s="190"/>
      <c r="N57" s="190"/>
      <c r="O57" s="201"/>
      <c r="P57" s="202"/>
      <c r="Q57" s="203"/>
      <c r="R57" s="203"/>
      <c r="S57" s="203"/>
      <c r="T57" s="203"/>
      <c r="U57" s="203"/>
      <c r="V57" s="203"/>
    </row>
    <row r="58" spans="1:22" s="204" customFormat="1" ht="32.25" customHeight="1" x14ac:dyDescent="0.25">
      <c r="A58" s="197" t="str">
        <f>IF(C58="","",COUNT($C$21:D58)&amp;".")</f>
        <v>12.</v>
      </c>
      <c r="B58" s="198" t="str">
        <f t="shared" si="0"/>
        <v>Selasa</v>
      </c>
      <c r="C58" s="199">
        <v>14</v>
      </c>
      <c r="D58" s="200" t="str">
        <f>IF(C58="","",PROPER(DATA!$E$17)&amp;" "&amp;DATA!$G$17)</f>
        <v>Juli 2026</v>
      </c>
      <c r="E58" s="207" t="s">
        <v>189</v>
      </c>
      <c r="F58" s="208"/>
      <c r="G58" s="209"/>
      <c r="H58" s="210"/>
      <c r="I58" s="228" t="s">
        <v>206</v>
      </c>
      <c r="J58" s="192" t="s">
        <v>121</v>
      </c>
      <c r="K58" s="189" t="s">
        <v>122</v>
      </c>
      <c r="L58" s="190"/>
      <c r="M58" s="190"/>
      <c r="N58" s="190"/>
      <c r="O58" s="201"/>
      <c r="P58" s="202"/>
      <c r="Q58" s="203"/>
      <c r="R58" s="203"/>
      <c r="S58" s="203"/>
      <c r="T58" s="203"/>
      <c r="U58" s="203"/>
      <c r="V58" s="203"/>
    </row>
    <row r="59" spans="1:22" s="204" customFormat="1" ht="15" customHeight="1" x14ac:dyDescent="0.25">
      <c r="A59" s="197" t="str">
        <f>IF(C59="","",COUNT($C$21:D59)&amp;".")</f>
        <v/>
      </c>
      <c r="B59" s="198" t="str">
        <f t="shared" si="0"/>
        <v/>
      </c>
      <c r="C59" s="199"/>
      <c r="D59" s="200" t="str">
        <f>IF(C59="","",PROPER(DATA!$E$17)&amp;" "&amp;DATA!$G$17)</f>
        <v/>
      </c>
      <c r="E59" s="226" t="s">
        <v>182</v>
      </c>
      <c r="F59" s="208"/>
      <c r="G59" s="209"/>
      <c r="H59" s="210"/>
      <c r="I59" s="219" t="s">
        <v>187</v>
      </c>
      <c r="J59" s="192" t="s">
        <v>121</v>
      </c>
      <c r="K59" s="189" t="s">
        <v>122</v>
      </c>
      <c r="L59" s="190"/>
      <c r="M59" s="190"/>
      <c r="N59" s="190"/>
      <c r="O59" s="201"/>
      <c r="P59" s="202"/>
      <c r="Q59" s="203"/>
      <c r="R59" s="203"/>
      <c r="S59" s="203"/>
      <c r="T59" s="203"/>
      <c r="U59" s="203"/>
      <c r="V59" s="203"/>
    </row>
    <row r="60" spans="1:22" s="204" customFormat="1" ht="15" customHeight="1" x14ac:dyDescent="0.25">
      <c r="A60" s="197" t="str">
        <f>IF(C60="","",COUNT($C$21:D60)&amp;".")</f>
        <v/>
      </c>
      <c r="B60" s="198" t="str">
        <f t="shared" si="0"/>
        <v/>
      </c>
      <c r="C60" s="199"/>
      <c r="D60" s="200" t="str">
        <f>IF(C60="","",PROPER(DATA!$E$17)&amp;" "&amp;DATA!$G$17)</f>
        <v/>
      </c>
      <c r="E60" s="226" t="s">
        <v>183</v>
      </c>
      <c r="F60" s="208"/>
      <c r="G60" s="209"/>
      <c r="H60" s="210"/>
      <c r="I60" s="231" t="s">
        <v>207</v>
      </c>
      <c r="J60" s="192" t="s">
        <v>121</v>
      </c>
      <c r="K60" s="189" t="s">
        <v>122</v>
      </c>
      <c r="L60" s="190"/>
      <c r="M60" s="190"/>
      <c r="N60" s="190"/>
      <c r="O60" s="201"/>
      <c r="P60" s="202"/>
      <c r="Q60" s="203"/>
      <c r="R60" s="203"/>
      <c r="S60" s="203"/>
      <c r="T60" s="203"/>
      <c r="U60" s="203"/>
      <c r="V60" s="203"/>
    </row>
    <row r="61" spans="1:22" s="204" customFormat="1" ht="15" customHeight="1" x14ac:dyDescent="0.25">
      <c r="A61" s="197" t="str">
        <f>IF(C61="","",COUNT($C$21:D61)&amp;".")</f>
        <v>13.</v>
      </c>
      <c r="B61" s="198" t="str">
        <f t="shared" si="0"/>
        <v>Rabu</v>
      </c>
      <c r="C61" s="199">
        <v>15</v>
      </c>
      <c r="D61" s="200" t="str">
        <f>IF(C61="","",PROPER(DATA!$E$17)&amp;" "&amp;DATA!$G$17)</f>
        <v>Juli 2026</v>
      </c>
      <c r="E61" s="207" t="s">
        <v>189</v>
      </c>
      <c r="F61" s="208"/>
      <c r="G61" s="209"/>
      <c r="H61" s="210"/>
      <c r="I61" s="231" t="s">
        <v>208</v>
      </c>
      <c r="J61" s="192" t="s">
        <v>121</v>
      </c>
      <c r="K61" s="189" t="s">
        <v>122</v>
      </c>
      <c r="L61" s="190"/>
      <c r="M61" s="190"/>
      <c r="N61" s="190"/>
      <c r="O61" s="201"/>
      <c r="P61" s="202"/>
      <c r="Q61" s="203"/>
      <c r="R61" s="203"/>
      <c r="S61" s="203"/>
      <c r="T61" s="203"/>
      <c r="U61" s="203"/>
      <c r="V61" s="203"/>
    </row>
    <row r="62" spans="1:22" s="204" customFormat="1" ht="15" customHeight="1" x14ac:dyDescent="0.25">
      <c r="A62" s="197" t="str">
        <f>IF(C62="","",COUNT($C$21:D62)&amp;".")</f>
        <v/>
      </c>
      <c r="B62" s="198" t="str">
        <f t="shared" si="0"/>
        <v/>
      </c>
      <c r="C62" s="199"/>
      <c r="D62" s="200" t="str">
        <f>IF(C62="","",PROPER(DATA!$E$17)&amp;" "&amp;DATA!$G$17)</f>
        <v/>
      </c>
      <c r="E62" s="226" t="s">
        <v>182</v>
      </c>
      <c r="F62" s="208"/>
      <c r="G62" s="209"/>
      <c r="H62" s="210"/>
      <c r="I62" s="231" t="s">
        <v>187</v>
      </c>
      <c r="J62" s="192" t="s">
        <v>121</v>
      </c>
      <c r="K62" s="189" t="s">
        <v>122</v>
      </c>
      <c r="L62" s="190"/>
      <c r="M62" s="190"/>
      <c r="N62" s="190"/>
      <c r="O62" s="201"/>
      <c r="P62" s="202"/>
      <c r="Q62" s="203"/>
      <c r="R62" s="203"/>
      <c r="S62" s="203"/>
      <c r="T62" s="203"/>
      <c r="U62" s="203"/>
      <c r="V62" s="203"/>
    </row>
    <row r="63" spans="1:22" s="204" customFormat="1" ht="15" customHeight="1" x14ac:dyDescent="0.25">
      <c r="A63" s="197" t="str">
        <f>IF(C63="","",COUNT($C$21:D63)&amp;".")</f>
        <v/>
      </c>
      <c r="B63" s="198" t="str">
        <f t="shared" si="0"/>
        <v/>
      </c>
      <c r="C63" s="199"/>
      <c r="D63" s="200" t="str">
        <f>IF(C63="","",PROPER(DATA!$E$17)&amp;" "&amp;DATA!$G$17)</f>
        <v/>
      </c>
      <c r="E63" s="226" t="s">
        <v>210</v>
      </c>
      <c r="F63" s="208"/>
      <c r="G63" s="209"/>
      <c r="H63" s="210"/>
      <c r="I63" s="231" t="s">
        <v>209</v>
      </c>
      <c r="J63" s="192" t="s">
        <v>121</v>
      </c>
      <c r="K63" s="189" t="s">
        <v>122</v>
      </c>
      <c r="L63" s="190"/>
      <c r="M63" s="190"/>
      <c r="N63" s="190"/>
      <c r="O63" s="201"/>
      <c r="P63" s="202"/>
      <c r="Q63" s="203"/>
      <c r="R63" s="203"/>
      <c r="S63" s="203"/>
      <c r="T63" s="203"/>
      <c r="U63" s="203"/>
      <c r="V63" s="203"/>
    </row>
    <row r="64" spans="1:22" s="204" customFormat="1" ht="30" customHeight="1" x14ac:dyDescent="0.25">
      <c r="A64" s="197" t="str">
        <f>IF(C64="","",COUNT($C$21:D64)&amp;".")</f>
        <v/>
      </c>
      <c r="B64" s="198" t="str">
        <f t="shared" si="0"/>
        <v/>
      </c>
      <c r="C64" s="199"/>
      <c r="D64" s="200" t="str">
        <f>IF(C64="","",PROPER(DATA!$E$17)&amp;" "&amp;DATA!$G$17)</f>
        <v/>
      </c>
      <c r="E64" s="226" t="s">
        <v>211</v>
      </c>
      <c r="F64" s="208"/>
      <c r="G64" s="209"/>
      <c r="H64" s="210"/>
      <c r="I64" s="231" t="s">
        <v>212</v>
      </c>
      <c r="J64" s="192" t="s">
        <v>121</v>
      </c>
      <c r="K64" s="189" t="s">
        <v>122</v>
      </c>
      <c r="L64" s="190"/>
      <c r="M64" s="190"/>
      <c r="N64" s="190"/>
      <c r="O64" s="201"/>
      <c r="P64" s="202"/>
      <c r="Q64" s="203"/>
      <c r="R64" s="203"/>
      <c r="S64" s="203"/>
      <c r="T64" s="203"/>
      <c r="U64" s="203"/>
      <c r="V64" s="203"/>
    </row>
    <row r="65" spans="1:22" s="204" customFormat="1" ht="15" customHeight="1" x14ac:dyDescent="0.25">
      <c r="A65" s="197" t="str">
        <f>IF(C65="","",COUNT($C$21:D65)&amp;".")</f>
        <v>14.</v>
      </c>
      <c r="B65" s="198" t="str">
        <f t="shared" si="0"/>
        <v>Kamis</v>
      </c>
      <c r="C65" s="199">
        <v>16</v>
      </c>
      <c r="D65" s="200" t="str">
        <f>IF(C65="","",PROPER(DATA!$E$17)&amp;" "&amp;DATA!$G$17)</f>
        <v>Juli 2026</v>
      </c>
      <c r="E65" s="226" t="s">
        <v>191</v>
      </c>
      <c r="F65" s="208"/>
      <c r="G65" s="209"/>
      <c r="H65" s="210"/>
      <c r="I65" s="231" t="s">
        <v>229</v>
      </c>
      <c r="J65" s="192" t="s">
        <v>121</v>
      </c>
      <c r="K65" s="189" t="s">
        <v>122</v>
      </c>
      <c r="L65" s="190"/>
      <c r="M65" s="190"/>
      <c r="N65" s="190"/>
      <c r="O65" s="201"/>
      <c r="P65" s="202"/>
      <c r="Q65" s="203"/>
      <c r="R65" s="203"/>
      <c r="S65" s="203"/>
      <c r="T65" s="203"/>
      <c r="U65" s="203"/>
      <c r="V65" s="203"/>
    </row>
    <row r="66" spans="1:22" s="204" customFormat="1" ht="45" customHeight="1" x14ac:dyDescent="0.25">
      <c r="A66" s="197" t="str">
        <f>IF(C66="","",COUNT($C$21:D66)&amp;".")</f>
        <v/>
      </c>
      <c r="B66" s="198" t="str">
        <f t="shared" si="0"/>
        <v/>
      </c>
      <c r="C66" s="199"/>
      <c r="D66" s="200" t="str">
        <f>IF(C66="","",PROPER(DATA!$E$17)&amp;" "&amp;DATA!$G$17)</f>
        <v/>
      </c>
      <c r="E66" s="226" t="s">
        <v>192</v>
      </c>
      <c r="F66" s="208"/>
      <c r="G66" s="209"/>
      <c r="H66" s="210"/>
      <c r="I66" s="231" t="s">
        <v>230</v>
      </c>
      <c r="J66" s="192" t="s">
        <v>121</v>
      </c>
      <c r="K66" s="189" t="s">
        <v>122</v>
      </c>
      <c r="L66" s="190"/>
      <c r="M66" s="190"/>
      <c r="N66" s="190"/>
      <c r="O66" s="201"/>
      <c r="P66" s="202"/>
      <c r="Q66" s="203"/>
      <c r="R66" s="203"/>
      <c r="S66" s="203"/>
      <c r="T66" s="203"/>
      <c r="U66" s="203"/>
      <c r="V66" s="203"/>
    </row>
    <row r="67" spans="1:22" s="204" customFormat="1" ht="15" customHeight="1" x14ac:dyDescent="0.25">
      <c r="A67" s="197" t="str">
        <f>IF(C67="","",COUNT($C$21:D67)&amp;".")</f>
        <v/>
      </c>
      <c r="B67" s="198" t="str">
        <f t="shared" si="0"/>
        <v/>
      </c>
      <c r="C67" s="199"/>
      <c r="D67" s="200" t="str">
        <f>IF(C67="","",PROPER(DATA!$E$17)&amp;" "&amp;DATA!$G$17)</f>
        <v/>
      </c>
      <c r="E67" s="226" t="s">
        <v>182</v>
      </c>
      <c r="F67" s="208"/>
      <c r="G67" s="209"/>
      <c r="H67" s="210"/>
      <c r="I67" s="219" t="s">
        <v>187</v>
      </c>
      <c r="J67" s="192" t="s">
        <v>121</v>
      </c>
      <c r="K67" s="189" t="s">
        <v>122</v>
      </c>
      <c r="L67" s="190"/>
      <c r="M67" s="190"/>
      <c r="N67" s="190"/>
      <c r="O67" s="201"/>
      <c r="P67" s="202"/>
      <c r="Q67" s="203"/>
      <c r="R67" s="203"/>
      <c r="S67" s="203"/>
      <c r="T67" s="203"/>
      <c r="U67" s="203"/>
      <c r="V67" s="203"/>
    </row>
    <row r="68" spans="1:22" s="204" customFormat="1" ht="45" customHeight="1" x14ac:dyDescent="0.25">
      <c r="A68" s="197" t="str">
        <f>IF(C68="","",COUNT($C$21:D68)&amp;".")</f>
        <v/>
      </c>
      <c r="B68" s="198" t="str">
        <f t="shared" si="0"/>
        <v/>
      </c>
      <c r="C68" s="199"/>
      <c r="D68" s="200" t="str">
        <f>IF(C68="","",PROPER(DATA!$E$17)&amp;" "&amp;DATA!$G$17)</f>
        <v/>
      </c>
      <c r="E68" s="226" t="s">
        <v>183</v>
      </c>
      <c r="F68" s="208"/>
      <c r="G68" s="209"/>
      <c r="H68" s="210"/>
      <c r="I68" s="231" t="s">
        <v>231</v>
      </c>
      <c r="J68" s="192" t="s">
        <v>121</v>
      </c>
      <c r="K68" s="189" t="s">
        <v>122</v>
      </c>
      <c r="L68" s="190"/>
      <c r="M68" s="190"/>
      <c r="N68" s="190"/>
      <c r="O68" s="201"/>
      <c r="P68" s="202"/>
      <c r="Q68" s="203"/>
      <c r="R68" s="203"/>
      <c r="S68" s="203"/>
      <c r="T68" s="203"/>
      <c r="U68" s="203"/>
      <c r="V68" s="203"/>
    </row>
    <row r="69" spans="1:22" s="204" customFormat="1" ht="30" customHeight="1" x14ac:dyDescent="0.25">
      <c r="A69" s="197" t="str">
        <f>IF(C69="","",COUNT($C$21:D69)&amp;".")</f>
        <v>15.</v>
      </c>
      <c r="B69" s="198" t="str">
        <f t="shared" si="0"/>
        <v>Jumat</v>
      </c>
      <c r="C69" s="199">
        <v>17</v>
      </c>
      <c r="D69" s="200" t="str">
        <f>IF(C69="","",PROPER(DATA!$E$17)&amp;" "&amp;DATA!$G$17)</f>
        <v>Juli 2026</v>
      </c>
      <c r="E69" s="227" t="s">
        <v>189</v>
      </c>
      <c r="F69" s="208"/>
      <c r="G69" s="209"/>
      <c r="H69" s="210"/>
      <c r="I69" s="231" t="s">
        <v>233</v>
      </c>
      <c r="J69" s="192" t="s">
        <v>121</v>
      </c>
      <c r="K69" s="189" t="s">
        <v>122</v>
      </c>
      <c r="L69" s="190"/>
      <c r="M69" s="190"/>
      <c r="N69" s="190"/>
      <c r="O69" s="201"/>
      <c r="P69" s="202"/>
      <c r="Q69" s="203"/>
      <c r="R69" s="203"/>
      <c r="S69" s="203"/>
      <c r="T69" s="203"/>
      <c r="U69" s="203"/>
      <c r="V69" s="203"/>
    </row>
    <row r="70" spans="1:22" s="204" customFormat="1" ht="15" customHeight="1" x14ac:dyDescent="0.25">
      <c r="A70" s="197" t="str">
        <f>IF(C70="","",COUNT($C$21:D70)&amp;".")</f>
        <v/>
      </c>
      <c r="B70" s="198" t="str">
        <f t="shared" si="0"/>
        <v/>
      </c>
      <c r="C70" s="199"/>
      <c r="D70" s="200" t="str">
        <f>IF(C70="","",PROPER(DATA!$E$17)&amp;" "&amp;DATA!$G$17)</f>
        <v/>
      </c>
      <c r="E70" s="227" t="s">
        <v>182</v>
      </c>
      <c r="F70" s="208"/>
      <c r="G70" s="209"/>
      <c r="H70" s="210"/>
      <c r="I70" s="231" t="s">
        <v>187</v>
      </c>
      <c r="J70" s="192" t="s">
        <v>121</v>
      </c>
      <c r="K70" s="189" t="s">
        <v>122</v>
      </c>
      <c r="L70" s="190"/>
      <c r="M70" s="190"/>
      <c r="N70" s="190"/>
      <c r="O70" s="201"/>
      <c r="P70" s="202"/>
      <c r="Q70" s="203"/>
      <c r="R70" s="203"/>
      <c r="S70" s="203"/>
      <c r="T70" s="203"/>
      <c r="U70" s="203"/>
      <c r="V70" s="203"/>
    </row>
    <row r="71" spans="1:22" s="204" customFormat="1" ht="30" customHeight="1" x14ac:dyDescent="0.25">
      <c r="A71" s="197" t="str">
        <f>IF(C71="","",COUNT($C$21:D71)&amp;".")</f>
        <v/>
      </c>
      <c r="B71" s="198" t="str">
        <f t="shared" si="0"/>
        <v/>
      </c>
      <c r="C71" s="199"/>
      <c r="D71" s="200" t="str">
        <f>IF(C71="","",PROPER(DATA!$E$17)&amp;" "&amp;DATA!$G$17)</f>
        <v/>
      </c>
      <c r="E71" s="226"/>
      <c r="F71" s="208"/>
      <c r="G71" s="209"/>
      <c r="H71" s="210"/>
      <c r="I71" s="231" t="s">
        <v>232</v>
      </c>
      <c r="J71" s="192" t="s">
        <v>121</v>
      </c>
      <c r="K71" s="189" t="s">
        <v>122</v>
      </c>
      <c r="L71" s="190"/>
      <c r="M71" s="190"/>
      <c r="N71" s="190"/>
      <c r="O71" s="201"/>
      <c r="P71" s="202"/>
      <c r="Q71" s="203"/>
      <c r="R71" s="203"/>
      <c r="S71" s="203"/>
      <c r="T71" s="203"/>
      <c r="U71" s="203"/>
      <c r="V71" s="203"/>
    </row>
    <row r="72" spans="1:22" s="204" customFormat="1" ht="15" customHeight="1" x14ac:dyDescent="0.25">
      <c r="A72" s="197" t="str">
        <f>IF(C72="","",COUNT($C$21:D72)&amp;".")</f>
        <v>16.</v>
      </c>
      <c r="B72" s="198" t="str">
        <f t="shared" si="0"/>
        <v>Sabtu</v>
      </c>
      <c r="C72" s="199">
        <v>18</v>
      </c>
      <c r="D72" s="200" t="str">
        <f>IF(C72="","",PROPER(DATA!$E$17)&amp;" "&amp;DATA!$G$17)</f>
        <v>Juli 2026</v>
      </c>
      <c r="E72" s="226"/>
      <c r="F72" s="208"/>
      <c r="G72" s="209"/>
      <c r="H72" s="210"/>
      <c r="I72" s="231"/>
      <c r="J72" s="192" t="s">
        <v>121</v>
      </c>
      <c r="K72" s="189" t="s">
        <v>122</v>
      </c>
      <c r="L72" s="190"/>
      <c r="M72" s="190"/>
      <c r="N72" s="190"/>
      <c r="O72" s="201"/>
      <c r="P72" s="202"/>
      <c r="Q72" s="203"/>
      <c r="R72" s="203"/>
      <c r="S72" s="203"/>
      <c r="T72" s="203"/>
      <c r="U72" s="203"/>
      <c r="V72" s="203"/>
    </row>
    <row r="73" spans="1:22" s="204" customFormat="1" ht="15" customHeight="1" x14ac:dyDescent="0.25">
      <c r="A73" s="197" t="str">
        <f>IF(C73="","",COUNT($C$21:D73)&amp;".")</f>
        <v/>
      </c>
      <c r="B73" s="198" t="str">
        <f t="shared" si="0"/>
        <v/>
      </c>
      <c r="C73" s="199"/>
      <c r="D73" s="200" t="str">
        <f>IF(C73="","",PROPER(DATA!$E$17)&amp;" "&amp;DATA!$G$17)</f>
        <v/>
      </c>
      <c r="E73" s="226"/>
      <c r="F73" s="208"/>
      <c r="G73" s="209"/>
      <c r="H73" s="210"/>
      <c r="I73" s="211"/>
      <c r="J73" s="192" t="s">
        <v>121</v>
      </c>
      <c r="K73" s="189" t="s">
        <v>122</v>
      </c>
      <c r="L73" s="190"/>
      <c r="M73" s="190"/>
      <c r="N73" s="190"/>
      <c r="O73" s="201"/>
      <c r="P73" s="202"/>
      <c r="Q73" s="203"/>
      <c r="R73" s="203"/>
      <c r="S73" s="203"/>
      <c r="T73" s="203"/>
      <c r="U73" s="203"/>
      <c r="V73" s="203"/>
    </row>
    <row r="74" spans="1:22" s="204" customFormat="1" ht="15" customHeight="1" x14ac:dyDescent="0.25">
      <c r="A74" s="197" t="str">
        <f>IF(C74="","",COUNT($C$21:D74)&amp;".")</f>
        <v/>
      </c>
      <c r="B74" s="198" t="str">
        <f t="shared" si="0"/>
        <v/>
      </c>
      <c r="C74" s="199"/>
      <c r="D74" s="200" t="str">
        <f>IF(C74="","",PROPER(DATA!$E$17)&amp;" "&amp;DATA!$G$17)</f>
        <v/>
      </c>
      <c r="E74" s="226"/>
      <c r="F74" s="208"/>
      <c r="G74" s="209"/>
      <c r="H74" s="210"/>
      <c r="I74" s="211"/>
      <c r="J74" s="192" t="s">
        <v>121</v>
      </c>
      <c r="K74" s="189" t="s">
        <v>122</v>
      </c>
      <c r="L74" s="190"/>
      <c r="M74" s="190"/>
      <c r="N74" s="190"/>
      <c r="O74" s="201"/>
      <c r="P74" s="202"/>
      <c r="Q74" s="203"/>
      <c r="R74" s="203"/>
      <c r="S74" s="203"/>
      <c r="T74" s="203"/>
      <c r="U74" s="203"/>
      <c r="V74" s="203"/>
    </row>
    <row r="75" spans="1:22" s="204" customFormat="1" ht="15" customHeight="1" x14ac:dyDescent="0.25">
      <c r="A75" s="197" t="str">
        <f>IF(C75="","",COUNT($C$21:D75)&amp;".")</f>
        <v/>
      </c>
      <c r="B75" s="198" t="str">
        <f t="shared" si="0"/>
        <v/>
      </c>
      <c r="C75" s="199"/>
      <c r="D75" s="200" t="str">
        <f>IF(C75="","",PROPER(DATA!$E$17)&amp;" "&amp;DATA!$G$17)</f>
        <v/>
      </c>
      <c r="E75" s="227"/>
      <c r="F75" s="212"/>
      <c r="G75" s="213"/>
      <c r="H75" s="210"/>
      <c r="I75" s="211"/>
      <c r="J75" s="192" t="s">
        <v>121</v>
      </c>
      <c r="K75" s="189" t="s">
        <v>122</v>
      </c>
      <c r="L75" s="190"/>
      <c r="M75" s="190"/>
      <c r="N75" s="190"/>
      <c r="O75" s="201"/>
      <c r="P75" s="202"/>
      <c r="Q75" s="203"/>
      <c r="R75" s="203"/>
      <c r="S75" s="203"/>
      <c r="T75" s="203"/>
      <c r="U75" s="203"/>
      <c r="V75" s="203"/>
    </row>
    <row r="76" spans="1:22" s="204" customFormat="1" ht="15" customHeight="1" x14ac:dyDescent="0.25">
      <c r="A76" s="197" t="str">
        <f>IF(C76="","",COUNT($C$21:D76)&amp;".")</f>
        <v/>
      </c>
      <c r="B76" s="198" t="str">
        <f t="shared" si="0"/>
        <v/>
      </c>
      <c r="C76" s="199"/>
      <c r="D76" s="200" t="str">
        <f>IF(C76="","",PROPER(DATA!$E$17)&amp;" "&amp;DATA!$G$17)</f>
        <v/>
      </c>
      <c r="E76" s="226"/>
      <c r="F76" s="208"/>
      <c r="G76" s="209"/>
      <c r="H76" s="210"/>
      <c r="I76" s="231"/>
      <c r="J76" s="192" t="s">
        <v>121</v>
      </c>
      <c r="K76" s="189" t="s">
        <v>122</v>
      </c>
      <c r="L76" s="190"/>
      <c r="M76" s="190"/>
      <c r="N76" s="190"/>
      <c r="O76" s="201"/>
      <c r="P76" s="202"/>
      <c r="Q76" s="203"/>
      <c r="R76" s="203"/>
      <c r="S76" s="203"/>
      <c r="T76" s="203"/>
      <c r="U76" s="203"/>
      <c r="V76" s="203"/>
    </row>
    <row r="77" spans="1:22" s="204" customFormat="1" ht="15" customHeight="1" x14ac:dyDescent="0.25">
      <c r="A77" s="197" t="str">
        <f>IF(C77="","",COUNT($C$21:D77)&amp;".")</f>
        <v/>
      </c>
      <c r="B77" s="198" t="str">
        <f t="shared" si="0"/>
        <v/>
      </c>
      <c r="C77" s="199"/>
      <c r="D77" s="200" t="str">
        <f>IF(C77="","",PROPER(DATA!$E$17)&amp;" "&amp;DATA!$G$17)</f>
        <v/>
      </c>
      <c r="E77" s="226"/>
      <c r="F77" s="208"/>
      <c r="G77" s="209"/>
      <c r="H77" s="210"/>
      <c r="I77" s="231"/>
      <c r="J77" s="192" t="s">
        <v>121</v>
      </c>
      <c r="K77" s="189" t="s">
        <v>122</v>
      </c>
      <c r="L77" s="190"/>
      <c r="M77" s="190"/>
      <c r="N77" s="190"/>
      <c r="O77" s="201"/>
      <c r="P77" s="202"/>
      <c r="Q77" s="203"/>
      <c r="R77" s="203"/>
      <c r="S77" s="203"/>
      <c r="T77" s="203"/>
      <c r="U77" s="203"/>
      <c r="V77" s="203"/>
    </row>
    <row r="78" spans="1:22" s="204" customFormat="1" ht="15" customHeight="1" x14ac:dyDescent="0.25">
      <c r="A78" s="197" t="str">
        <f>IF(C78="","",COUNT($C$21:D78)&amp;".")</f>
        <v/>
      </c>
      <c r="B78" s="198" t="str">
        <f t="shared" si="0"/>
        <v/>
      </c>
      <c r="C78" s="199"/>
      <c r="D78" s="200" t="str">
        <f>IF(C78="","",PROPER(DATA!$E$17)&amp;" "&amp;DATA!$G$17)</f>
        <v/>
      </c>
      <c r="E78" s="226"/>
      <c r="F78" s="208"/>
      <c r="G78" s="209"/>
      <c r="H78" s="210"/>
      <c r="I78" s="231"/>
      <c r="J78" s="192" t="s">
        <v>121</v>
      </c>
      <c r="K78" s="189" t="s">
        <v>122</v>
      </c>
      <c r="L78" s="190"/>
      <c r="M78" s="190"/>
      <c r="N78" s="190"/>
      <c r="O78" s="201"/>
      <c r="P78" s="202"/>
      <c r="Q78" s="203"/>
      <c r="R78" s="203"/>
      <c r="S78" s="203"/>
      <c r="T78" s="203"/>
      <c r="U78" s="203"/>
      <c r="V78" s="203"/>
    </row>
    <row r="79" spans="1:22" s="204" customFormat="1" ht="29.25" customHeight="1" x14ac:dyDescent="0.25">
      <c r="A79" s="197" t="str">
        <f>IF(C79="","",COUNT($C$21:D79)&amp;".")</f>
        <v/>
      </c>
      <c r="B79" s="198" t="str">
        <f t="shared" si="0"/>
        <v/>
      </c>
      <c r="C79" s="199"/>
      <c r="D79" s="200" t="str">
        <f>IF(C79="","",PROPER(DATA!$E$17)&amp;" "&amp;DATA!$G$17)</f>
        <v/>
      </c>
      <c r="E79" s="226"/>
      <c r="F79" s="208"/>
      <c r="G79" s="209"/>
      <c r="H79" s="210"/>
      <c r="I79" s="231"/>
      <c r="J79" s="192" t="s">
        <v>121</v>
      </c>
      <c r="K79" s="189" t="s">
        <v>122</v>
      </c>
      <c r="L79" s="190"/>
      <c r="M79" s="190"/>
      <c r="N79" s="190"/>
      <c r="O79" s="201"/>
      <c r="P79" s="202"/>
      <c r="Q79" s="203"/>
      <c r="R79" s="203"/>
      <c r="S79" s="203"/>
      <c r="T79" s="203"/>
      <c r="U79" s="203"/>
      <c r="V79" s="203"/>
    </row>
    <row r="80" spans="1:22" s="204" customFormat="1" ht="29.25" customHeight="1" x14ac:dyDescent="0.25">
      <c r="A80" s="197" t="str">
        <f>IF(C80="","",COUNT($C$21:D80)&amp;".")</f>
        <v/>
      </c>
      <c r="B80" s="198" t="str">
        <f t="shared" si="0"/>
        <v/>
      </c>
      <c r="C80" s="199"/>
      <c r="D80" s="200" t="str">
        <f>IF(C80="","",PROPER(DATA!$E$17)&amp;" "&amp;DATA!$G$17)</f>
        <v/>
      </c>
      <c r="E80" s="226"/>
      <c r="F80" s="208"/>
      <c r="G80" s="209"/>
      <c r="H80" s="210"/>
      <c r="I80" s="231"/>
      <c r="J80" s="192" t="s">
        <v>121</v>
      </c>
      <c r="K80" s="189" t="s">
        <v>122</v>
      </c>
      <c r="L80" s="190"/>
      <c r="M80" s="190"/>
      <c r="N80" s="190"/>
      <c r="O80" s="201"/>
      <c r="P80" s="202"/>
      <c r="Q80" s="203"/>
      <c r="R80" s="203"/>
      <c r="S80" s="203"/>
      <c r="T80" s="203"/>
      <c r="U80" s="203"/>
      <c r="V80" s="203"/>
    </row>
    <row r="81" spans="1:22" s="204" customFormat="1" ht="15" customHeight="1" x14ac:dyDescent="0.25">
      <c r="A81" s="197" t="str">
        <f>IF(C81="","",COUNT($C$21:D81)&amp;".")</f>
        <v/>
      </c>
      <c r="B81" s="198" t="str">
        <f t="shared" si="0"/>
        <v/>
      </c>
      <c r="C81" s="199"/>
      <c r="D81" s="200" t="str">
        <f>IF(C81="","",PROPER(DATA!$E$17)&amp;" "&amp;DATA!$G$17)</f>
        <v/>
      </c>
      <c r="E81" s="226"/>
      <c r="F81" s="208"/>
      <c r="G81" s="209"/>
      <c r="H81" s="210"/>
      <c r="I81" s="219"/>
      <c r="J81" s="192" t="s">
        <v>121</v>
      </c>
      <c r="K81" s="189" t="s">
        <v>122</v>
      </c>
      <c r="L81" s="190"/>
      <c r="M81" s="190"/>
      <c r="N81" s="190"/>
      <c r="O81" s="201"/>
      <c r="P81" s="202"/>
      <c r="Q81" s="203"/>
      <c r="R81" s="203"/>
      <c r="S81" s="203"/>
      <c r="T81" s="203"/>
      <c r="U81" s="203"/>
      <c r="V81" s="203"/>
    </row>
    <row r="82" spans="1:22" s="204" customFormat="1" ht="30" customHeight="1" x14ac:dyDescent="0.25">
      <c r="A82" s="197" t="str">
        <f>IF(C82="","",COUNT($C$21:D82)&amp;".")</f>
        <v/>
      </c>
      <c r="B82" s="198" t="str">
        <f t="shared" si="0"/>
        <v/>
      </c>
      <c r="C82" s="199"/>
      <c r="D82" s="200" t="str">
        <f>IF(C82="","",PROPER(DATA!$E$17)&amp;" "&amp;DATA!$G$17)</f>
        <v/>
      </c>
      <c r="E82" s="226"/>
      <c r="F82" s="208"/>
      <c r="G82" s="209"/>
      <c r="H82" s="210"/>
      <c r="I82" s="231"/>
      <c r="J82" s="192" t="s">
        <v>121</v>
      </c>
      <c r="K82" s="189" t="s">
        <v>122</v>
      </c>
      <c r="L82" s="190"/>
      <c r="M82" s="190"/>
      <c r="N82" s="190"/>
      <c r="O82" s="201"/>
      <c r="P82" s="202"/>
      <c r="Q82" s="203"/>
      <c r="R82" s="203"/>
      <c r="S82" s="203"/>
      <c r="T82" s="203"/>
      <c r="U82" s="203"/>
      <c r="V82" s="203"/>
    </row>
    <row r="83" spans="1:22" s="204" customFormat="1" ht="15" customHeight="1" x14ac:dyDescent="0.25">
      <c r="A83" s="197" t="str">
        <f>IF(C83="","",COUNT($C$21:D83)&amp;".")</f>
        <v/>
      </c>
      <c r="B83" s="198" t="str">
        <f t="shared" si="0"/>
        <v/>
      </c>
      <c r="C83" s="199"/>
      <c r="D83" s="200" t="str">
        <f>IF(C83="","",PROPER(DATA!$E$17)&amp;" "&amp;DATA!$G$17)</f>
        <v/>
      </c>
      <c r="E83" s="226"/>
      <c r="F83" s="208"/>
      <c r="G83" s="209"/>
      <c r="H83" s="210"/>
      <c r="I83" s="211"/>
      <c r="J83" s="192" t="s">
        <v>121</v>
      </c>
      <c r="K83" s="189" t="s">
        <v>122</v>
      </c>
      <c r="L83" s="190"/>
      <c r="M83" s="190"/>
      <c r="N83" s="190"/>
      <c r="O83" s="201"/>
      <c r="P83" s="202"/>
      <c r="Q83" s="203"/>
      <c r="R83" s="203"/>
      <c r="S83" s="203"/>
      <c r="T83" s="203"/>
      <c r="U83" s="203"/>
      <c r="V83" s="203"/>
    </row>
    <row r="84" spans="1:22" s="204" customFormat="1" ht="15" customHeight="1" x14ac:dyDescent="0.25">
      <c r="A84" s="197" t="str">
        <f>IF(C84="","",COUNT($C$21:D84)&amp;".")</f>
        <v/>
      </c>
      <c r="B84" s="198" t="str">
        <f t="shared" si="0"/>
        <v/>
      </c>
      <c r="C84" s="199"/>
      <c r="D84" s="200" t="str">
        <f>IF(C84="","",PROPER(DATA!$E$17)&amp;" "&amp;DATA!$G$17)</f>
        <v/>
      </c>
      <c r="E84" s="226"/>
      <c r="F84" s="208"/>
      <c r="G84" s="209"/>
      <c r="H84" s="210"/>
      <c r="I84" s="231"/>
      <c r="J84" s="192" t="s">
        <v>121</v>
      </c>
      <c r="K84" s="189" t="s">
        <v>122</v>
      </c>
      <c r="L84" s="190"/>
      <c r="M84" s="190"/>
      <c r="N84" s="190"/>
      <c r="O84" s="201"/>
      <c r="P84" s="202"/>
      <c r="Q84" s="203"/>
      <c r="R84" s="203"/>
      <c r="S84" s="203"/>
      <c r="T84" s="203"/>
      <c r="U84" s="203"/>
      <c r="V84" s="203"/>
    </row>
    <row r="85" spans="1:22" s="204" customFormat="1" ht="15" customHeight="1" x14ac:dyDescent="0.25">
      <c r="A85" s="197" t="str">
        <f>IF(C85="","",COUNT($C$21:D85)&amp;".")</f>
        <v/>
      </c>
      <c r="B85" s="198" t="str">
        <f t="shared" si="0"/>
        <v/>
      </c>
      <c r="C85" s="199"/>
      <c r="D85" s="200" t="str">
        <f>IF(C85="","",PROPER(DATA!$E$17)&amp;" "&amp;DATA!$G$17)</f>
        <v/>
      </c>
      <c r="E85" s="226"/>
      <c r="F85" s="208"/>
      <c r="G85" s="209"/>
      <c r="H85" s="210"/>
      <c r="I85" s="211"/>
      <c r="J85" s="192" t="s">
        <v>121</v>
      </c>
      <c r="K85" s="189" t="s">
        <v>122</v>
      </c>
      <c r="L85" s="190"/>
      <c r="M85" s="190"/>
      <c r="N85" s="190"/>
      <c r="O85" s="201"/>
      <c r="P85" s="202"/>
      <c r="Q85" s="203"/>
      <c r="R85" s="203"/>
      <c r="S85" s="203"/>
      <c r="T85" s="203"/>
      <c r="U85" s="203"/>
      <c r="V85" s="203"/>
    </row>
    <row r="86" spans="1:22" s="204" customFormat="1" ht="15.75" customHeight="1" x14ac:dyDescent="0.25">
      <c r="A86" s="197" t="str">
        <f>IF(C86="","",COUNT($C$21:D86)&amp;".")</f>
        <v/>
      </c>
      <c r="B86" s="198" t="str">
        <f t="shared" ref="B86:B95" si="1">IF(C86="","",TEXT(C86&amp;D86,"dddd"))</f>
        <v/>
      </c>
      <c r="C86" s="199"/>
      <c r="D86" s="200" t="str">
        <f>IF(C86="","",PROPER(DATA!$E$17)&amp;" "&amp;DATA!$G$17)</f>
        <v/>
      </c>
      <c r="E86" s="226"/>
      <c r="F86" s="208"/>
      <c r="G86" s="209"/>
      <c r="H86" s="210"/>
      <c r="I86" s="211"/>
      <c r="J86" s="192" t="s">
        <v>121</v>
      </c>
      <c r="K86" s="189" t="s">
        <v>122</v>
      </c>
      <c r="L86" s="190"/>
      <c r="M86" s="190"/>
      <c r="N86" s="190"/>
      <c r="O86" s="201"/>
      <c r="P86" s="202"/>
      <c r="Q86" s="203"/>
      <c r="R86" s="203"/>
      <c r="S86" s="203"/>
      <c r="T86" s="203"/>
      <c r="U86" s="203"/>
      <c r="V86" s="203"/>
    </row>
    <row r="87" spans="1:22" s="204" customFormat="1" ht="13.5" customHeight="1" x14ac:dyDescent="0.25">
      <c r="A87" s="197" t="str">
        <f>IF(C87="","",COUNT($C$21:D87)&amp;".")</f>
        <v/>
      </c>
      <c r="B87" s="198" t="str">
        <f t="shared" si="1"/>
        <v/>
      </c>
      <c r="C87" s="199"/>
      <c r="D87" s="200" t="str">
        <f>IF(C87="","",PROPER(DATA!$E$17)&amp;" "&amp;DATA!$G$17)</f>
        <v/>
      </c>
      <c r="E87" s="226"/>
      <c r="F87" s="208"/>
      <c r="G87" s="209"/>
      <c r="H87" s="210"/>
      <c r="I87" s="231"/>
      <c r="J87" s="192" t="s">
        <v>121</v>
      </c>
      <c r="K87" s="189" t="s">
        <v>122</v>
      </c>
      <c r="L87" s="190"/>
      <c r="M87" s="190"/>
      <c r="N87" s="190"/>
      <c r="O87" s="201"/>
      <c r="P87" s="202"/>
      <c r="Q87" s="203"/>
      <c r="R87" s="203"/>
      <c r="S87" s="203"/>
      <c r="T87" s="203"/>
      <c r="U87" s="203"/>
      <c r="V87" s="203"/>
    </row>
    <row r="88" spans="1:22" s="204" customFormat="1" ht="16.5" customHeight="1" x14ac:dyDescent="0.25">
      <c r="A88" s="197" t="str">
        <f>IF(C88="","",COUNT($C$21:D88)&amp;".")</f>
        <v/>
      </c>
      <c r="B88" s="198" t="str">
        <f t="shared" si="1"/>
        <v/>
      </c>
      <c r="C88" s="199"/>
      <c r="D88" s="200" t="str">
        <f>IF(C88="","",PROPER(DATA!$E$17)&amp;" "&amp;DATA!$G$17)</f>
        <v/>
      </c>
      <c r="E88" s="226"/>
      <c r="F88" s="208"/>
      <c r="G88" s="209"/>
      <c r="H88" s="210"/>
      <c r="I88" s="219"/>
      <c r="J88" s="192" t="s">
        <v>121</v>
      </c>
      <c r="K88" s="189" t="s">
        <v>122</v>
      </c>
      <c r="L88" s="190"/>
      <c r="M88" s="190"/>
      <c r="N88" s="190"/>
      <c r="O88" s="201"/>
      <c r="P88" s="202"/>
      <c r="Q88" s="203"/>
      <c r="R88" s="203"/>
      <c r="S88" s="203"/>
      <c r="T88" s="203"/>
      <c r="U88" s="203"/>
      <c r="V88" s="203"/>
    </row>
    <row r="89" spans="1:22" s="204" customFormat="1" ht="15" customHeight="1" x14ac:dyDescent="0.25">
      <c r="A89" s="197" t="str">
        <f>IF(C89="","",COUNT($C$21:D89)&amp;".")</f>
        <v/>
      </c>
      <c r="B89" s="198" t="str">
        <f t="shared" si="1"/>
        <v/>
      </c>
      <c r="C89" s="199"/>
      <c r="D89" s="200" t="str">
        <f>IF(C89="","",PROPER(DATA!$E$17)&amp;" "&amp;DATA!$G$17)</f>
        <v/>
      </c>
      <c r="E89" s="226"/>
      <c r="F89" s="208"/>
      <c r="G89" s="209"/>
      <c r="H89" s="210"/>
      <c r="I89" s="231"/>
      <c r="J89" s="192" t="s">
        <v>121</v>
      </c>
      <c r="K89" s="189" t="s">
        <v>122</v>
      </c>
      <c r="L89" s="190"/>
      <c r="M89" s="190"/>
      <c r="N89" s="190"/>
      <c r="O89" s="201"/>
      <c r="P89" s="202"/>
      <c r="Q89" s="203"/>
      <c r="R89" s="203"/>
      <c r="S89" s="203"/>
      <c r="T89" s="203"/>
      <c r="U89" s="203"/>
      <c r="V89" s="203"/>
    </row>
    <row r="90" spans="1:22" s="204" customFormat="1" ht="15" customHeight="1" x14ac:dyDescent="0.25">
      <c r="A90" s="197" t="str">
        <f>IF(C90="","",COUNT($C$21:D90)&amp;".")</f>
        <v/>
      </c>
      <c r="B90" s="198" t="str">
        <f t="shared" si="1"/>
        <v/>
      </c>
      <c r="C90" s="199"/>
      <c r="D90" s="200" t="str">
        <f>IF(C90="","",PROPER(DATA!$E$17)&amp;" "&amp;DATA!$G$17)</f>
        <v/>
      </c>
      <c r="E90" s="226"/>
      <c r="F90" s="208"/>
      <c r="G90" s="209"/>
      <c r="H90" s="210"/>
      <c r="I90" s="211"/>
      <c r="J90" s="192" t="s">
        <v>121</v>
      </c>
      <c r="K90" s="189" t="s">
        <v>122</v>
      </c>
      <c r="L90" s="190"/>
      <c r="M90" s="190"/>
      <c r="N90" s="190"/>
      <c r="O90" s="201"/>
      <c r="P90" s="202"/>
      <c r="Q90" s="203"/>
      <c r="R90" s="203"/>
      <c r="S90" s="203"/>
      <c r="T90" s="203"/>
      <c r="U90" s="203"/>
      <c r="V90" s="203"/>
    </row>
    <row r="91" spans="1:22" s="204" customFormat="1" ht="15" customHeight="1" x14ac:dyDescent="0.25">
      <c r="A91" s="197" t="str">
        <f>IF(C91="","",COUNT($C$21:D91)&amp;".")</f>
        <v/>
      </c>
      <c r="B91" s="198" t="str">
        <f t="shared" si="1"/>
        <v/>
      </c>
      <c r="C91" s="199"/>
      <c r="D91" s="200" t="str">
        <f>IF(C91="","",PROPER(DATA!$E$17)&amp;" "&amp;DATA!$G$17)</f>
        <v/>
      </c>
      <c r="E91" s="226"/>
      <c r="F91" s="208"/>
      <c r="G91" s="209"/>
      <c r="H91" s="210"/>
      <c r="I91" s="211"/>
      <c r="J91" s="192" t="s">
        <v>121</v>
      </c>
      <c r="K91" s="189" t="s">
        <v>122</v>
      </c>
      <c r="L91" s="190"/>
      <c r="M91" s="190"/>
      <c r="N91" s="190"/>
      <c r="O91" s="201"/>
      <c r="P91" s="202"/>
      <c r="Q91" s="203"/>
      <c r="R91" s="203"/>
      <c r="S91" s="203"/>
      <c r="T91" s="203"/>
      <c r="U91" s="203"/>
      <c r="V91" s="203"/>
    </row>
    <row r="92" spans="1:22" s="204" customFormat="1" ht="15.75" customHeight="1" x14ac:dyDescent="0.25">
      <c r="A92" s="197" t="str">
        <f>IF(C92="","",COUNT($C$21:D92)&amp;".")</f>
        <v/>
      </c>
      <c r="B92" s="198" t="str">
        <f t="shared" si="1"/>
        <v/>
      </c>
      <c r="C92" s="199"/>
      <c r="D92" s="200" t="str">
        <f>IF(C92="","",PROPER(DATA!$E$17)&amp;" "&amp;DATA!$G$17)</f>
        <v/>
      </c>
      <c r="E92" s="226"/>
      <c r="F92" s="208"/>
      <c r="G92" s="209"/>
      <c r="H92" s="210"/>
      <c r="I92" s="211"/>
      <c r="J92" s="192" t="s">
        <v>121</v>
      </c>
      <c r="K92" s="189" t="s">
        <v>122</v>
      </c>
      <c r="L92" s="190"/>
      <c r="M92" s="190"/>
      <c r="N92" s="190"/>
      <c r="O92" s="201"/>
      <c r="P92" s="202"/>
      <c r="Q92" s="203"/>
      <c r="R92" s="203"/>
      <c r="S92" s="203"/>
      <c r="T92" s="203"/>
      <c r="U92" s="203"/>
      <c r="V92" s="203"/>
    </row>
    <row r="93" spans="1:22" s="204" customFormat="1" ht="15.75" customHeight="1" x14ac:dyDescent="0.25">
      <c r="A93" s="197" t="str">
        <f>IF(C93="","",COUNT($C$21:D93)&amp;".")</f>
        <v/>
      </c>
      <c r="B93" s="198" t="str">
        <f t="shared" si="1"/>
        <v/>
      </c>
      <c r="C93" s="199"/>
      <c r="D93" s="200" t="str">
        <f>IF(C93="","",PROPER(DATA!$E$17)&amp;" "&amp;DATA!$G$17)</f>
        <v/>
      </c>
      <c r="E93" s="207"/>
      <c r="F93" s="208"/>
      <c r="G93" s="209"/>
      <c r="H93" s="210"/>
      <c r="I93" s="231"/>
      <c r="J93" s="192" t="s">
        <v>121</v>
      </c>
      <c r="K93" s="189" t="s">
        <v>122</v>
      </c>
      <c r="L93" s="190"/>
      <c r="M93" s="190"/>
      <c r="N93" s="190"/>
      <c r="O93" s="201"/>
      <c r="P93" s="202"/>
      <c r="Q93" s="203"/>
      <c r="R93" s="203"/>
      <c r="S93" s="203"/>
      <c r="T93" s="203"/>
      <c r="U93" s="203"/>
      <c r="V93" s="203"/>
    </row>
    <row r="94" spans="1:22" s="204" customFormat="1" ht="15" customHeight="1" x14ac:dyDescent="0.25">
      <c r="A94" s="197" t="str">
        <f>IF(C94="","",COUNT($C$21:D94)&amp;".")</f>
        <v/>
      </c>
      <c r="B94" s="198" t="str">
        <f t="shared" si="1"/>
        <v/>
      </c>
      <c r="C94" s="199"/>
      <c r="D94" s="200" t="str">
        <f>IF(C94="","",PROPER(DATA!$E$17)&amp;" "&amp;DATA!$G$17)</f>
        <v/>
      </c>
      <c r="E94" s="226"/>
      <c r="F94" s="208"/>
      <c r="G94" s="209"/>
      <c r="H94" s="210"/>
      <c r="I94" s="231"/>
      <c r="J94" s="192" t="s">
        <v>121</v>
      </c>
      <c r="K94" s="189" t="s">
        <v>122</v>
      </c>
      <c r="L94" s="190"/>
      <c r="M94" s="190"/>
      <c r="N94" s="190"/>
      <c r="O94" s="201"/>
      <c r="P94" s="202"/>
      <c r="Q94" s="203"/>
      <c r="R94" s="203"/>
      <c r="S94" s="203"/>
      <c r="T94" s="203"/>
      <c r="U94" s="203"/>
      <c r="V94" s="203"/>
    </row>
    <row r="95" spans="1:22" s="204" customFormat="1" ht="15" customHeight="1" x14ac:dyDescent="0.25">
      <c r="A95" s="197" t="str">
        <f>IF(C95="","",COUNT($C$21:D95)&amp;".")</f>
        <v/>
      </c>
      <c r="B95" s="198" t="str">
        <f t="shared" si="1"/>
        <v/>
      </c>
      <c r="C95" s="199"/>
      <c r="D95" s="200" t="str">
        <f>IF(C95="","",PROPER(DATA!$E$17)&amp;" "&amp;DATA!$G$17)</f>
        <v/>
      </c>
      <c r="E95" s="226"/>
      <c r="F95" s="208"/>
      <c r="G95" s="209"/>
      <c r="H95" s="210"/>
      <c r="I95" s="231"/>
      <c r="J95" s="192" t="s">
        <v>121</v>
      </c>
      <c r="K95" s="189" t="s">
        <v>122</v>
      </c>
      <c r="L95" s="190"/>
      <c r="M95" s="190"/>
      <c r="N95" s="190"/>
      <c r="O95" s="201"/>
      <c r="P95" s="202"/>
      <c r="Q95" s="203"/>
      <c r="R95" s="203"/>
      <c r="S95" s="203"/>
      <c r="T95" s="203"/>
      <c r="U95" s="203"/>
      <c r="V95" s="203"/>
    </row>
    <row r="96" spans="1:22" s="204" customFormat="1" ht="15" customHeight="1" x14ac:dyDescent="0.25">
      <c r="A96" s="197" t="str">
        <f>IF(C96="","",COUNT($C$21:D96)&amp;".")</f>
        <v/>
      </c>
      <c r="B96" s="198" t="str">
        <f t="shared" ref="B96:B124" si="2">IF(C96="","",TEXT(C96&amp;D96,"dddd"))</f>
        <v/>
      </c>
      <c r="C96" s="199"/>
      <c r="D96" s="200" t="str">
        <f>IF(C96="","",PROPER(DATA!$E$17)&amp;" "&amp;DATA!$G$17)</f>
        <v/>
      </c>
      <c r="E96" s="226"/>
      <c r="F96" s="208"/>
      <c r="G96" s="209"/>
      <c r="H96" s="210"/>
      <c r="I96" s="231"/>
      <c r="J96" s="192" t="s">
        <v>121</v>
      </c>
      <c r="K96" s="189" t="s">
        <v>122</v>
      </c>
      <c r="L96" s="190"/>
      <c r="M96" s="190"/>
      <c r="N96" s="190"/>
      <c r="O96" s="201"/>
      <c r="P96" s="202"/>
      <c r="Q96" s="203"/>
      <c r="R96" s="203"/>
      <c r="S96" s="203"/>
      <c r="T96" s="203"/>
      <c r="U96" s="203"/>
      <c r="V96" s="203"/>
    </row>
    <row r="97" spans="1:22" s="204" customFormat="1" ht="15" customHeight="1" x14ac:dyDescent="0.25">
      <c r="A97" s="197" t="str">
        <f>IF(C97="","",COUNT($C$21:D97)&amp;".")</f>
        <v/>
      </c>
      <c r="B97" s="198" t="str">
        <f t="shared" si="2"/>
        <v/>
      </c>
      <c r="C97" s="199"/>
      <c r="D97" s="200" t="str">
        <f>IF(C97="","",PROPER(DATA!$E$17)&amp;" "&amp;DATA!$G$17)</f>
        <v/>
      </c>
      <c r="E97" s="226"/>
      <c r="F97" s="208"/>
      <c r="G97" s="209"/>
      <c r="H97" s="210"/>
      <c r="I97" s="231"/>
      <c r="J97" s="192" t="s">
        <v>121</v>
      </c>
      <c r="K97" s="189" t="s">
        <v>122</v>
      </c>
      <c r="L97" s="190"/>
      <c r="M97" s="190"/>
      <c r="N97" s="190"/>
      <c r="O97" s="201"/>
      <c r="P97" s="202"/>
      <c r="Q97" s="203"/>
      <c r="R97" s="203"/>
      <c r="S97" s="203"/>
      <c r="T97" s="203"/>
      <c r="U97" s="203"/>
      <c r="V97" s="203"/>
    </row>
    <row r="98" spans="1:22" s="204" customFormat="1" ht="15" customHeight="1" x14ac:dyDescent="0.25">
      <c r="A98" s="197" t="str">
        <f>IF(C98="","",COUNT($C$21:D98)&amp;".")</f>
        <v/>
      </c>
      <c r="B98" s="198" t="str">
        <f t="shared" si="2"/>
        <v/>
      </c>
      <c r="C98" s="199"/>
      <c r="D98" s="200" t="str">
        <f>IF(C98="","",PROPER(DATA!$E$17)&amp;" "&amp;DATA!$G$17)</f>
        <v/>
      </c>
      <c r="E98" s="226"/>
      <c r="F98" s="208"/>
      <c r="G98" s="209"/>
      <c r="H98" s="210"/>
      <c r="I98" s="231"/>
      <c r="J98" s="192" t="s">
        <v>121</v>
      </c>
      <c r="K98" s="189" t="s">
        <v>122</v>
      </c>
      <c r="L98" s="190"/>
      <c r="M98" s="190"/>
      <c r="N98" s="190"/>
      <c r="O98" s="201"/>
      <c r="P98" s="202"/>
      <c r="Q98" s="203"/>
      <c r="R98" s="203"/>
      <c r="S98" s="203"/>
      <c r="T98" s="203"/>
      <c r="U98" s="203"/>
      <c r="V98" s="203"/>
    </row>
    <row r="99" spans="1:22" s="204" customFormat="1" ht="15" customHeight="1" x14ac:dyDescent="0.25">
      <c r="A99" s="197" t="str">
        <f>IF(C99="","",COUNT($C$21:D99)&amp;".")</f>
        <v/>
      </c>
      <c r="B99" s="198" t="str">
        <f t="shared" si="2"/>
        <v/>
      </c>
      <c r="C99" s="199"/>
      <c r="D99" s="200" t="str">
        <f>IF(C99="","",PROPER(DATA!$E$17)&amp;" "&amp;DATA!$G$17)</f>
        <v/>
      </c>
      <c r="E99" s="226"/>
      <c r="F99" s="208"/>
      <c r="G99" s="209"/>
      <c r="H99" s="210"/>
      <c r="I99" s="231"/>
      <c r="J99" s="192" t="s">
        <v>121</v>
      </c>
      <c r="K99" s="189" t="s">
        <v>122</v>
      </c>
      <c r="L99" s="190"/>
      <c r="M99" s="190"/>
      <c r="N99" s="190"/>
      <c r="O99" s="201"/>
      <c r="P99" s="202"/>
      <c r="Q99" s="203"/>
      <c r="R99" s="203"/>
      <c r="S99" s="203"/>
      <c r="T99" s="203"/>
      <c r="U99" s="203"/>
      <c r="V99" s="203"/>
    </row>
    <row r="100" spans="1:22" s="204" customFormat="1" ht="15" customHeight="1" x14ac:dyDescent="0.25">
      <c r="A100" s="197" t="str">
        <f>IF(C100="","",COUNT($C$21:D100)&amp;".")</f>
        <v/>
      </c>
      <c r="B100" s="198" t="str">
        <f t="shared" si="2"/>
        <v/>
      </c>
      <c r="C100" s="199"/>
      <c r="D100" s="200" t="str">
        <f>IF(C100="","",PROPER(DATA!$E$17)&amp;" "&amp;DATA!$G$17)</f>
        <v/>
      </c>
      <c r="E100" s="226"/>
      <c r="F100" s="208"/>
      <c r="G100" s="209"/>
      <c r="H100" s="210"/>
      <c r="I100" s="231"/>
      <c r="J100" s="192" t="s">
        <v>121</v>
      </c>
      <c r="K100" s="189" t="s">
        <v>122</v>
      </c>
      <c r="L100" s="190"/>
      <c r="M100" s="190"/>
      <c r="N100" s="190"/>
      <c r="O100" s="201"/>
      <c r="P100" s="202"/>
      <c r="Q100" s="203"/>
      <c r="R100" s="203"/>
      <c r="S100" s="203"/>
      <c r="T100" s="203"/>
      <c r="U100" s="203"/>
      <c r="V100" s="203"/>
    </row>
    <row r="101" spans="1:22" s="204" customFormat="1" ht="15" customHeight="1" x14ac:dyDescent="0.25">
      <c r="A101" s="197" t="str">
        <f>IF(C101="","",COUNT($C$21:D101)&amp;".")</f>
        <v/>
      </c>
      <c r="B101" s="198" t="str">
        <f t="shared" si="2"/>
        <v/>
      </c>
      <c r="C101" s="199"/>
      <c r="D101" s="200" t="str">
        <f>IF(C101="","",PROPER(DATA!$E$17)&amp;" "&amp;DATA!$G$17)</f>
        <v/>
      </c>
      <c r="E101" s="226"/>
      <c r="F101" s="208"/>
      <c r="G101" s="209"/>
      <c r="H101" s="210"/>
      <c r="I101" s="231"/>
      <c r="J101" s="192" t="s">
        <v>121</v>
      </c>
      <c r="K101" s="189" t="s">
        <v>122</v>
      </c>
      <c r="L101" s="190"/>
      <c r="M101" s="190"/>
      <c r="N101" s="190"/>
      <c r="O101" s="201"/>
      <c r="P101" s="202"/>
      <c r="Q101" s="203"/>
      <c r="R101" s="203"/>
      <c r="S101" s="203"/>
      <c r="T101" s="203"/>
      <c r="U101" s="203"/>
      <c r="V101" s="203"/>
    </row>
    <row r="102" spans="1:22" s="204" customFormat="1" ht="15" customHeight="1" x14ac:dyDescent="0.25">
      <c r="A102" s="197" t="str">
        <f>IF(C102="","",COUNT($C$21:D102)&amp;".")</f>
        <v/>
      </c>
      <c r="B102" s="198" t="str">
        <f t="shared" si="2"/>
        <v/>
      </c>
      <c r="C102" s="199"/>
      <c r="D102" s="200" t="str">
        <f>IF(C102="","",PROPER(DATA!$E$17)&amp;" "&amp;DATA!$G$17)</f>
        <v/>
      </c>
      <c r="E102" s="226"/>
      <c r="F102" s="208"/>
      <c r="G102" s="209"/>
      <c r="H102" s="210"/>
      <c r="I102" s="231"/>
      <c r="J102" s="192" t="s">
        <v>121</v>
      </c>
      <c r="K102" s="189" t="s">
        <v>122</v>
      </c>
      <c r="L102" s="190"/>
      <c r="M102" s="190"/>
      <c r="N102" s="190"/>
      <c r="O102" s="201"/>
      <c r="P102" s="202"/>
      <c r="Q102" s="203"/>
      <c r="R102" s="203"/>
      <c r="S102" s="203"/>
      <c r="T102" s="203"/>
      <c r="U102" s="203"/>
      <c r="V102" s="203"/>
    </row>
    <row r="103" spans="1:22" s="204" customFormat="1" ht="15" customHeight="1" x14ac:dyDescent="0.25">
      <c r="A103" s="197" t="str">
        <f>IF(C103="","",COUNT($C$21:D103)&amp;".")</f>
        <v/>
      </c>
      <c r="B103" s="198" t="str">
        <f t="shared" si="2"/>
        <v/>
      </c>
      <c r="C103" s="199"/>
      <c r="D103" s="200" t="str">
        <f>IF(C103="","",PROPER(DATA!$E$17)&amp;" "&amp;DATA!$G$17)</f>
        <v/>
      </c>
      <c r="E103" s="226"/>
      <c r="F103" s="208"/>
      <c r="G103" s="209"/>
      <c r="H103" s="210"/>
      <c r="I103" s="231"/>
      <c r="J103" s="192" t="s">
        <v>121</v>
      </c>
      <c r="K103" s="189" t="s">
        <v>122</v>
      </c>
      <c r="L103" s="190"/>
      <c r="M103" s="190"/>
      <c r="N103" s="190"/>
      <c r="O103" s="201"/>
      <c r="P103" s="202"/>
      <c r="Q103" s="203"/>
      <c r="R103" s="203"/>
      <c r="S103" s="203"/>
      <c r="T103" s="203"/>
      <c r="U103" s="203"/>
      <c r="V103" s="203"/>
    </row>
    <row r="104" spans="1:22" s="204" customFormat="1" ht="15" customHeight="1" x14ac:dyDescent="0.25">
      <c r="A104" s="197" t="str">
        <f>IF(C104="","",COUNT($C$21:D104)&amp;".")</f>
        <v/>
      </c>
      <c r="B104" s="198" t="str">
        <f t="shared" si="2"/>
        <v/>
      </c>
      <c r="C104" s="199"/>
      <c r="D104" s="200" t="str">
        <f>IF(C104="","",PROPER(DATA!$E$17)&amp;" "&amp;DATA!$G$17)</f>
        <v/>
      </c>
      <c r="E104" s="226"/>
      <c r="F104" s="208"/>
      <c r="G104" s="209"/>
      <c r="H104" s="210"/>
      <c r="I104" s="231"/>
      <c r="J104" s="192" t="s">
        <v>121</v>
      </c>
      <c r="K104" s="189" t="s">
        <v>122</v>
      </c>
      <c r="L104" s="190"/>
      <c r="M104" s="190"/>
      <c r="N104" s="190"/>
      <c r="O104" s="201"/>
      <c r="P104" s="202"/>
      <c r="Q104" s="203"/>
      <c r="R104" s="203"/>
      <c r="S104" s="203"/>
      <c r="T104" s="203"/>
      <c r="U104" s="203"/>
      <c r="V104" s="203"/>
    </row>
    <row r="105" spans="1:22" s="204" customFormat="1" ht="15" customHeight="1" x14ac:dyDescent="0.25">
      <c r="A105" s="197" t="str">
        <f>IF(C105="","",COUNT($C$21:D105)&amp;".")</f>
        <v/>
      </c>
      <c r="B105" s="198" t="str">
        <f t="shared" si="2"/>
        <v/>
      </c>
      <c r="C105" s="199"/>
      <c r="D105" s="200" t="str">
        <f>IF(C105="","",PROPER(DATA!$E$17)&amp;" "&amp;DATA!$G$17)</f>
        <v/>
      </c>
      <c r="E105" s="226"/>
      <c r="F105" s="208"/>
      <c r="G105" s="209"/>
      <c r="H105" s="210"/>
      <c r="I105" s="231"/>
      <c r="J105" s="192" t="s">
        <v>121</v>
      </c>
      <c r="K105" s="189" t="s">
        <v>122</v>
      </c>
      <c r="L105" s="190"/>
      <c r="M105" s="190"/>
      <c r="N105" s="190"/>
      <c r="O105" s="201"/>
      <c r="P105" s="202"/>
      <c r="Q105" s="203"/>
      <c r="R105" s="203"/>
      <c r="S105" s="203"/>
      <c r="T105" s="203"/>
      <c r="U105" s="203"/>
      <c r="V105" s="203"/>
    </row>
    <row r="106" spans="1:22" s="204" customFormat="1" ht="15" customHeight="1" x14ac:dyDescent="0.25">
      <c r="A106" s="197" t="str">
        <f>IF(C106="","",COUNT($C$21:D106)&amp;".")</f>
        <v/>
      </c>
      <c r="B106" s="198" t="str">
        <f t="shared" si="2"/>
        <v/>
      </c>
      <c r="C106" s="199"/>
      <c r="D106" s="200" t="str">
        <f>IF(C106="","",PROPER(DATA!$E$17)&amp;" "&amp;DATA!$G$17)</f>
        <v/>
      </c>
      <c r="E106" s="226"/>
      <c r="F106" s="208"/>
      <c r="G106" s="209"/>
      <c r="H106" s="210"/>
      <c r="I106" s="211"/>
      <c r="J106" s="192" t="s">
        <v>121</v>
      </c>
      <c r="K106" s="189" t="s">
        <v>122</v>
      </c>
      <c r="L106" s="190"/>
      <c r="M106" s="190"/>
      <c r="N106" s="190"/>
      <c r="O106" s="201"/>
      <c r="P106" s="202"/>
      <c r="Q106" s="203"/>
      <c r="R106" s="203"/>
      <c r="S106" s="203"/>
      <c r="T106" s="203"/>
      <c r="U106" s="203"/>
      <c r="V106" s="203"/>
    </row>
    <row r="107" spans="1:22" s="204" customFormat="1" ht="15" customHeight="1" x14ac:dyDescent="0.25">
      <c r="A107" s="197" t="str">
        <f>IF(C107="","",COUNT($C$21:D107)&amp;".")</f>
        <v/>
      </c>
      <c r="B107" s="198" t="str">
        <f t="shared" si="2"/>
        <v/>
      </c>
      <c r="C107" s="199"/>
      <c r="D107" s="200" t="str">
        <f>IF(C107="","",PROPER(DATA!$E$17)&amp;" "&amp;DATA!$G$17)</f>
        <v/>
      </c>
      <c r="E107" s="226"/>
      <c r="F107" s="208"/>
      <c r="G107" s="209"/>
      <c r="H107" s="210"/>
      <c r="I107" s="231"/>
      <c r="J107" s="192" t="s">
        <v>121</v>
      </c>
      <c r="K107" s="189" t="s">
        <v>122</v>
      </c>
      <c r="L107" s="190"/>
      <c r="M107" s="190"/>
      <c r="N107" s="190"/>
      <c r="O107" s="201"/>
      <c r="P107" s="202"/>
      <c r="Q107" s="203"/>
      <c r="R107" s="203"/>
      <c r="S107" s="203"/>
      <c r="T107" s="203"/>
      <c r="U107" s="203"/>
      <c r="V107" s="203"/>
    </row>
    <row r="108" spans="1:22" s="204" customFormat="1" ht="15" customHeight="1" x14ac:dyDescent="0.25">
      <c r="A108" s="197" t="str">
        <f>IF(C108="","",COUNT($C$21:D108)&amp;".")</f>
        <v/>
      </c>
      <c r="B108" s="198" t="str">
        <f t="shared" si="2"/>
        <v/>
      </c>
      <c r="C108" s="199"/>
      <c r="D108" s="200" t="str">
        <f>IF(C108="","",PROPER(DATA!$E$17)&amp;" "&amp;DATA!$G$17)</f>
        <v/>
      </c>
      <c r="E108" s="226"/>
      <c r="F108" s="208"/>
      <c r="G108" s="209"/>
      <c r="H108" s="210"/>
      <c r="I108" s="231"/>
      <c r="J108" s="192" t="s">
        <v>121</v>
      </c>
      <c r="K108" s="189" t="s">
        <v>122</v>
      </c>
      <c r="L108" s="190"/>
      <c r="M108" s="190"/>
      <c r="N108" s="190"/>
      <c r="O108" s="201"/>
      <c r="P108" s="202"/>
      <c r="Q108" s="203"/>
      <c r="R108" s="203"/>
      <c r="S108" s="203"/>
      <c r="T108" s="203"/>
      <c r="U108" s="203"/>
      <c r="V108" s="203"/>
    </row>
    <row r="109" spans="1:22" s="204" customFormat="1" ht="15" customHeight="1" x14ac:dyDescent="0.25">
      <c r="A109" s="197" t="str">
        <f>IF(C109="","",COUNT($C$21:D109)&amp;".")</f>
        <v/>
      </c>
      <c r="B109" s="198" t="str">
        <f t="shared" si="2"/>
        <v/>
      </c>
      <c r="C109" s="206"/>
      <c r="D109" s="200" t="str">
        <f>IF(C109="","",PROPER(DATA!$E$17)&amp;" "&amp;DATA!$G$17)</f>
        <v/>
      </c>
      <c r="E109" s="226"/>
      <c r="F109" s="208"/>
      <c r="G109" s="209"/>
      <c r="H109" s="210"/>
      <c r="I109" s="231"/>
      <c r="J109" s="192" t="s">
        <v>121</v>
      </c>
      <c r="K109" s="189" t="s">
        <v>122</v>
      </c>
      <c r="L109" s="190"/>
      <c r="M109" s="190"/>
      <c r="N109" s="190"/>
      <c r="O109" s="201"/>
      <c r="P109" s="202"/>
      <c r="Q109" s="203"/>
      <c r="R109" s="203"/>
      <c r="S109" s="203"/>
      <c r="T109" s="203"/>
      <c r="U109" s="203"/>
      <c r="V109" s="203"/>
    </row>
    <row r="110" spans="1:22" s="204" customFormat="1" ht="15" customHeight="1" x14ac:dyDescent="0.25">
      <c r="A110" s="197" t="str">
        <f>IF(C110="","",COUNT($C$21:D110)&amp;".")</f>
        <v/>
      </c>
      <c r="B110" s="198" t="str">
        <f t="shared" si="2"/>
        <v/>
      </c>
      <c r="C110" s="206"/>
      <c r="D110" s="200" t="str">
        <f>IF(C110="","",PROPER(DATA!$E$17)&amp;" "&amp;DATA!$G$17)</f>
        <v/>
      </c>
      <c r="E110" s="226"/>
      <c r="F110" s="208"/>
      <c r="G110" s="209"/>
      <c r="H110" s="210"/>
      <c r="I110" s="231"/>
      <c r="J110" s="192" t="s">
        <v>121</v>
      </c>
      <c r="K110" s="189" t="s">
        <v>122</v>
      </c>
      <c r="L110" s="190"/>
      <c r="M110" s="190"/>
      <c r="N110" s="190"/>
      <c r="O110" s="201"/>
      <c r="P110" s="202"/>
      <c r="Q110" s="203"/>
      <c r="R110" s="203"/>
      <c r="S110" s="203"/>
      <c r="T110" s="203"/>
      <c r="U110" s="203"/>
      <c r="V110" s="203"/>
    </row>
    <row r="111" spans="1:22" s="204" customFormat="1" ht="15" customHeight="1" x14ac:dyDescent="0.25">
      <c r="A111" s="197" t="str">
        <f>IF(C111="","",COUNT($C$21:D111)&amp;".")</f>
        <v/>
      </c>
      <c r="B111" s="198" t="str">
        <f t="shared" si="2"/>
        <v/>
      </c>
      <c r="C111" s="206"/>
      <c r="D111" s="200" t="str">
        <f>IF(C111="","",PROPER(DATA!$E$17)&amp;" "&amp;DATA!$G$17)</f>
        <v/>
      </c>
      <c r="E111" s="226"/>
      <c r="F111" s="208"/>
      <c r="G111" s="209"/>
      <c r="H111" s="210"/>
      <c r="I111" s="231"/>
      <c r="J111" s="192" t="s">
        <v>121</v>
      </c>
      <c r="K111" s="189" t="s">
        <v>122</v>
      </c>
      <c r="L111" s="190"/>
      <c r="M111" s="190"/>
      <c r="N111" s="190"/>
      <c r="O111" s="201"/>
      <c r="P111" s="202"/>
      <c r="Q111" s="203"/>
      <c r="R111" s="203"/>
      <c r="S111" s="203"/>
      <c r="T111" s="203"/>
      <c r="U111" s="203"/>
      <c r="V111" s="203"/>
    </row>
    <row r="112" spans="1:22" s="204" customFormat="1" ht="15" customHeight="1" x14ac:dyDescent="0.25">
      <c r="A112" s="197" t="str">
        <f>IF(C112="","",COUNT($C$21:D112)&amp;".")</f>
        <v/>
      </c>
      <c r="B112" s="198" t="str">
        <f t="shared" si="2"/>
        <v/>
      </c>
      <c r="C112" s="206"/>
      <c r="D112" s="200" t="str">
        <f>IF(C112="","",PROPER(DATA!$E$17)&amp;" "&amp;DATA!$G$17)</f>
        <v/>
      </c>
      <c r="E112" s="226"/>
      <c r="F112" s="208"/>
      <c r="G112" s="209"/>
      <c r="H112" s="210"/>
      <c r="I112" s="231"/>
      <c r="J112" s="192" t="s">
        <v>121</v>
      </c>
      <c r="K112" s="189" t="s">
        <v>122</v>
      </c>
      <c r="L112" s="190"/>
      <c r="M112" s="190"/>
      <c r="N112" s="190"/>
      <c r="O112" s="201"/>
      <c r="P112" s="202"/>
      <c r="Q112" s="203"/>
      <c r="R112" s="203"/>
      <c r="S112" s="203"/>
      <c r="T112" s="203"/>
      <c r="U112" s="203"/>
      <c r="V112" s="203"/>
    </row>
    <row r="113" spans="1:22" s="204" customFormat="1" ht="15" customHeight="1" x14ac:dyDescent="0.25">
      <c r="A113" s="197" t="str">
        <f>IF(C113="","",COUNT($C$21:D113)&amp;".")</f>
        <v/>
      </c>
      <c r="B113" s="198" t="str">
        <f t="shared" si="2"/>
        <v/>
      </c>
      <c r="C113" s="206"/>
      <c r="D113" s="200" t="str">
        <f>IF(C113="","",PROPER(DATA!$E$17)&amp;" "&amp;DATA!$G$17)</f>
        <v/>
      </c>
      <c r="E113" s="226"/>
      <c r="F113" s="208"/>
      <c r="G113" s="209"/>
      <c r="H113" s="210"/>
      <c r="I113" s="231"/>
      <c r="J113" s="192" t="s">
        <v>121</v>
      </c>
      <c r="K113" s="189" t="s">
        <v>122</v>
      </c>
      <c r="L113" s="190"/>
      <c r="M113" s="190"/>
      <c r="N113" s="190"/>
      <c r="O113" s="201"/>
      <c r="P113" s="202"/>
      <c r="Q113" s="203"/>
      <c r="R113" s="203"/>
      <c r="S113" s="203"/>
      <c r="T113" s="203"/>
      <c r="U113" s="203"/>
      <c r="V113" s="203"/>
    </row>
    <row r="114" spans="1:22" s="204" customFormat="1" ht="15" customHeight="1" x14ac:dyDescent="0.25">
      <c r="A114" s="197" t="str">
        <f>IF(C114="","",COUNT($C$21:D114)&amp;".")</f>
        <v/>
      </c>
      <c r="B114" s="198" t="str">
        <f t="shared" si="2"/>
        <v/>
      </c>
      <c r="C114" s="206"/>
      <c r="D114" s="200" t="str">
        <f>IF(C114="","",PROPER(DATA!$E$17)&amp;" "&amp;DATA!$G$17)</f>
        <v/>
      </c>
      <c r="E114" s="226"/>
      <c r="F114" s="208"/>
      <c r="G114" s="209"/>
      <c r="H114" s="210"/>
      <c r="I114" s="231"/>
      <c r="J114" s="192" t="s">
        <v>121</v>
      </c>
      <c r="K114" s="189" t="s">
        <v>122</v>
      </c>
      <c r="L114" s="190"/>
      <c r="M114" s="190"/>
      <c r="N114" s="190"/>
      <c r="O114" s="201"/>
      <c r="P114" s="202"/>
      <c r="Q114" s="203"/>
      <c r="R114" s="203"/>
      <c r="S114" s="203"/>
      <c r="T114" s="203"/>
      <c r="U114" s="203"/>
      <c r="V114" s="203"/>
    </row>
    <row r="115" spans="1:22" s="204" customFormat="1" ht="15.75" customHeight="1" x14ac:dyDescent="0.25">
      <c r="A115" s="197" t="str">
        <f>IF(C115="","",COUNT($C$21:D115)&amp;".")</f>
        <v/>
      </c>
      <c r="B115" s="198" t="str">
        <f t="shared" si="2"/>
        <v/>
      </c>
      <c r="C115" s="206"/>
      <c r="D115" s="200" t="str">
        <f>IF(C115="","",PROPER(DATA!$E$17)&amp;" "&amp;DATA!$G$17)</f>
        <v/>
      </c>
      <c r="E115" s="226"/>
      <c r="F115" s="208"/>
      <c r="G115" s="209"/>
      <c r="H115" s="210"/>
      <c r="I115" s="231"/>
      <c r="J115" s="192" t="s">
        <v>121</v>
      </c>
      <c r="K115" s="189" t="s">
        <v>122</v>
      </c>
      <c r="L115" s="190"/>
      <c r="M115" s="190"/>
      <c r="N115" s="190"/>
      <c r="O115" s="201"/>
      <c r="P115" s="202"/>
      <c r="Q115" s="203"/>
      <c r="R115" s="203"/>
      <c r="S115" s="203"/>
      <c r="T115" s="203"/>
      <c r="U115" s="203"/>
      <c r="V115" s="203"/>
    </row>
    <row r="116" spans="1:22" s="204" customFormat="1" ht="15" customHeight="1" x14ac:dyDescent="0.25">
      <c r="A116" s="197" t="str">
        <f>IF(C116="","",COUNT($C$21:D116)&amp;".")</f>
        <v/>
      </c>
      <c r="B116" s="198" t="str">
        <f t="shared" si="2"/>
        <v/>
      </c>
      <c r="C116" s="206"/>
      <c r="D116" s="200" t="str">
        <f>IF(C116="","",PROPER(DATA!$E$17)&amp;" "&amp;DATA!$G$17)</f>
        <v/>
      </c>
      <c r="E116" s="226"/>
      <c r="F116" s="208"/>
      <c r="G116" s="209"/>
      <c r="H116" s="210"/>
      <c r="I116" s="231"/>
      <c r="J116" s="192" t="s">
        <v>121</v>
      </c>
      <c r="K116" s="189" t="s">
        <v>122</v>
      </c>
      <c r="L116" s="190"/>
      <c r="M116" s="190"/>
      <c r="N116" s="190"/>
      <c r="O116" s="201"/>
      <c r="P116" s="202"/>
      <c r="Q116" s="203"/>
      <c r="R116" s="203"/>
      <c r="S116" s="203"/>
      <c r="T116" s="203"/>
      <c r="U116" s="203"/>
      <c r="V116" s="203"/>
    </row>
    <row r="117" spans="1:22" s="204" customFormat="1" ht="15" customHeight="1" x14ac:dyDescent="0.25">
      <c r="A117" s="197" t="str">
        <f>IF(C117="","",COUNT($C$21:D117)&amp;".")</f>
        <v/>
      </c>
      <c r="B117" s="198" t="str">
        <f t="shared" si="2"/>
        <v/>
      </c>
      <c r="C117" s="206"/>
      <c r="D117" s="200" t="str">
        <f>IF(C117="","",PROPER(DATA!$E$17)&amp;" "&amp;DATA!$G$17)</f>
        <v/>
      </c>
      <c r="E117" s="226"/>
      <c r="F117" s="208"/>
      <c r="G117" s="209"/>
      <c r="H117" s="210"/>
      <c r="I117" s="231"/>
      <c r="J117" s="192" t="s">
        <v>121</v>
      </c>
      <c r="K117" s="189" t="s">
        <v>122</v>
      </c>
      <c r="L117" s="190"/>
      <c r="M117" s="190"/>
      <c r="N117" s="190"/>
      <c r="O117" s="201"/>
      <c r="P117" s="202"/>
      <c r="Q117" s="203"/>
      <c r="R117" s="203"/>
      <c r="S117" s="203"/>
      <c r="T117" s="203"/>
      <c r="U117" s="203"/>
      <c r="V117" s="203"/>
    </row>
    <row r="118" spans="1:22" s="204" customFormat="1" ht="15" customHeight="1" x14ac:dyDescent="0.25">
      <c r="A118" s="197" t="str">
        <f>IF(C118="","",COUNT($C$21:D118)&amp;".")</f>
        <v/>
      </c>
      <c r="B118" s="198" t="str">
        <f t="shared" si="2"/>
        <v/>
      </c>
      <c r="C118" s="206"/>
      <c r="D118" s="200" t="str">
        <f>IF(C118="","",PROPER(DATA!$E$17)&amp;" "&amp;DATA!$G$17)</f>
        <v/>
      </c>
      <c r="E118" s="226"/>
      <c r="F118" s="208"/>
      <c r="G118" s="209"/>
      <c r="H118" s="210"/>
      <c r="I118" s="231"/>
      <c r="J118" s="192" t="s">
        <v>121</v>
      </c>
      <c r="K118" s="189" t="s">
        <v>122</v>
      </c>
      <c r="L118" s="190"/>
      <c r="M118" s="190"/>
      <c r="N118" s="190"/>
      <c r="O118" s="201"/>
      <c r="P118" s="202"/>
      <c r="Q118" s="203"/>
      <c r="R118" s="203"/>
      <c r="S118" s="203"/>
      <c r="T118" s="203"/>
      <c r="U118" s="203"/>
      <c r="V118" s="203"/>
    </row>
    <row r="119" spans="1:22" s="204" customFormat="1" ht="15" customHeight="1" x14ac:dyDescent="0.25">
      <c r="A119" s="237" t="str">
        <f>IF(C119="","",COUNT($C$21:D119)&amp;".")</f>
        <v/>
      </c>
      <c r="B119" s="238" t="str">
        <f t="shared" si="2"/>
        <v/>
      </c>
      <c r="C119" s="243"/>
      <c r="D119" s="239" t="str">
        <f>IF(C119="","",PROPER(DATA!$E$17)&amp;" "&amp;DATA!$G$17)</f>
        <v/>
      </c>
      <c r="E119" s="232"/>
      <c r="F119" s="233"/>
      <c r="G119" s="234"/>
      <c r="H119" s="235"/>
      <c r="I119" s="225"/>
      <c r="J119" s="236" t="s">
        <v>121</v>
      </c>
      <c r="K119" s="242" t="s">
        <v>122</v>
      </c>
      <c r="L119" s="240"/>
      <c r="M119" s="240"/>
      <c r="N119" s="240"/>
      <c r="O119" s="241"/>
      <c r="P119" s="202"/>
      <c r="Q119" s="203"/>
      <c r="R119" s="203"/>
      <c r="S119" s="203"/>
      <c r="T119" s="203"/>
      <c r="U119" s="203"/>
      <c r="V119" s="203"/>
    </row>
    <row r="120" spans="1:22" s="204" customFormat="1" ht="15" customHeight="1" x14ac:dyDescent="0.25">
      <c r="A120" s="197" t="str">
        <f>IF(C120="","",COUNT($C$21:D120)&amp;".")</f>
        <v/>
      </c>
      <c r="B120" s="198" t="str">
        <f t="shared" si="2"/>
        <v/>
      </c>
      <c r="C120" s="206"/>
      <c r="D120" s="200" t="str">
        <f>IF(C120="","",PROPER(DATA!$E$17)&amp;" "&amp;DATA!$G$17)</f>
        <v/>
      </c>
      <c r="E120" s="150"/>
      <c r="F120" s="208"/>
      <c r="G120" s="209"/>
      <c r="H120" s="210"/>
      <c r="I120" s="127"/>
      <c r="J120" s="192" t="s">
        <v>121</v>
      </c>
      <c r="K120" s="189" t="s">
        <v>122</v>
      </c>
      <c r="L120" s="190"/>
      <c r="M120" s="190"/>
      <c r="N120" s="190"/>
      <c r="O120" s="201"/>
      <c r="P120" s="202"/>
      <c r="Q120" s="203"/>
      <c r="R120" s="203"/>
      <c r="S120" s="203"/>
      <c r="T120" s="203"/>
      <c r="U120" s="203"/>
      <c r="V120" s="203"/>
    </row>
    <row r="121" spans="1:22" s="204" customFormat="1" ht="15" customHeight="1" x14ac:dyDescent="0.25">
      <c r="A121" s="197" t="str">
        <f>IF(C121="","",COUNT($C$21:D121)&amp;".")</f>
        <v/>
      </c>
      <c r="B121" s="198" t="str">
        <f t="shared" si="2"/>
        <v/>
      </c>
      <c r="C121" s="206"/>
      <c r="D121" s="200" t="str">
        <f>IF(C121="","",PROPER(DATA!$E$17)&amp;" "&amp;DATA!$G$17)</f>
        <v/>
      </c>
      <c r="E121" s="150"/>
      <c r="F121" s="208"/>
      <c r="G121" s="209"/>
      <c r="H121" s="210"/>
      <c r="I121" s="127"/>
      <c r="J121" s="192" t="s">
        <v>121</v>
      </c>
      <c r="K121" s="189" t="s">
        <v>122</v>
      </c>
      <c r="L121" s="190"/>
      <c r="M121" s="190"/>
      <c r="N121" s="190"/>
      <c r="O121" s="201"/>
      <c r="P121" s="202"/>
      <c r="Q121" s="203"/>
      <c r="R121" s="203"/>
      <c r="S121" s="203"/>
      <c r="T121" s="203"/>
      <c r="U121" s="203"/>
      <c r="V121" s="203"/>
    </row>
    <row r="122" spans="1:22" s="204" customFormat="1" ht="15" customHeight="1" x14ac:dyDescent="0.25">
      <c r="A122" s="197" t="str">
        <f>IF(C122="","",COUNT($C$21:D122)&amp;".")</f>
        <v/>
      </c>
      <c r="B122" s="198" t="str">
        <f t="shared" si="2"/>
        <v/>
      </c>
      <c r="C122" s="206"/>
      <c r="D122" s="200" t="str">
        <f>IF(C122="","",PROPER(DATA!$E$17)&amp;" "&amp;DATA!$G$17)</f>
        <v/>
      </c>
      <c r="E122" s="150"/>
      <c r="F122" s="208"/>
      <c r="G122" s="209"/>
      <c r="H122" s="210"/>
      <c r="I122" s="127"/>
      <c r="J122" s="192" t="s">
        <v>121</v>
      </c>
      <c r="K122" s="189" t="s">
        <v>122</v>
      </c>
      <c r="L122" s="190"/>
      <c r="M122" s="190"/>
      <c r="N122" s="190"/>
      <c r="O122" s="201"/>
      <c r="P122" s="202"/>
      <c r="Q122" s="203"/>
      <c r="R122" s="203"/>
      <c r="S122" s="203"/>
      <c r="T122" s="203"/>
      <c r="U122" s="203"/>
      <c r="V122" s="203"/>
    </row>
    <row r="123" spans="1:22" s="204" customFormat="1" ht="15" customHeight="1" x14ac:dyDescent="0.25">
      <c r="A123" s="197" t="str">
        <f>IF(C123="","",COUNT($C$21:D123)&amp;".")</f>
        <v/>
      </c>
      <c r="B123" s="198" t="str">
        <f t="shared" si="2"/>
        <v/>
      </c>
      <c r="C123" s="206"/>
      <c r="D123" s="200" t="str">
        <f>IF(C123="","",PROPER(DATA!$E$17)&amp;" "&amp;DATA!$G$17)</f>
        <v/>
      </c>
      <c r="E123" s="150"/>
      <c r="F123" s="208"/>
      <c r="G123" s="209"/>
      <c r="H123" s="210"/>
      <c r="I123" s="127"/>
      <c r="J123" s="192" t="s">
        <v>121</v>
      </c>
      <c r="K123" s="189" t="s">
        <v>122</v>
      </c>
      <c r="L123" s="190"/>
      <c r="M123" s="190"/>
      <c r="N123" s="190"/>
      <c r="O123" s="201"/>
      <c r="P123" s="202"/>
      <c r="Q123" s="203"/>
      <c r="R123" s="203"/>
      <c r="S123" s="203"/>
      <c r="T123" s="203"/>
      <c r="U123" s="203"/>
      <c r="V123" s="203"/>
    </row>
    <row r="124" spans="1:22" s="204" customFormat="1" ht="15" customHeight="1" x14ac:dyDescent="0.25">
      <c r="A124" s="197" t="str">
        <f>IF(C124="","",COUNT($C$21:D124)&amp;".")</f>
        <v/>
      </c>
      <c r="B124" s="198" t="str">
        <f t="shared" si="2"/>
        <v/>
      </c>
      <c r="C124" s="206"/>
      <c r="D124" s="200" t="str">
        <f>IF(C124="","",PROPER(DATA!$E$17)&amp;" "&amp;DATA!$G$17)</f>
        <v/>
      </c>
      <c r="E124" s="150"/>
      <c r="F124" s="208"/>
      <c r="G124" s="209"/>
      <c r="H124" s="210"/>
      <c r="I124" s="127"/>
      <c r="J124" s="192" t="s">
        <v>121</v>
      </c>
      <c r="K124" s="189" t="s">
        <v>122</v>
      </c>
      <c r="L124" s="190"/>
      <c r="M124" s="190"/>
      <c r="N124" s="190"/>
      <c r="O124" s="201"/>
      <c r="P124" s="202"/>
      <c r="Q124" s="203"/>
      <c r="R124" s="203"/>
      <c r="S124" s="203"/>
      <c r="T124" s="203"/>
      <c r="U124" s="203"/>
      <c r="V124" s="203"/>
    </row>
    <row r="125" spans="1:22" s="204" customFormat="1" ht="15" customHeight="1" x14ac:dyDescent="0.25">
      <c r="A125" s="197" t="str">
        <f>IF(C125="","",COUNT($C$21:D125)&amp;".")</f>
        <v/>
      </c>
      <c r="B125" s="198" t="str">
        <f t="shared" ref="B125:B188" si="3">IF(C125="","",TEXT(C125&amp;D125,"dddd"))</f>
        <v/>
      </c>
      <c r="C125" s="206"/>
      <c r="D125" s="200" t="str">
        <f>IF(C125="","",PROPER(DATA!$E$17)&amp;" "&amp;DATA!$G$17)</f>
        <v/>
      </c>
      <c r="E125" s="150"/>
      <c r="F125" s="208"/>
      <c r="G125" s="209"/>
      <c r="H125" s="210"/>
      <c r="I125" s="127"/>
      <c r="J125" s="192" t="s">
        <v>121</v>
      </c>
      <c r="K125" s="189" t="s">
        <v>122</v>
      </c>
      <c r="L125" s="190"/>
      <c r="M125" s="190"/>
      <c r="N125" s="190"/>
      <c r="O125" s="201"/>
      <c r="P125" s="202"/>
      <c r="Q125" s="203"/>
      <c r="R125" s="203"/>
      <c r="S125" s="203"/>
      <c r="T125" s="203"/>
      <c r="U125" s="203"/>
      <c r="V125" s="203"/>
    </row>
    <row r="126" spans="1:22" s="204" customFormat="1" ht="15" customHeight="1" x14ac:dyDescent="0.25">
      <c r="A126" s="197" t="str">
        <f>IF(C126="","",COUNT($C$21:D126)&amp;".")</f>
        <v/>
      </c>
      <c r="B126" s="198" t="str">
        <f t="shared" si="3"/>
        <v/>
      </c>
      <c r="C126" s="206"/>
      <c r="D126" s="200" t="str">
        <f>IF(C126="","",PROPER(DATA!$E$17)&amp;" "&amp;DATA!$G$17)</f>
        <v/>
      </c>
      <c r="E126" s="150"/>
      <c r="F126" s="208"/>
      <c r="G126" s="209"/>
      <c r="H126" s="210"/>
      <c r="I126" s="211"/>
      <c r="J126" s="192" t="s">
        <v>121</v>
      </c>
      <c r="K126" s="189" t="s">
        <v>122</v>
      </c>
      <c r="L126" s="190"/>
      <c r="M126" s="190"/>
      <c r="N126" s="190"/>
      <c r="O126" s="201"/>
      <c r="P126" s="202"/>
      <c r="Q126" s="203"/>
      <c r="R126" s="203"/>
      <c r="S126" s="203"/>
      <c r="T126" s="203"/>
      <c r="U126" s="203"/>
      <c r="V126" s="203"/>
    </row>
    <row r="127" spans="1:22" s="204" customFormat="1" ht="15" customHeight="1" x14ac:dyDescent="0.25">
      <c r="A127" s="197" t="str">
        <f>IF(C127="","",COUNT($C$21:D127)&amp;".")</f>
        <v/>
      </c>
      <c r="B127" s="198" t="str">
        <f t="shared" si="3"/>
        <v/>
      </c>
      <c r="C127" s="206"/>
      <c r="D127" s="200" t="str">
        <f>IF(C127="","",PROPER(DATA!$E$17)&amp;" "&amp;DATA!$G$17)</f>
        <v/>
      </c>
      <c r="E127" s="150"/>
      <c r="F127" s="208"/>
      <c r="G127" s="209"/>
      <c r="H127" s="210"/>
      <c r="I127" s="127"/>
      <c r="J127" s="192" t="s">
        <v>121</v>
      </c>
      <c r="K127" s="189" t="s">
        <v>122</v>
      </c>
      <c r="L127" s="190"/>
      <c r="M127" s="190"/>
      <c r="N127" s="190"/>
      <c r="O127" s="201"/>
      <c r="P127" s="202"/>
      <c r="Q127" s="203"/>
      <c r="R127" s="203"/>
      <c r="S127" s="203"/>
      <c r="T127" s="203"/>
      <c r="U127" s="203"/>
      <c r="V127" s="203"/>
    </row>
    <row r="128" spans="1:22" s="204" customFormat="1" ht="15" customHeight="1" x14ac:dyDescent="0.25">
      <c r="A128" s="197" t="str">
        <f>IF(C128="","",COUNT($C$21:D128)&amp;".")</f>
        <v/>
      </c>
      <c r="B128" s="198" t="str">
        <f t="shared" si="3"/>
        <v/>
      </c>
      <c r="C128" s="206"/>
      <c r="D128" s="200" t="str">
        <f>IF(C128="","",PROPER(DATA!$E$17)&amp;" "&amp;DATA!$G$17)</f>
        <v/>
      </c>
      <c r="E128" s="150"/>
      <c r="F128" s="208"/>
      <c r="G128" s="209"/>
      <c r="H128" s="210"/>
      <c r="I128" s="127"/>
      <c r="J128" s="192" t="s">
        <v>121</v>
      </c>
      <c r="K128" s="189" t="s">
        <v>122</v>
      </c>
      <c r="L128" s="190"/>
      <c r="M128" s="190"/>
      <c r="N128" s="190"/>
      <c r="O128" s="201"/>
      <c r="P128" s="202"/>
      <c r="Q128" s="203"/>
      <c r="R128" s="203"/>
      <c r="S128" s="203"/>
      <c r="T128" s="203"/>
      <c r="U128" s="203"/>
      <c r="V128" s="203"/>
    </row>
    <row r="129" spans="1:22" s="204" customFormat="1" ht="15" customHeight="1" x14ac:dyDescent="0.25">
      <c r="A129" s="197" t="str">
        <f>IF(C129="","",COUNT($C$21:D129)&amp;".")</f>
        <v/>
      </c>
      <c r="B129" s="198" t="str">
        <f t="shared" si="3"/>
        <v/>
      </c>
      <c r="C129" s="206"/>
      <c r="D129" s="200" t="str">
        <f>IF(C129="","",PROPER(DATA!$E$17)&amp;" "&amp;DATA!$G$17)</f>
        <v/>
      </c>
      <c r="E129" s="150"/>
      <c r="F129" s="208"/>
      <c r="G129" s="209"/>
      <c r="H129" s="210"/>
      <c r="I129" s="127"/>
      <c r="J129" s="192" t="s">
        <v>121</v>
      </c>
      <c r="K129" s="189" t="s">
        <v>122</v>
      </c>
      <c r="L129" s="190"/>
      <c r="M129" s="190"/>
      <c r="N129" s="190"/>
      <c r="O129" s="201"/>
      <c r="P129" s="202"/>
      <c r="Q129" s="203"/>
      <c r="R129" s="203"/>
      <c r="S129" s="203"/>
      <c r="T129" s="203"/>
      <c r="U129" s="203"/>
      <c r="V129" s="203"/>
    </row>
    <row r="130" spans="1:22" s="204" customFormat="1" ht="15.75" customHeight="1" x14ac:dyDescent="0.25">
      <c r="A130" s="197" t="str">
        <f>IF(C130="","",COUNT($C$21:D130)&amp;".")</f>
        <v/>
      </c>
      <c r="B130" s="198" t="str">
        <f t="shared" si="3"/>
        <v/>
      </c>
      <c r="C130" s="206"/>
      <c r="D130" s="200" t="str">
        <f>IF(C130="","",PROPER(DATA!$E$17)&amp;" "&amp;DATA!$G$17)</f>
        <v/>
      </c>
      <c r="E130" s="150"/>
      <c r="F130" s="208"/>
      <c r="G130" s="209"/>
      <c r="H130" s="210"/>
      <c r="I130" s="127"/>
      <c r="J130" s="192" t="s">
        <v>121</v>
      </c>
      <c r="K130" s="189" t="s">
        <v>122</v>
      </c>
      <c r="L130" s="190"/>
      <c r="M130" s="190"/>
      <c r="N130" s="190"/>
      <c r="O130" s="201"/>
      <c r="P130" s="202"/>
      <c r="Q130" s="203"/>
      <c r="R130" s="203"/>
      <c r="S130" s="203"/>
      <c r="T130" s="203"/>
      <c r="U130" s="203"/>
      <c r="V130" s="203"/>
    </row>
    <row r="131" spans="1:22" s="204" customFormat="1" ht="15" customHeight="1" x14ac:dyDescent="0.25">
      <c r="A131" s="197" t="str">
        <f>IF(C131="","",COUNT($C$21:D131)&amp;".")</f>
        <v/>
      </c>
      <c r="B131" s="198" t="str">
        <f t="shared" si="3"/>
        <v/>
      </c>
      <c r="C131" s="206"/>
      <c r="D131" s="200" t="str">
        <f>IF(C131="","",PROPER(DATA!$E$17)&amp;" "&amp;DATA!$G$17)</f>
        <v/>
      </c>
      <c r="E131" s="150"/>
      <c r="F131" s="208"/>
      <c r="G131" s="209"/>
      <c r="H131" s="210"/>
      <c r="I131" s="127"/>
      <c r="J131" s="192" t="s">
        <v>121</v>
      </c>
      <c r="K131" s="189" t="s">
        <v>122</v>
      </c>
      <c r="L131" s="190"/>
      <c r="M131" s="190"/>
      <c r="N131" s="190"/>
      <c r="O131" s="201"/>
      <c r="P131" s="202"/>
      <c r="Q131" s="203"/>
      <c r="R131" s="203"/>
      <c r="S131" s="203"/>
      <c r="T131" s="203"/>
      <c r="U131" s="203"/>
      <c r="V131" s="203"/>
    </row>
    <row r="132" spans="1:22" s="204" customFormat="1" ht="15" customHeight="1" x14ac:dyDescent="0.25">
      <c r="A132" s="197" t="str">
        <f>IF(C132="","",COUNT($C$21:D132)&amp;".")</f>
        <v/>
      </c>
      <c r="B132" s="198" t="str">
        <f t="shared" si="3"/>
        <v/>
      </c>
      <c r="C132" s="206"/>
      <c r="D132" s="200" t="str">
        <f>IF(C132="","",PROPER(DATA!$E$17)&amp;" "&amp;DATA!$G$17)</f>
        <v/>
      </c>
      <c r="E132" s="150"/>
      <c r="F132" s="208"/>
      <c r="G132" s="209"/>
      <c r="H132" s="210"/>
      <c r="I132" s="127"/>
      <c r="J132" s="192" t="s">
        <v>121</v>
      </c>
      <c r="K132" s="189" t="s">
        <v>122</v>
      </c>
      <c r="L132" s="190"/>
      <c r="M132" s="190"/>
      <c r="N132" s="190"/>
      <c r="O132" s="201"/>
      <c r="P132" s="202"/>
      <c r="Q132" s="203"/>
      <c r="R132" s="203"/>
      <c r="S132" s="203"/>
      <c r="T132" s="203"/>
      <c r="U132" s="203"/>
      <c r="V132" s="203"/>
    </row>
    <row r="133" spans="1:22" s="204" customFormat="1" ht="15" customHeight="1" x14ac:dyDescent="0.25">
      <c r="A133" s="197" t="str">
        <f>IF(C133="","",COUNT($C$21:D133)&amp;".")</f>
        <v/>
      </c>
      <c r="B133" s="198" t="str">
        <f t="shared" si="3"/>
        <v/>
      </c>
      <c r="C133" s="206"/>
      <c r="D133" s="200" t="str">
        <f>IF(C133="","",PROPER(DATA!$E$17)&amp;" "&amp;DATA!$G$17)</f>
        <v/>
      </c>
      <c r="E133" s="207"/>
      <c r="F133" s="208"/>
      <c r="G133" s="209"/>
      <c r="H133" s="210"/>
      <c r="I133" s="211"/>
      <c r="J133" s="192" t="s">
        <v>121</v>
      </c>
      <c r="K133" s="189" t="s">
        <v>122</v>
      </c>
      <c r="L133" s="190"/>
      <c r="M133" s="190"/>
      <c r="N133" s="190"/>
      <c r="O133" s="201"/>
      <c r="P133" s="202"/>
      <c r="Q133" s="203"/>
      <c r="R133" s="203"/>
      <c r="S133" s="203"/>
      <c r="T133" s="203"/>
      <c r="U133" s="203"/>
      <c r="V133" s="203"/>
    </row>
    <row r="134" spans="1:22" s="204" customFormat="1" ht="15" customHeight="1" x14ac:dyDescent="0.25">
      <c r="A134" s="197" t="str">
        <f>IF(C134="","",COUNT($C$21:D134)&amp;".")</f>
        <v/>
      </c>
      <c r="B134" s="198" t="str">
        <f t="shared" si="3"/>
        <v/>
      </c>
      <c r="C134" s="206"/>
      <c r="D134" s="200" t="str">
        <f>IF(C134="","",PROPER(DATA!$E$17)&amp;" "&amp;DATA!$G$17)</f>
        <v/>
      </c>
      <c r="E134" s="207"/>
      <c r="F134" s="208"/>
      <c r="G134" s="209"/>
      <c r="H134" s="210"/>
      <c r="I134" s="211"/>
      <c r="J134" s="192" t="s">
        <v>121</v>
      </c>
      <c r="K134" s="189" t="s">
        <v>122</v>
      </c>
      <c r="L134" s="190"/>
      <c r="M134" s="190"/>
      <c r="N134" s="190"/>
      <c r="O134" s="201"/>
      <c r="P134" s="202"/>
      <c r="Q134" s="203"/>
      <c r="R134" s="203"/>
      <c r="S134" s="203"/>
      <c r="T134" s="203"/>
      <c r="U134" s="203"/>
      <c r="V134" s="203"/>
    </row>
    <row r="135" spans="1:22" s="204" customFormat="1" ht="15" customHeight="1" x14ac:dyDescent="0.25">
      <c r="A135" s="197" t="str">
        <f>IF(C135="","",COUNT($C$21:D135)&amp;".")</f>
        <v/>
      </c>
      <c r="B135" s="198" t="str">
        <f t="shared" si="3"/>
        <v/>
      </c>
      <c r="C135" s="206"/>
      <c r="D135" s="200" t="str">
        <f>IF(C135="","",PROPER(DATA!$E$17)&amp;" "&amp;DATA!$G$17)</f>
        <v/>
      </c>
      <c r="E135" s="150"/>
      <c r="F135" s="208"/>
      <c r="G135" s="209"/>
      <c r="H135" s="210"/>
      <c r="I135" s="127"/>
      <c r="J135" s="192" t="s">
        <v>121</v>
      </c>
      <c r="K135" s="189" t="s">
        <v>122</v>
      </c>
      <c r="L135" s="190"/>
      <c r="M135" s="190"/>
      <c r="N135" s="190"/>
      <c r="O135" s="201"/>
      <c r="P135" s="202"/>
      <c r="Q135" s="203"/>
      <c r="R135" s="203"/>
      <c r="S135" s="203"/>
      <c r="T135" s="203"/>
      <c r="U135" s="203"/>
      <c r="V135" s="203"/>
    </row>
    <row r="136" spans="1:22" s="204" customFormat="1" ht="15" customHeight="1" x14ac:dyDescent="0.25">
      <c r="A136" s="197" t="str">
        <f>IF(C136="","",COUNT($C$21:D136)&amp;".")</f>
        <v/>
      </c>
      <c r="B136" s="198" t="str">
        <f t="shared" si="3"/>
        <v/>
      </c>
      <c r="C136" s="206"/>
      <c r="D136" s="200" t="str">
        <f>IF(C136="","",PROPER(DATA!$E$17)&amp;" "&amp;DATA!$G$17)</f>
        <v/>
      </c>
      <c r="E136" s="150"/>
      <c r="F136" s="208"/>
      <c r="G136" s="209"/>
      <c r="H136" s="210"/>
      <c r="I136" s="211"/>
      <c r="J136" s="192" t="s">
        <v>121</v>
      </c>
      <c r="K136" s="189" t="s">
        <v>122</v>
      </c>
      <c r="L136" s="190"/>
      <c r="M136" s="190"/>
      <c r="N136" s="190"/>
      <c r="O136" s="201"/>
      <c r="P136" s="202"/>
      <c r="Q136" s="203"/>
      <c r="R136" s="203"/>
      <c r="S136" s="203"/>
      <c r="T136" s="203"/>
      <c r="U136" s="203"/>
      <c r="V136" s="203"/>
    </row>
    <row r="137" spans="1:22" s="204" customFormat="1" ht="15" customHeight="1" x14ac:dyDescent="0.25">
      <c r="A137" s="197" t="str">
        <f>IF(C137="","",COUNT($C$21:D137)&amp;".")</f>
        <v/>
      </c>
      <c r="B137" s="198" t="str">
        <f t="shared" si="3"/>
        <v/>
      </c>
      <c r="C137" s="206"/>
      <c r="D137" s="200" t="str">
        <f>IF(C137="","",PROPER(DATA!$E$17)&amp;" "&amp;DATA!$G$17)</f>
        <v/>
      </c>
      <c r="E137" s="150"/>
      <c r="F137" s="208"/>
      <c r="G137" s="209"/>
      <c r="H137" s="210"/>
      <c r="I137" s="127"/>
      <c r="J137" s="192" t="s">
        <v>121</v>
      </c>
      <c r="K137" s="189" t="s">
        <v>122</v>
      </c>
      <c r="L137" s="190"/>
      <c r="M137" s="190"/>
      <c r="N137" s="190"/>
      <c r="O137" s="201"/>
      <c r="P137" s="202"/>
      <c r="Q137" s="203"/>
      <c r="R137" s="203"/>
      <c r="S137" s="203"/>
      <c r="T137" s="203"/>
      <c r="U137" s="203"/>
      <c r="V137" s="203"/>
    </row>
    <row r="138" spans="1:22" s="204" customFormat="1" ht="15" customHeight="1" x14ac:dyDescent="0.25">
      <c r="A138" s="197" t="str">
        <f>IF(C138="","",COUNT($C$21:D138)&amp;".")</f>
        <v/>
      </c>
      <c r="B138" s="198" t="str">
        <f t="shared" si="3"/>
        <v/>
      </c>
      <c r="C138" s="206"/>
      <c r="D138" s="200" t="str">
        <f>IF(C138="","",PROPER(DATA!$E$17)&amp;" "&amp;DATA!$G$17)</f>
        <v/>
      </c>
      <c r="E138" s="150"/>
      <c r="F138" s="208"/>
      <c r="G138" s="209"/>
      <c r="H138" s="210"/>
      <c r="I138" s="127"/>
      <c r="J138" s="192" t="s">
        <v>121</v>
      </c>
      <c r="K138" s="189" t="s">
        <v>122</v>
      </c>
      <c r="L138" s="190"/>
      <c r="M138" s="190"/>
      <c r="N138" s="190"/>
      <c r="O138" s="201"/>
      <c r="P138" s="202"/>
      <c r="Q138" s="203"/>
      <c r="R138" s="203"/>
      <c r="S138" s="203"/>
      <c r="T138" s="203"/>
      <c r="U138" s="203"/>
      <c r="V138" s="203"/>
    </row>
    <row r="139" spans="1:22" s="204" customFormat="1" ht="15" customHeight="1" x14ac:dyDescent="0.25">
      <c r="A139" s="197" t="str">
        <f>IF(C139="","",COUNT($C$21:D139)&amp;".")</f>
        <v/>
      </c>
      <c r="B139" s="198" t="str">
        <f t="shared" si="3"/>
        <v/>
      </c>
      <c r="C139" s="206"/>
      <c r="D139" s="200" t="str">
        <f>IF(C139="","",PROPER(DATA!$E$17)&amp;" "&amp;DATA!$G$17)</f>
        <v/>
      </c>
      <c r="E139" s="150"/>
      <c r="F139" s="208"/>
      <c r="G139" s="209"/>
      <c r="H139" s="210"/>
      <c r="I139" s="211"/>
      <c r="J139" s="192" t="s">
        <v>121</v>
      </c>
      <c r="K139" s="189" t="s">
        <v>122</v>
      </c>
      <c r="L139" s="190"/>
      <c r="M139" s="190"/>
      <c r="N139" s="190"/>
      <c r="O139" s="201"/>
      <c r="P139" s="202"/>
      <c r="Q139" s="203"/>
      <c r="R139" s="203"/>
      <c r="S139" s="203"/>
      <c r="T139" s="203"/>
      <c r="U139" s="203"/>
      <c r="V139" s="203"/>
    </row>
    <row r="140" spans="1:22" s="204" customFormat="1" ht="15" customHeight="1" x14ac:dyDescent="0.25">
      <c r="A140" s="197" t="str">
        <f>IF(C140="","",COUNT($C$21:D140)&amp;".")</f>
        <v/>
      </c>
      <c r="B140" s="198" t="str">
        <f t="shared" si="3"/>
        <v/>
      </c>
      <c r="C140" s="206"/>
      <c r="D140" s="200" t="str">
        <f>IF(C140="","",PROPER(DATA!$E$17)&amp;" "&amp;DATA!$G$17)</f>
        <v/>
      </c>
      <c r="E140" s="150"/>
      <c r="F140" s="208"/>
      <c r="G140" s="209"/>
      <c r="H140" s="210"/>
      <c r="I140" s="127"/>
      <c r="J140" s="192" t="s">
        <v>121</v>
      </c>
      <c r="K140" s="189" t="s">
        <v>122</v>
      </c>
      <c r="L140" s="190"/>
      <c r="M140" s="190"/>
      <c r="N140" s="190"/>
      <c r="O140" s="201"/>
      <c r="P140" s="202"/>
      <c r="Q140" s="203"/>
      <c r="R140" s="203"/>
      <c r="S140" s="203"/>
      <c r="T140" s="203"/>
      <c r="U140" s="203"/>
      <c r="V140" s="203"/>
    </row>
    <row r="141" spans="1:22" s="204" customFormat="1" ht="30" customHeight="1" x14ac:dyDescent="0.25">
      <c r="A141" s="197" t="str">
        <f>IF(C141="","",COUNT($C$21:D141)&amp;".")</f>
        <v/>
      </c>
      <c r="B141" s="198" t="str">
        <f t="shared" si="3"/>
        <v/>
      </c>
      <c r="C141" s="206"/>
      <c r="D141" s="200" t="str">
        <f>IF(C141="","",PROPER(DATA!$E$17)&amp;" "&amp;DATA!$G$17)</f>
        <v/>
      </c>
      <c r="E141" s="150"/>
      <c r="F141" s="208"/>
      <c r="G141" s="209"/>
      <c r="H141" s="153"/>
      <c r="I141" s="211"/>
      <c r="J141" s="192" t="s">
        <v>121</v>
      </c>
      <c r="K141" s="189" t="s">
        <v>122</v>
      </c>
      <c r="L141" s="190"/>
      <c r="M141" s="190"/>
      <c r="N141" s="190"/>
      <c r="O141" s="201"/>
      <c r="P141" s="202"/>
      <c r="Q141" s="203"/>
      <c r="R141" s="203"/>
      <c r="S141" s="203"/>
      <c r="T141" s="203"/>
      <c r="U141" s="203"/>
      <c r="V141" s="203"/>
    </row>
    <row r="142" spans="1:22" s="204" customFormat="1" ht="15" customHeight="1" x14ac:dyDescent="0.25">
      <c r="A142" s="197" t="str">
        <f>IF(C142="","",COUNT($C$21:D142)&amp;".")</f>
        <v/>
      </c>
      <c r="B142" s="198" t="str">
        <f t="shared" si="3"/>
        <v/>
      </c>
      <c r="C142" s="206"/>
      <c r="D142" s="200" t="str">
        <f>IF(C142="","",PROPER(DATA!$E$17)&amp;" "&amp;DATA!$G$17)</f>
        <v/>
      </c>
      <c r="E142" s="150"/>
      <c r="F142" s="208"/>
      <c r="G142" s="209"/>
      <c r="H142" s="153"/>
      <c r="I142" s="127"/>
      <c r="J142" s="192" t="s">
        <v>121</v>
      </c>
      <c r="K142" s="189" t="s">
        <v>122</v>
      </c>
      <c r="L142" s="190"/>
      <c r="M142" s="190"/>
      <c r="N142" s="190"/>
      <c r="O142" s="201"/>
      <c r="P142" s="202"/>
      <c r="Q142" s="203"/>
      <c r="R142" s="203"/>
      <c r="S142" s="203"/>
      <c r="T142" s="203"/>
      <c r="U142" s="203"/>
      <c r="V142" s="203"/>
    </row>
    <row r="143" spans="1:22" s="144" customFormat="1" ht="15" customHeight="1" x14ac:dyDescent="0.25">
      <c r="A143" s="155" t="str">
        <f>IF(C143="","",COUNT($C$21:D143)&amp;".")</f>
        <v/>
      </c>
      <c r="B143" s="156" t="str">
        <f t="shared" si="3"/>
        <v/>
      </c>
      <c r="C143" s="158"/>
      <c r="D143" s="157" t="str">
        <f>IF(C143="","",PROPER(DATA!$E$17)&amp;" "&amp;DATA!$G$17)</f>
        <v/>
      </c>
      <c r="E143" s="150"/>
      <c r="F143" s="208"/>
      <c r="G143" s="209"/>
      <c r="H143" s="153"/>
      <c r="I143" s="127"/>
      <c r="J143" s="154" t="s">
        <v>121</v>
      </c>
      <c r="K143" s="150" t="s">
        <v>122</v>
      </c>
      <c r="L143" s="151"/>
      <c r="M143" s="151"/>
      <c r="N143" s="151"/>
      <c r="O143" s="108"/>
      <c r="P143" s="143"/>
      <c r="Q143" s="170"/>
      <c r="R143" s="170"/>
      <c r="S143" s="170"/>
      <c r="T143" s="170"/>
      <c r="U143" s="170"/>
      <c r="V143" s="170"/>
    </row>
    <row r="144" spans="1:22" s="144" customFormat="1" ht="15" customHeight="1" x14ac:dyDescent="0.25">
      <c r="A144" s="155" t="str">
        <f>IF(C144="","",COUNT($C$21:D144)&amp;".")</f>
        <v/>
      </c>
      <c r="B144" s="156" t="str">
        <f t="shared" si="3"/>
        <v/>
      </c>
      <c r="C144" s="158"/>
      <c r="D144" s="157" t="str">
        <f>IF(C144="","",PROPER(DATA!$E$17)&amp;" "&amp;DATA!$G$17)</f>
        <v/>
      </c>
      <c r="E144" s="150"/>
      <c r="F144" s="208"/>
      <c r="G144" s="209"/>
      <c r="H144" s="153"/>
      <c r="I144" s="127"/>
      <c r="J144" s="154" t="s">
        <v>121</v>
      </c>
      <c r="K144" s="150" t="s">
        <v>122</v>
      </c>
      <c r="L144" s="151"/>
      <c r="M144" s="151"/>
      <c r="N144" s="151"/>
      <c r="O144" s="108"/>
      <c r="P144" s="143"/>
      <c r="Q144" s="170"/>
      <c r="R144" s="170"/>
      <c r="S144" s="170"/>
      <c r="T144" s="170"/>
      <c r="U144" s="170"/>
      <c r="V144" s="170"/>
    </row>
    <row r="145" spans="1:22" s="144" customFormat="1" ht="15" customHeight="1" x14ac:dyDescent="0.25">
      <c r="A145" s="155" t="str">
        <f>IF(C145="","",COUNT($C$21:D145)&amp;".")</f>
        <v/>
      </c>
      <c r="B145" s="156" t="str">
        <f t="shared" si="3"/>
        <v/>
      </c>
      <c r="C145" s="158"/>
      <c r="D145" s="157" t="str">
        <f>IF(C145="","",PROPER(DATA!$E$17)&amp;" "&amp;DATA!$G$17)</f>
        <v/>
      </c>
      <c r="E145" s="207"/>
      <c r="F145" s="208"/>
      <c r="G145" s="209"/>
      <c r="H145" s="153"/>
      <c r="I145" s="127"/>
      <c r="J145" s="154" t="s">
        <v>121</v>
      </c>
      <c r="K145" s="150" t="s">
        <v>122</v>
      </c>
      <c r="L145" s="151"/>
      <c r="M145" s="151"/>
      <c r="N145" s="151"/>
      <c r="O145" s="108"/>
      <c r="P145" s="143"/>
      <c r="Q145" s="170"/>
      <c r="R145" s="170"/>
      <c r="S145" s="170"/>
      <c r="T145" s="170"/>
      <c r="U145" s="170"/>
      <c r="V145" s="170"/>
    </row>
    <row r="146" spans="1:22" s="144" customFormat="1" ht="15" customHeight="1" x14ac:dyDescent="0.25">
      <c r="A146" s="155" t="str">
        <f>IF(C146="","",COUNT($C$21:D146)&amp;".")</f>
        <v/>
      </c>
      <c r="B146" s="156" t="str">
        <f t="shared" si="3"/>
        <v/>
      </c>
      <c r="C146" s="158"/>
      <c r="D146" s="157" t="str">
        <f>IF(C146="","",PROPER(DATA!$E$17)&amp;" "&amp;DATA!$G$17)</f>
        <v/>
      </c>
      <c r="E146" s="207"/>
      <c r="F146" s="208"/>
      <c r="G146" s="209"/>
      <c r="H146" s="153"/>
      <c r="I146" s="127"/>
      <c r="J146" s="154" t="s">
        <v>121</v>
      </c>
      <c r="K146" s="150" t="s">
        <v>122</v>
      </c>
      <c r="L146" s="151"/>
      <c r="M146" s="151"/>
      <c r="N146" s="151"/>
      <c r="O146" s="108"/>
      <c r="P146" s="143"/>
      <c r="Q146" s="170"/>
      <c r="R146" s="170"/>
      <c r="S146" s="170"/>
      <c r="T146" s="170"/>
      <c r="U146" s="170"/>
      <c r="V146" s="170"/>
    </row>
    <row r="147" spans="1:22" s="144" customFormat="1" ht="15" customHeight="1" x14ac:dyDescent="0.25">
      <c r="A147" s="155" t="str">
        <f>IF(C147="","",COUNT($C$21:D147)&amp;".")</f>
        <v/>
      </c>
      <c r="B147" s="156" t="str">
        <f t="shared" si="3"/>
        <v/>
      </c>
      <c r="C147" s="158"/>
      <c r="D147" s="157" t="str">
        <f>IF(C147="","",PROPER(DATA!$E$17)&amp;" "&amp;DATA!$G$17)</f>
        <v/>
      </c>
      <c r="E147" s="207"/>
      <c r="F147" s="208"/>
      <c r="G147" s="209"/>
      <c r="H147" s="153"/>
      <c r="I147" s="127"/>
      <c r="J147" s="154" t="s">
        <v>121</v>
      </c>
      <c r="K147" s="150" t="s">
        <v>122</v>
      </c>
      <c r="L147" s="151"/>
      <c r="M147" s="151"/>
      <c r="N147" s="151"/>
      <c r="O147" s="108"/>
      <c r="P147" s="143"/>
      <c r="Q147" s="170"/>
      <c r="R147" s="170"/>
      <c r="S147" s="170"/>
      <c r="T147" s="170"/>
      <c r="U147" s="170"/>
      <c r="V147" s="170"/>
    </row>
    <row r="148" spans="1:22" s="144" customFormat="1" ht="15" customHeight="1" x14ac:dyDescent="0.25">
      <c r="A148" s="155" t="str">
        <f>IF(C148="","",COUNT($C$21:D148)&amp;".")</f>
        <v/>
      </c>
      <c r="B148" s="156" t="str">
        <f t="shared" si="3"/>
        <v/>
      </c>
      <c r="C148" s="158"/>
      <c r="D148" s="157" t="str">
        <f>IF(C148="","",PROPER(DATA!$E$17)&amp;" "&amp;DATA!$G$17)</f>
        <v/>
      </c>
      <c r="E148" s="150"/>
      <c r="F148" s="208"/>
      <c r="G148" s="209"/>
      <c r="H148" s="153"/>
      <c r="I148" s="127"/>
      <c r="J148" s="154" t="s">
        <v>121</v>
      </c>
      <c r="K148" s="150" t="s">
        <v>122</v>
      </c>
      <c r="L148" s="151"/>
      <c r="M148" s="151"/>
      <c r="N148" s="151"/>
      <c r="O148" s="108"/>
      <c r="P148" s="143"/>
      <c r="Q148" s="170"/>
      <c r="R148" s="170"/>
      <c r="S148" s="170"/>
      <c r="T148" s="170"/>
      <c r="U148" s="170"/>
      <c r="V148" s="170"/>
    </row>
    <row r="149" spans="1:22" s="144" customFormat="1" ht="15" customHeight="1" x14ac:dyDescent="0.25">
      <c r="A149" s="155" t="str">
        <f>IF(C149="","",COUNT($C$21:D149)&amp;".")</f>
        <v/>
      </c>
      <c r="B149" s="156" t="str">
        <f t="shared" si="3"/>
        <v/>
      </c>
      <c r="C149" s="158"/>
      <c r="D149" s="157" t="str">
        <f>IF(C149="","",PROPER(DATA!$E$17)&amp;" "&amp;DATA!$G$17)</f>
        <v/>
      </c>
      <c r="E149" s="150"/>
      <c r="F149" s="208"/>
      <c r="G149" s="209"/>
      <c r="H149" s="153"/>
      <c r="I149" s="127"/>
      <c r="J149" s="154" t="s">
        <v>121</v>
      </c>
      <c r="K149" s="150" t="s">
        <v>122</v>
      </c>
      <c r="L149" s="151"/>
      <c r="M149" s="151"/>
      <c r="N149" s="151"/>
      <c r="O149" s="108"/>
      <c r="P149" s="143"/>
      <c r="Q149" s="170"/>
      <c r="R149" s="170"/>
      <c r="S149" s="170"/>
      <c r="T149" s="170"/>
      <c r="U149" s="170"/>
      <c r="V149" s="170"/>
    </row>
    <row r="150" spans="1:22" s="144" customFormat="1" ht="15" customHeight="1" x14ac:dyDescent="0.25">
      <c r="A150" s="155" t="str">
        <f>IF(C150="","",COUNT($C$21:D150)&amp;".")</f>
        <v/>
      </c>
      <c r="B150" s="156" t="str">
        <f t="shared" si="3"/>
        <v/>
      </c>
      <c r="C150" s="158"/>
      <c r="D150" s="157" t="str">
        <f>IF(C150="","",PROPER(DATA!$E$17)&amp;" "&amp;DATA!$G$17)</f>
        <v/>
      </c>
      <c r="E150" s="150"/>
      <c r="F150" s="208"/>
      <c r="G150" s="209"/>
      <c r="H150" s="153"/>
      <c r="I150" s="127"/>
      <c r="J150" s="154" t="s">
        <v>121</v>
      </c>
      <c r="K150" s="150" t="s">
        <v>122</v>
      </c>
      <c r="L150" s="151"/>
      <c r="M150" s="151"/>
      <c r="N150" s="151"/>
      <c r="O150" s="108"/>
      <c r="P150" s="143"/>
      <c r="Q150" s="170"/>
      <c r="R150" s="170"/>
      <c r="S150" s="170"/>
      <c r="T150" s="170"/>
      <c r="U150" s="170"/>
      <c r="V150" s="170"/>
    </row>
    <row r="151" spans="1:22" s="144" customFormat="1" ht="15" customHeight="1" x14ac:dyDescent="0.25">
      <c r="A151" s="155" t="str">
        <f>IF(C151="","",COUNT($C$21:D151)&amp;".")</f>
        <v/>
      </c>
      <c r="B151" s="156" t="str">
        <f t="shared" si="3"/>
        <v/>
      </c>
      <c r="C151" s="158"/>
      <c r="D151" s="157" t="str">
        <f>IF(C151="","",PROPER(DATA!$E$17)&amp;" "&amp;DATA!$G$17)</f>
        <v/>
      </c>
      <c r="E151" s="150"/>
      <c r="F151" s="208"/>
      <c r="G151" s="209"/>
      <c r="H151" s="153"/>
      <c r="I151" s="127"/>
      <c r="J151" s="154" t="s">
        <v>121</v>
      </c>
      <c r="K151" s="150" t="s">
        <v>122</v>
      </c>
      <c r="L151" s="151"/>
      <c r="M151" s="151"/>
      <c r="N151" s="151"/>
      <c r="O151" s="108"/>
      <c r="P151" s="143"/>
      <c r="Q151" s="170"/>
      <c r="R151" s="170"/>
      <c r="S151" s="170"/>
      <c r="T151" s="170"/>
      <c r="U151" s="170"/>
      <c r="V151" s="170"/>
    </row>
    <row r="152" spans="1:22" s="144" customFormat="1" ht="15" customHeight="1" x14ac:dyDescent="0.25">
      <c r="A152" s="155" t="str">
        <f>IF(C152="","",COUNT($C$21:D152)&amp;".")</f>
        <v/>
      </c>
      <c r="B152" s="156" t="str">
        <f t="shared" si="3"/>
        <v/>
      </c>
      <c r="C152" s="158"/>
      <c r="D152" s="157" t="str">
        <f>IF(C152="","",PROPER(DATA!$E$17)&amp;" "&amp;DATA!$G$17)</f>
        <v/>
      </c>
      <c r="E152" s="150"/>
      <c r="F152" s="208"/>
      <c r="G152" s="209"/>
      <c r="H152" s="153"/>
      <c r="I152" s="127"/>
      <c r="J152" s="154" t="s">
        <v>121</v>
      </c>
      <c r="K152" s="150" t="s">
        <v>122</v>
      </c>
      <c r="L152" s="151"/>
      <c r="M152" s="151"/>
      <c r="N152" s="151"/>
      <c r="O152" s="108"/>
      <c r="P152" s="143"/>
      <c r="Q152" s="170"/>
      <c r="R152" s="170"/>
      <c r="S152" s="170"/>
      <c r="T152" s="170"/>
      <c r="U152" s="170"/>
      <c r="V152" s="170"/>
    </row>
    <row r="153" spans="1:22" s="144" customFormat="1" ht="15" customHeight="1" x14ac:dyDescent="0.25">
      <c r="A153" s="155" t="str">
        <f>IF(C153="","",COUNT($C$21:D153)&amp;".")</f>
        <v/>
      </c>
      <c r="B153" s="156" t="str">
        <f t="shared" si="3"/>
        <v/>
      </c>
      <c r="C153" s="158"/>
      <c r="D153" s="157" t="str">
        <f>IF(C153="","",PROPER(DATA!$E$17)&amp;" "&amp;DATA!$G$17)</f>
        <v/>
      </c>
      <c r="E153" s="150"/>
      <c r="F153" s="208"/>
      <c r="G153" s="209"/>
      <c r="H153" s="153"/>
      <c r="I153" s="127"/>
      <c r="J153" s="154" t="s">
        <v>121</v>
      </c>
      <c r="K153" s="150" t="s">
        <v>122</v>
      </c>
      <c r="L153" s="151"/>
      <c r="M153" s="151"/>
      <c r="N153" s="151"/>
      <c r="O153" s="108"/>
      <c r="P153" s="143"/>
      <c r="Q153" s="170"/>
      <c r="R153" s="170"/>
      <c r="S153" s="170"/>
      <c r="T153" s="170"/>
      <c r="U153" s="170"/>
      <c r="V153" s="170"/>
    </row>
    <row r="154" spans="1:22" s="144" customFormat="1" ht="15" customHeight="1" x14ac:dyDescent="0.25">
      <c r="A154" s="155" t="str">
        <f>IF(C154="","",COUNT($C$21:D154)&amp;".")</f>
        <v/>
      </c>
      <c r="B154" s="156" t="str">
        <f t="shared" si="3"/>
        <v/>
      </c>
      <c r="C154" s="158"/>
      <c r="D154" s="157" t="str">
        <f>IF(C154="","",PROPER(DATA!$E$17)&amp;" "&amp;DATA!$G$17)</f>
        <v/>
      </c>
      <c r="E154" s="150"/>
      <c r="F154" s="208"/>
      <c r="G154" s="209"/>
      <c r="H154" s="153"/>
      <c r="I154" s="211"/>
      <c r="J154" s="154" t="s">
        <v>121</v>
      </c>
      <c r="K154" s="150" t="s">
        <v>122</v>
      </c>
      <c r="L154" s="151"/>
      <c r="M154" s="151"/>
      <c r="N154" s="151"/>
      <c r="O154" s="108"/>
      <c r="P154" s="143"/>
      <c r="Q154" s="170"/>
      <c r="R154" s="170"/>
      <c r="S154" s="170"/>
      <c r="T154" s="170"/>
      <c r="U154" s="170"/>
      <c r="V154" s="170"/>
    </row>
    <row r="155" spans="1:22" s="144" customFormat="1" ht="15" customHeight="1" x14ac:dyDescent="0.25">
      <c r="A155" s="155" t="str">
        <f>IF(C155="","",COUNT($C$21:D155)&amp;".")</f>
        <v/>
      </c>
      <c r="B155" s="156" t="str">
        <f t="shared" si="3"/>
        <v/>
      </c>
      <c r="C155" s="158"/>
      <c r="D155" s="157" t="str">
        <f>IF(C155="","",PROPER(DATA!$E$17)&amp;" "&amp;DATA!$G$17)</f>
        <v/>
      </c>
      <c r="E155" s="207"/>
      <c r="F155" s="208"/>
      <c r="G155" s="209"/>
      <c r="H155" s="153"/>
      <c r="I155" s="211"/>
      <c r="J155" s="154" t="s">
        <v>121</v>
      </c>
      <c r="K155" s="150" t="s">
        <v>122</v>
      </c>
      <c r="L155" s="151"/>
      <c r="M155" s="151"/>
      <c r="N155" s="151"/>
      <c r="O155" s="108"/>
      <c r="P155" s="143"/>
      <c r="Q155" s="170"/>
      <c r="R155" s="170"/>
      <c r="S155" s="170"/>
      <c r="T155" s="170"/>
      <c r="U155" s="170"/>
      <c r="V155" s="170"/>
    </row>
    <row r="156" spans="1:22" s="144" customFormat="1" ht="15" customHeight="1" x14ac:dyDescent="0.25">
      <c r="A156" s="155" t="str">
        <f>IF(C156="","",COUNT($C$21:D156)&amp;".")</f>
        <v/>
      </c>
      <c r="B156" s="156" t="str">
        <f t="shared" si="3"/>
        <v/>
      </c>
      <c r="C156" s="158"/>
      <c r="D156" s="157" t="str">
        <f>IF(C156="","",PROPER(DATA!$E$17)&amp;" "&amp;DATA!$G$17)</f>
        <v/>
      </c>
      <c r="E156" s="207"/>
      <c r="F156" s="208"/>
      <c r="G156" s="209"/>
      <c r="H156" s="153"/>
      <c r="I156" s="127"/>
      <c r="J156" s="154" t="s">
        <v>121</v>
      </c>
      <c r="K156" s="150" t="s">
        <v>122</v>
      </c>
      <c r="L156" s="151"/>
      <c r="M156" s="151"/>
      <c r="N156" s="151"/>
      <c r="O156" s="108"/>
      <c r="P156" s="143"/>
      <c r="Q156" s="170"/>
      <c r="R156" s="170"/>
      <c r="S156" s="170"/>
      <c r="T156" s="170"/>
      <c r="U156" s="170"/>
      <c r="V156" s="170"/>
    </row>
    <row r="157" spans="1:22" s="144" customFormat="1" ht="15" customHeight="1" x14ac:dyDescent="0.25">
      <c r="A157" s="155" t="str">
        <f>IF(C157="","",COUNT($C$21:D157)&amp;".")</f>
        <v/>
      </c>
      <c r="B157" s="156" t="str">
        <f t="shared" si="3"/>
        <v/>
      </c>
      <c r="C157" s="158"/>
      <c r="D157" s="157" t="str">
        <f>IF(C157="","",PROPER(DATA!$E$17)&amp;" "&amp;DATA!$G$17)</f>
        <v/>
      </c>
      <c r="E157" s="207"/>
      <c r="F157" s="208"/>
      <c r="G157" s="207"/>
      <c r="H157" s="153"/>
      <c r="I157" s="127"/>
      <c r="J157" s="154" t="s">
        <v>121</v>
      </c>
      <c r="K157" s="150" t="s">
        <v>122</v>
      </c>
      <c r="L157" s="151"/>
      <c r="M157" s="151"/>
      <c r="N157" s="151"/>
      <c r="O157" s="108"/>
      <c r="P157" s="143"/>
      <c r="Q157" s="170"/>
      <c r="R157" s="170"/>
      <c r="S157" s="170"/>
      <c r="T157" s="170"/>
      <c r="U157" s="170"/>
      <c r="V157" s="170"/>
    </row>
    <row r="158" spans="1:22" s="144" customFormat="1" ht="15" customHeight="1" x14ac:dyDescent="0.25">
      <c r="A158" s="155" t="str">
        <f>IF(C158="","",COUNT($C$21:D158)&amp;".")</f>
        <v/>
      </c>
      <c r="B158" s="156" t="str">
        <f t="shared" si="3"/>
        <v/>
      </c>
      <c r="C158" s="158"/>
      <c r="D158" s="157" t="str">
        <f>IF(C158="","",PROPER(DATA!$E$17)&amp;" "&amp;DATA!$G$17)</f>
        <v/>
      </c>
      <c r="E158" s="207"/>
      <c r="F158" s="208"/>
      <c r="G158" s="209"/>
      <c r="H158" s="153"/>
      <c r="I158" s="127"/>
      <c r="J158" s="154" t="s">
        <v>121</v>
      </c>
      <c r="K158" s="150" t="s">
        <v>122</v>
      </c>
      <c r="L158" s="151"/>
      <c r="M158" s="151"/>
      <c r="N158" s="151"/>
      <c r="O158" s="108"/>
      <c r="P158" s="143"/>
      <c r="Q158" s="170"/>
      <c r="R158" s="170"/>
      <c r="S158" s="170"/>
      <c r="T158" s="170"/>
      <c r="U158" s="170"/>
      <c r="V158" s="170"/>
    </row>
    <row r="159" spans="1:22" s="144" customFormat="1" ht="15" customHeight="1" x14ac:dyDescent="0.25">
      <c r="A159" s="155" t="str">
        <f>IF(C159="","",COUNT($C$21:D159)&amp;".")</f>
        <v/>
      </c>
      <c r="B159" s="156" t="str">
        <f t="shared" si="3"/>
        <v/>
      </c>
      <c r="C159" s="158"/>
      <c r="D159" s="157" t="str">
        <f>IF(C159="","",PROPER(DATA!$E$17)&amp;" "&amp;DATA!$G$17)</f>
        <v/>
      </c>
      <c r="E159" s="150"/>
      <c r="F159" s="151"/>
      <c r="G159" s="152"/>
      <c r="H159" s="153"/>
      <c r="I159" s="127"/>
      <c r="J159" s="154" t="s">
        <v>121</v>
      </c>
      <c r="K159" s="150" t="s">
        <v>122</v>
      </c>
      <c r="L159" s="151"/>
      <c r="M159" s="151"/>
      <c r="N159" s="151"/>
      <c r="O159" s="108"/>
      <c r="P159" s="143"/>
      <c r="Q159" s="170"/>
      <c r="R159" s="170"/>
      <c r="S159" s="170"/>
      <c r="T159" s="170"/>
      <c r="U159" s="170"/>
      <c r="V159" s="170"/>
    </row>
    <row r="160" spans="1:22" s="144" customFormat="1" ht="15" customHeight="1" x14ac:dyDescent="0.25">
      <c r="A160" s="155" t="str">
        <f>IF(C160="","",COUNT($C$21:D160)&amp;".")</f>
        <v/>
      </c>
      <c r="B160" s="156" t="str">
        <f t="shared" si="3"/>
        <v/>
      </c>
      <c r="C160" s="158"/>
      <c r="D160" s="157" t="str">
        <f>IF(C160="","",PROPER(DATA!$E$17)&amp;" "&amp;DATA!$G$17)</f>
        <v/>
      </c>
      <c r="E160" s="150"/>
      <c r="F160" s="151"/>
      <c r="G160" s="152"/>
      <c r="H160" s="153"/>
      <c r="I160" s="127"/>
      <c r="J160" s="154" t="s">
        <v>121</v>
      </c>
      <c r="K160" s="150" t="s">
        <v>122</v>
      </c>
      <c r="L160" s="151"/>
      <c r="M160" s="151"/>
      <c r="N160" s="151"/>
      <c r="O160" s="108"/>
      <c r="P160" s="143"/>
      <c r="Q160" s="170"/>
      <c r="R160" s="170"/>
      <c r="S160" s="170"/>
      <c r="T160" s="170"/>
      <c r="U160" s="170"/>
      <c r="V160" s="170"/>
    </row>
    <row r="161" spans="1:22" s="144" customFormat="1" ht="15" customHeight="1" x14ac:dyDescent="0.25">
      <c r="A161" s="155" t="str">
        <f>IF(C161="","",COUNT($C$21:D161)&amp;".")</f>
        <v/>
      </c>
      <c r="B161" s="156" t="str">
        <f t="shared" si="3"/>
        <v/>
      </c>
      <c r="C161" s="158"/>
      <c r="D161" s="157" t="str">
        <f>IF(C161="","",PROPER(DATA!$E$17)&amp;" "&amp;DATA!$G$17)</f>
        <v/>
      </c>
      <c r="E161" s="150"/>
      <c r="F161" s="151"/>
      <c r="G161" s="152"/>
      <c r="H161" s="153"/>
      <c r="I161" s="127"/>
      <c r="J161" s="154" t="s">
        <v>121</v>
      </c>
      <c r="K161" s="150" t="s">
        <v>122</v>
      </c>
      <c r="L161" s="151"/>
      <c r="M161" s="151"/>
      <c r="N161" s="151"/>
      <c r="O161" s="108"/>
      <c r="P161" s="143"/>
      <c r="Q161" s="170"/>
      <c r="R161" s="170"/>
      <c r="S161" s="170"/>
      <c r="T161" s="170"/>
      <c r="U161" s="170"/>
      <c r="V161" s="170"/>
    </row>
    <row r="162" spans="1:22" s="144" customFormat="1" ht="15" customHeight="1" x14ac:dyDescent="0.25">
      <c r="A162" s="155" t="str">
        <f>IF(C162="","",COUNT($C$21:D162)&amp;".")</f>
        <v/>
      </c>
      <c r="B162" s="156" t="str">
        <f t="shared" si="3"/>
        <v/>
      </c>
      <c r="C162" s="158"/>
      <c r="D162" s="157" t="str">
        <f>IF(C162="","",PROPER(DATA!$E$17)&amp;" "&amp;DATA!$G$17)</f>
        <v/>
      </c>
      <c r="E162" s="150"/>
      <c r="F162" s="151"/>
      <c r="G162" s="152"/>
      <c r="H162" s="153"/>
      <c r="I162" s="127"/>
      <c r="J162" s="154" t="s">
        <v>121</v>
      </c>
      <c r="K162" s="150" t="s">
        <v>122</v>
      </c>
      <c r="L162" s="151"/>
      <c r="M162" s="151"/>
      <c r="N162" s="151"/>
      <c r="O162" s="108"/>
      <c r="P162" s="143"/>
      <c r="Q162" s="170"/>
      <c r="R162" s="170"/>
      <c r="S162" s="170"/>
      <c r="T162" s="170"/>
      <c r="U162" s="170"/>
      <c r="V162" s="170"/>
    </row>
    <row r="163" spans="1:22" s="144" customFormat="1" ht="15" customHeight="1" x14ac:dyDescent="0.25">
      <c r="A163" s="155" t="str">
        <f>IF(C163="","",COUNT($C$21:D163)&amp;".")</f>
        <v/>
      </c>
      <c r="B163" s="156" t="str">
        <f t="shared" si="3"/>
        <v/>
      </c>
      <c r="C163" s="158"/>
      <c r="D163" s="157" t="str">
        <f>IF(C163="","",PROPER(DATA!$E$17)&amp;" "&amp;DATA!$G$17)</f>
        <v/>
      </c>
      <c r="E163" s="150"/>
      <c r="F163" s="151"/>
      <c r="G163" s="152"/>
      <c r="H163" s="153"/>
      <c r="I163" s="127"/>
      <c r="J163" s="154" t="s">
        <v>121</v>
      </c>
      <c r="K163" s="150" t="s">
        <v>122</v>
      </c>
      <c r="L163" s="151"/>
      <c r="M163" s="151"/>
      <c r="N163" s="151"/>
      <c r="O163" s="108"/>
      <c r="P163" s="143"/>
      <c r="Q163" s="170"/>
      <c r="R163" s="170"/>
      <c r="S163" s="170"/>
      <c r="T163" s="170"/>
      <c r="U163" s="170"/>
      <c r="V163" s="170"/>
    </row>
    <row r="164" spans="1:22" s="144" customFormat="1" ht="15" customHeight="1" x14ac:dyDescent="0.25">
      <c r="A164" s="155" t="str">
        <f>IF(C164="","",COUNT($C$21:D164)&amp;".")</f>
        <v/>
      </c>
      <c r="B164" s="156" t="str">
        <f t="shared" si="3"/>
        <v/>
      </c>
      <c r="C164" s="158"/>
      <c r="D164" s="157" t="str">
        <f>IF(C164="","",PROPER(DATA!$E$17)&amp;" "&amp;DATA!$G$17)</f>
        <v/>
      </c>
      <c r="E164" s="150"/>
      <c r="F164" s="151"/>
      <c r="G164" s="152"/>
      <c r="H164" s="153"/>
      <c r="I164" s="127"/>
      <c r="J164" s="154" t="s">
        <v>121</v>
      </c>
      <c r="K164" s="150" t="s">
        <v>122</v>
      </c>
      <c r="L164" s="151"/>
      <c r="M164" s="151"/>
      <c r="N164" s="151"/>
      <c r="O164" s="108"/>
      <c r="P164" s="143"/>
      <c r="Q164" s="170"/>
      <c r="R164" s="170"/>
      <c r="S164" s="170"/>
      <c r="T164" s="170"/>
      <c r="U164" s="170"/>
      <c r="V164" s="170"/>
    </row>
    <row r="165" spans="1:22" s="144" customFormat="1" ht="15" customHeight="1" x14ac:dyDescent="0.25">
      <c r="A165" s="155" t="str">
        <f>IF(C165="","",COUNT($C$21:D165)&amp;".")</f>
        <v/>
      </c>
      <c r="B165" s="156" t="str">
        <f t="shared" si="3"/>
        <v/>
      </c>
      <c r="C165" s="158"/>
      <c r="D165" s="157" t="str">
        <f>IF(C165="","",PROPER(DATA!$E$17)&amp;" "&amp;DATA!$G$17)</f>
        <v/>
      </c>
      <c r="E165" s="150"/>
      <c r="F165" s="151"/>
      <c r="G165" s="150"/>
      <c r="H165" s="153"/>
      <c r="I165" s="127"/>
      <c r="J165" s="154" t="s">
        <v>121</v>
      </c>
      <c r="K165" s="150" t="s">
        <v>122</v>
      </c>
      <c r="L165" s="151"/>
      <c r="M165" s="151"/>
      <c r="N165" s="151"/>
      <c r="O165" s="108"/>
      <c r="P165" s="143"/>
      <c r="Q165" s="170"/>
      <c r="R165" s="170"/>
      <c r="S165" s="170"/>
      <c r="T165" s="170"/>
      <c r="U165" s="170"/>
      <c r="V165" s="170"/>
    </row>
    <row r="166" spans="1:22" s="144" customFormat="1" ht="15" customHeight="1" x14ac:dyDescent="0.25">
      <c r="A166" s="155" t="str">
        <f>IF(C166="","",COUNT($C$21:D166)&amp;".")</f>
        <v/>
      </c>
      <c r="B166" s="156" t="str">
        <f t="shared" si="3"/>
        <v/>
      </c>
      <c r="C166" s="158"/>
      <c r="D166" s="157" t="str">
        <f>IF(C166="","",PROPER(DATA!$E$17)&amp;" "&amp;DATA!$G$17)</f>
        <v/>
      </c>
      <c r="E166" s="150"/>
      <c r="F166" s="151"/>
      <c r="G166" s="152"/>
      <c r="H166" s="153"/>
      <c r="I166" s="127"/>
      <c r="J166" s="154" t="s">
        <v>121</v>
      </c>
      <c r="K166" s="150" t="s">
        <v>122</v>
      </c>
      <c r="L166" s="151"/>
      <c r="M166" s="151"/>
      <c r="N166" s="151"/>
      <c r="O166" s="108"/>
      <c r="P166" s="143"/>
      <c r="Q166" s="170"/>
      <c r="R166" s="170"/>
      <c r="S166" s="170"/>
      <c r="T166" s="170"/>
      <c r="U166" s="170"/>
      <c r="V166" s="170"/>
    </row>
    <row r="167" spans="1:22" s="144" customFormat="1" ht="15" customHeight="1" x14ac:dyDescent="0.25">
      <c r="A167" s="155" t="str">
        <f>IF(C167="","",COUNT($C$21:D167)&amp;".")</f>
        <v/>
      </c>
      <c r="B167" s="156" t="str">
        <f t="shared" si="3"/>
        <v/>
      </c>
      <c r="C167" s="158"/>
      <c r="D167" s="157" t="str">
        <f>IF(C167="","",PROPER(DATA!$E$17)&amp;" "&amp;DATA!$G$17)</f>
        <v/>
      </c>
      <c r="E167" s="150"/>
      <c r="F167" s="151"/>
      <c r="G167" s="152"/>
      <c r="H167" s="153"/>
      <c r="I167" s="127"/>
      <c r="J167" s="154" t="s">
        <v>121</v>
      </c>
      <c r="K167" s="150" t="s">
        <v>122</v>
      </c>
      <c r="L167" s="151"/>
      <c r="M167" s="151"/>
      <c r="N167" s="151"/>
      <c r="O167" s="108"/>
      <c r="P167" s="143"/>
      <c r="Q167" s="170"/>
      <c r="R167" s="170"/>
      <c r="S167" s="170"/>
      <c r="T167" s="170"/>
      <c r="U167" s="170"/>
      <c r="V167" s="170"/>
    </row>
    <row r="168" spans="1:22" s="144" customFormat="1" ht="15" customHeight="1" x14ac:dyDescent="0.25">
      <c r="A168" s="155" t="str">
        <f>IF(C168="","",COUNT($C$21:D168)&amp;".")</f>
        <v/>
      </c>
      <c r="B168" s="156" t="str">
        <f t="shared" si="3"/>
        <v/>
      </c>
      <c r="C168" s="158"/>
      <c r="D168" s="157" t="str">
        <f>IF(C168="","",PROPER(DATA!$E$17)&amp;" "&amp;DATA!$G$17)</f>
        <v/>
      </c>
      <c r="E168" s="150"/>
      <c r="F168" s="151"/>
      <c r="G168" s="152"/>
      <c r="H168" s="153"/>
      <c r="I168" s="127"/>
      <c r="J168" s="154" t="s">
        <v>121</v>
      </c>
      <c r="K168" s="150" t="s">
        <v>122</v>
      </c>
      <c r="L168" s="151"/>
      <c r="M168" s="151"/>
      <c r="N168" s="151"/>
      <c r="O168" s="108"/>
      <c r="P168" s="143"/>
      <c r="Q168" s="170"/>
      <c r="R168" s="170"/>
      <c r="S168" s="170"/>
      <c r="T168" s="170"/>
      <c r="U168" s="170"/>
      <c r="V168" s="170"/>
    </row>
    <row r="169" spans="1:22" s="144" customFormat="1" ht="15" customHeight="1" x14ac:dyDescent="0.25">
      <c r="A169" s="155" t="str">
        <f>IF(C169="","",COUNT($C$21:D169)&amp;".")</f>
        <v/>
      </c>
      <c r="B169" s="156" t="str">
        <f t="shared" si="3"/>
        <v/>
      </c>
      <c r="C169" s="158"/>
      <c r="D169" s="157" t="str">
        <f>IF(C169="","",PROPER(DATA!$E$17)&amp;" "&amp;DATA!$G$17)</f>
        <v/>
      </c>
      <c r="E169" s="150"/>
      <c r="F169" s="151"/>
      <c r="G169" s="152"/>
      <c r="H169" s="153"/>
      <c r="I169" s="127"/>
      <c r="J169" s="154" t="s">
        <v>121</v>
      </c>
      <c r="K169" s="150" t="s">
        <v>122</v>
      </c>
      <c r="L169" s="151"/>
      <c r="M169" s="151"/>
      <c r="N169" s="151"/>
      <c r="O169" s="108"/>
      <c r="P169" s="143"/>
      <c r="Q169" s="170"/>
      <c r="R169" s="170"/>
      <c r="S169" s="170"/>
      <c r="T169" s="170"/>
      <c r="U169" s="170"/>
      <c r="V169" s="170"/>
    </row>
    <row r="170" spans="1:22" s="144" customFormat="1" ht="15" customHeight="1" x14ac:dyDescent="0.25">
      <c r="A170" s="155" t="str">
        <f>IF(C170="","",COUNT($C$21:D170)&amp;".")</f>
        <v/>
      </c>
      <c r="B170" s="156" t="str">
        <f t="shared" si="3"/>
        <v/>
      </c>
      <c r="C170" s="158"/>
      <c r="D170" s="157" t="str">
        <f>IF(C170="","",PROPER(DATA!$E$17)&amp;" "&amp;DATA!$G$17)</f>
        <v/>
      </c>
      <c r="E170" s="150"/>
      <c r="F170" s="151"/>
      <c r="G170" s="152"/>
      <c r="H170" s="153"/>
      <c r="I170" s="127"/>
      <c r="J170" s="154" t="s">
        <v>121</v>
      </c>
      <c r="K170" s="150" t="s">
        <v>122</v>
      </c>
      <c r="L170" s="151"/>
      <c r="M170" s="151"/>
      <c r="N170" s="151"/>
      <c r="O170" s="108"/>
      <c r="P170" s="143"/>
      <c r="Q170" s="170"/>
      <c r="R170" s="170"/>
      <c r="S170" s="170"/>
      <c r="T170" s="170"/>
      <c r="U170" s="170"/>
      <c r="V170" s="170"/>
    </row>
    <row r="171" spans="1:22" s="144" customFormat="1" ht="15" customHeight="1" x14ac:dyDescent="0.25">
      <c r="A171" s="155" t="str">
        <f>IF(C171="","",COUNT($C$21:D171)&amp;".")</f>
        <v/>
      </c>
      <c r="B171" s="156" t="str">
        <f t="shared" si="3"/>
        <v/>
      </c>
      <c r="C171" s="158"/>
      <c r="D171" s="157" t="str">
        <f>IF(C171="","",PROPER(DATA!$E$17)&amp;" "&amp;DATA!$G$17)</f>
        <v/>
      </c>
      <c r="E171" s="150"/>
      <c r="F171" s="151"/>
      <c r="G171" s="152"/>
      <c r="H171" s="153"/>
      <c r="I171" s="127"/>
      <c r="J171" s="154" t="s">
        <v>121</v>
      </c>
      <c r="K171" s="150" t="s">
        <v>122</v>
      </c>
      <c r="L171" s="151"/>
      <c r="M171" s="151"/>
      <c r="N171" s="151"/>
      <c r="O171" s="108"/>
      <c r="P171" s="143"/>
      <c r="Q171" s="170"/>
      <c r="R171" s="170"/>
      <c r="S171" s="170"/>
      <c r="T171" s="170"/>
      <c r="U171" s="170"/>
      <c r="V171" s="170"/>
    </row>
    <row r="172" spans="1:22" s="144" customFormat="1" ht="15" customHeight="1" x14ac:dyDescent="0.25">
      <c r="A172" s="160"/>
      <c r="B172" s="156" t="str">
        <f t="shared" si="3"/>
        <v/>
      </c>
      <c r="C172" s="158"/>
      <c r="D172" s="157" t="str">
        <f>IF(C172="","",PROPER(DATA!$E$17)&amp;" "&amp;DATA!$G$17)</f>
        <v/>
      </c>
      <c r="E172" s="150"/>
      <c r="F172" s="151"/>
      <c r="G172" s="152"/>
      <c r="H172" s="153"/>
      <c r="I172" s="127"/>
      <c r="J172" s="154" t="s">
        <v>121</v>
      </c>
      <c r="K172" s="150" t="s">
        <v>122</v>
      </c>
      <c r="L172" s="151"/>
      <c r="M172" s="151"/>
      <c r="N172" s="151"/>
      <c r="O172" s="108"/>
      <c r="P172" s="143"/>
      <c r="Q172" s="170"/>
      <c r="R172" s="170"/>
      <c r="S172" s="170"/>
      <c r="T172" s="170"/>
      <c r="U172" s="170"/>
      <c r="V172" s="170"/>
    </row>
    <row r="173" spans="1:22" s="144" customFormat="1" ht="15" customHeight="1" x14ac:dyDescent="0.25">
      <c r="A173" s="155" t="str">
        <f>IF(C173="","",COUNT($C$21:D173)&amp;".")</f>
        <v/>
      </c>
      <c r="B173" s="156" t="str">
        <f t="shared" si="3"/>
        <v/>
      </c>
      <c r="C173" s="158"/>
      <c r="D173" s="157" t="str">
        <f>IF(C173="","",PROPER(DATA!$E$17)&amp;" "&amp;DATA!$G$17)</f>
        <v/>
      </c>
      <c r="E173" s="150"/>
      <c r="F173" s="151"/>
      <c r="G173" s="152"/>
      <c r="H173" s="153"/>
      <c r="I173" s="127"/>
      <c r="J173" s="154" t="s">
        <v>121</v>
      </c>
      <c r="K173" s="150" t="s">
        <v>122</v>
      </c>
      <c r="L173" s="151"/>
      <c r="M173" s="151"/>
      <c r="N173" s="151"/>
      <c r="O173" s="108"/>
      <c r="P173" s="143"/>
      <c r="Q173" s="170"/>
      <c r="R173" s="170"/>
      <c r="S173" s="170"/>
      <c r="T173" s="170"/>
      <c r="U173" s="170"/>
      <c r="V173" s="170"/>
    </row>
    <row r="174" spans="1:22" s="144" customFormat="1" ht="15" customHeight="1" x14ac:dyDescent="0.25">
      <c r="A174" s="155" t="str">
        <f>IF(C174="","",COUNT($C$21:D174)&amp;".")</f>
        <v/>
      </c>
      <c r="B174" s="156" t="str">
        <f t="shared" si="3"/>
        <v/>
      </c>
      <c r="C174" s="158"/>
      <c r="D174" s="157" t="str">
        <f>IF(C174="","",PROPER(DATA!$E$17)&amp;" "&amp;DATA!$G$17)</f>
        <v/>
      </c>
      <c r="E174" s="150"/>
      <c r="F174" s="151"/>
      <c r="G174" s="152"/>
      <c r="H174" s="153"/>
      <c r="I174" s="127"/>
      <c r="J174" s="154" t="s">
        <v>121</v>
      </c>
      <c r="K174" s="150" t="s">
        <v>122</v>
      </c>
      <c r="L174" s="151"/>
      <c r="M174" s="151"/>
      <c r="N174" s="151"/>
      <c r="O174" s="108"/>
      <c r="P174" s="143"/>
      <c r="Q174" s="170"/>
      <c r="R174" s="170"/>
      <c r="S174" s="170"/>
      <c r="T174" s="170"/>
      <c r="U174" s="170"/>
      <c r="V174" s="170"/>
    </row>
    <row r="175" spans="1:22" s="144" customFormat="1" ht="15" customHeight="1" x14ac:dyDescent="0.25">
      <c r="A175" s="155" t="str">
        <f>IF(C175="","",COUNT($C$21:D175)&amp;".")</f>
        <v/>
      </c>
      <c r="B175" s="156" t="str">
        <f t="shared" si="3"/>
        <v/>
      </c>
      <c r="C175" s="158"/>
      <c r="D175" s="157" t="str">
        <f>IF(C175="","",PROPER(DATA!$E$17)&amp;" "&amp;DATA!$G$17)</f>
        <v/>
      </c>
      <c r="E175" s="150"/>
      <c r="F175" s="151"/>
      <c r="G175" s="152"/>
      <c r="H175" s="153"/>
      <c r="I175" s="127"/>
      <c r="J175" s="154" t="s">
        <v>121</v>
      </c>
      <c r="K175" s="150" t="s">
        <v>122</v>
      </c>
      <c r="L175" s="151"/>
      <c r="M175" s="151"/>
      <c r="N175" s="151"/>
      <c r="O175" s="108"/>
      <c r="P175" s="143"/>
      <c r="Q175" s="170"/>
      <c r="R175" s="170"/>
      <c r="S175" s="170"/>
      <c r="T175" s="170"/>
      <c r="U175" s="170"/>
      <c r="V175" s="170"/>
    </row>
    <row r="176" spans="1:22" s="144" customFormat="1" ht="15" customHeight="1" x14ac:dyDescent="0.25">
      <c r="A176" s="155" t="str">
        <f>IF(C176="","",COUNT($C$21:D176)&amp;".")</f>
        <v/>
      </c>
      <c r="B176" s="156" t="str">
        <f t="shared" si="3"/>
        <v/>
      </c>
      <c r="C176" s="158"/>
      <c r="D176" s="157" t="str">
        <f>IF(C176="","",PROPER(DATA!$E$17)&amp;" "&amp;DATA!$G$17)</f>
        <v/>
      </c>
      <c r="E176" s="150"/>
      <c r="F176" s="151"/>
      <c r="G176" s="152"/>
      <c r="H176" s="153"/>
      <c r="I176" s="127"/>
      <c r="J176" s="154" t="s">
        <v>121</v>
      </c>
      <c r="K176" s="150" t="s">
        <v>122</v>
      </c>
      <c r="L176" s="151"/>
      <c r="M176" s="151"/>
      <c r="N176" s="151"/>
      <c r="O176" s="108"/>
      <c r="P176" s="143"/>
      <c r="Q176" s="170"/>
      <c r="R176" s="170"/>
      <c r="S176" s="170"/>
      <c r="T176" s="170"/>
      <c r="U176" s="170"/>
      <c r="V176" s="170"/>
    </row>
    <row r="177" spans="1:22" s="144" customFormat="1" ht="15" customHeight="1" x14ac:dyDescent="0.25">
      <c r="A177" s="155" t="str">
        <f>IF(C177="","",COUNT($C$21:D177)&amp;".")</f>
        <v/>
      </c>
      <c r="B177" s="156" t="str">
        <f t="shared" si="3"/>
        <v/>
      </c>
      <c r="C177" s="158"/>
      <c r="D177" s="157" t="str">
        <f>IF(C177="","",PROPER(DATA!$E$17)&amp;" "&amp;DATA!$G$17)</f>
        <v/>
      </c>
      <c r="E177" s="150"/>
      <c r="F177" s="151"/>
      <c r="G177" s="152"/>
      <c r="H177" s="153"/>
      <c r="I177" s="127"/>
      <c r="J177" s="154" t="s">
        <v>121</v>
      </c>
      <c r="K177" s="150" t="s">
        <v>122</v>
      </c>
      <c r="L177" s="151"/>
      <c r="M177" s="151"/>
      <c r="N177" s="151"/>
      <c r="O177" s="108"/>
      <c r="P177" s="143"/>
      <c r="Q177" s="170"/>
      <c r="R177" s="170"/>
      <c r="S177" s="170"/>
      <c r="T177" s="170"/>
      <c r="U177" s="170"/>
      <c r="V177" s="170"/>
    </row>
    <row r="178" spans="1:22" s="144" customFormat="1" ht="15" customHeight="1" x14ac:dyDescent="0.25">
      <c r="A178" s="155" t="str">
        <f>IF(C178="","",COUNT($C$21:D178)&amp;".")</f>
        <v/>
      </c>
      <c r="B178" s="156" t="str">
        <f t="shared" si="3"/>
        <v/>
      </c>
      <c r="C178" s="158"/>
      <c r="D178" s="157" t="str">
        <f>IF(C178="","",PROPER(DATA!$E$17)&amp;" "&amp;DATA!$G$17)</f>
        <v/>
      </c>
      <c r="E178" s="150"/>
      <c r="F178" s="151"/>
      <c r="G178" s="152"/>
      <c r="H178" s="153"/>
      <c r="I178" s="127"/>
      <c r="J178" s="154" t="s">
        <v>121</v>
      </c>
      <c r="K178" s="150" t="s">
        <v>122</v>
      </c>
      <c r="L178" s="151"/>
      <c r="M178" s="151"/>
      <c r="N178" s="151"/>
      <c r="O178" s="108"/>
      <c r="P178" s="143"/>
      <c r="Q178" s="170"/>
      <c r="R178" s="170"/>
      <c r="S178" s="170"/>
      <c r="T178" s="170"/>
      <c r="U178" s="170"/>
      <c r="V178" s="170"/>
    </row>
    <row r="179" spans="1:22" s="144" customFormat="1" ht="15" customHeight="1" x14ac:dyDescent="0.25">
      <c r="A179" s="155" t="str">
        <f>IF(C179="","",COUNT($C$21:D179)&amp;".")</f>
        <v/>
      </c>
      <c r="B179" s="156" t="str">
        <f t="shared" si="3"/>
        <v/>
      </c>
      <c r="C179" s="158"/>
      <c r="D179" s="157" t="str">
        <f>IF(C179="","",PROPER(DATA!$E$17)&amp;" "&amp;DATA!$G$17)</f>
        <v/>
      </c>
      <c r="E179" s="150"/>
      <c r="F179" s="151"/>
      <c r="G179" s="152"/>
      <c r="H179" s="153"/>
      <c r="I179" s="127"/>
      <c r="J179" s="154" t="s">
        <v>121</v>
      </c>
      <c r="K179" s="150" t="s">
        <v>122</v>
      </c>
      <c r="L179" s="151"/>
      <c r="M179" s="151"/>
      <c r="N179" s="151"/>
      <c r="O179" s="108"/>
      <c r="P179" s="143"/>
      <c r="Q179" s="170"/>
      <c r="R179" s="170"/>
      <c r="S179" s="170"/>
      <c r="T179" s="170"/>
      <c r="U179" s="170"/>
      <c r="V179" s="170"/>
    </row>
    <row r="180" spans="1:22" s="144" customFormat="1" ht="15" customHeight="1" x14ac:dyDescent="0.25">
      <c r="A180" s="155" t="str">
        <f>IF(C180="","",COUNT($C$21:D180)&amp;".")</f>
        <v/>
      </c>
      <c r="B180" s="156" t="str">
        <f t="shared" si="3"/>
        <v/>
      </c>
      <c r="C180" s="158"/>
      <c r="D180" s="157" t="str">
        <f>IF(C180="","",PROPER(DATA!$E$17)&amp;" "&amp;DATA!$G$17)</f>
        <v/>
      </c>
      <c r="E180" s="150"/>
      <c r="F180" s="151"/>
      <c r="G180" s="152"/>
      <c r="H180" s="153"/>
      <c r="I180" s="127"/>
      <c r="J180" s="154" t="s">
        <v>121</v>
      </c>
      <c r="K180" s="150" t="s">
        <v>122</v>
      </c>
      <c r="L180" s="151"/>
      <c r="M180" s="151"/>
      <c r="N180" s="151"/>
      <c r="O180" s="108"/>
      <c r="P180" s="143"/>
      <c r="Q180" s="170"/>
      <c r="R180" s="170"/>
      <c r="S180" s="170"/>
      <c r="T180" s="170"/>
      <c r="U180" s="170"/>
      <c r="V180" s="170"/>
    </row>
    <row r="181" spans="1:22" s="144" customFormat="1" ht="15" customHeight="1" x14ac:dyDescent="0.25">
      <c r="A181" s="155" t="str">
        <f>IF(C181="","",COUNT($C$21:D181)&amp;".")</f>
        <v/>
      </c>
      <c r="B181" s="156" t="str">
        <f t="shared" si="3"/>
        <v/>
      </c>
      <c r="C181" s="158"/>
      <c r="D181" s="157" t="str">
        <f>IF(C181="","",PROPER(DATA!$E$17)&amp;" "&amp;DATA!$G$17)</f>
        <v/>
      </c>
      <c r="E181" s="150"/>
      <c r="F181" s="151"/>
      <c r="G181" s="152"/>
      <c r="H181" s="153"/>
      <c r="I181" s="107"/>
      <c r="J181" s="154" t="s">
        <v>121</v>
      </c>
      <c r="K181" s="150" t="s">
        <v>122</v>
      </c>
      <c r="L181" s="151"/>
      <c r="M181" s="151"/>
      <c r="N181" s="151"/>
      <c r="O181" s="108"/>
      <c r="P181" s="143"/>
      <c r="Q181" s="170"/>
      <c r="R181" s="170"/>
      <c r="S181" s="170"/>
      <c r="T181" s="170"/>
      <c r="U181" s="170"/>
      <c r="V181" s="170"/>
    </row>
    <row r="182" spans="1:22" s="144" customFormat="1" ht="15" customHeight="1" x14ac:dyDescent="0.25">
      <c r="A182" s="155" t="str">
        <f>IF(C182="","",COUNT($C$21:D182)&amp;".")</f>
        <v/>
      </c>
      <c r="B182" s="156" t="str">
        <f t="shared" si="3"/>
        <v/>
      </c>
      <c r="C182" s="158"/>
      <c r="D182" s="157" t="str">
        <f>IF(C182="","",PROPER(DATA!$E$17)&amp;" "&amp;DATA!$G$17)</f>
        <v/>
      </c>
      <c r="E182" s="150"/>
      <c r="F182" s="151"/>
      <c r="G182" s="152"/>
      <c r="H182" s="153"/>
      <c r="I182" s="107"/>
      <c r="J182" s="154" t="s">
        <v>121</v>
      </c>
      <c r="K182" s="150" t="s">
        <v>122</v>
      </c>
      <c r="L182" s="151"/>
      <c r="M182" s="151"/>
      <c r="N182" s="151"/>
      <c r="O182" s="108"/>
      <c r="P182" s="143"/>
      <c r="Q182" s="170"/>
      <c r="R182" s="170"/>
      <c r="S182" s="170"/>
      <c r="T182" s="170"/>
      <c r="U182" s="170"/>
      <c r="V182" s="170"/>
    </row>
    <row r="183" spans="1:22" s="144" customFormat="1" ht="15" customHeight="1" x14ac:dyDescent="0.25">
      <c r="A183" s="155" t="str">
        <f>IF(C183="","",COUNT($C$21:D183)&amp;".")</f>
        <v/>
      </c>
      <c r="B183" s="156" t="str">
        <f t="shared" si="3"/>
        <v/>
      </c>
      <c r="C183" s="158"/>
      <c r="D183" s="157" t="str">
        <f>IF(C183="","",PROPER(DATA!$E$17)&amp;" "&amp;DATA!$G$17)</f>
        <v/>
      </c>
      <c r="E183" s="150"/>
      <c r="F183" s="151"/>
      <c r="G183" s="152"/>
      <c r="H183" s="153"/>
      <c r="I183" s="127"/>
      <c r="J183" s="154" t="s">
        <v>121</v>
      </c>
      <c r="K183" s="150" t="s">
        <v>122</v>
      </c>
      <c r="L183" s="151"/>
      <c r="M183" s="151"/>
      <c r="N183" s="151"/>
      <c r="O183" s="108"/>
      <c r="P183" s="143"/>
      <c r="Q183" s="170"/>
      <c r="R183" s="170"/>
      <c r="S183" s="170"/>
      <c r="T183" s="170"/>
      <c r="U183" s="170"/>
      <c r="V183" s="170"/>
    </row>
    <row r="184" spans="1:22" s="144" customFormat="1" ht="15" customHeight="1" x14ac:dyDescent="0.25">
      <c r="A184" s="155" t="str">
        <f>IF(C184="","",COUNT($C$21:D184)&amp;".")</f>
        <v/>
      </c>
      <c r="B184" s="156" t="str">
        <f t="shared" si="3"/>
        <v/>
      </c>
      <c r="C184" s="158"/>
      <c r="D184" s="157" t="str">
        <f>IF(C184="","",PROPER(DATA!$E$17)&amp;" "&amp;DATA!$G$17)</f>
        <v/>
      </c>
      <c r="E184" s="150"/>
      <c r="F184" s="151"/>
      <c r="G184" s="152"/>
      <c r="H184" s="153"/>
      <c r="I184" s="127"/>
      <c r="J184" s="154" t="s">
        <v>121</v>
      </c>
      <c r="K184" s="150" t="s">
        <v>122</v>
      </c>
      <c r="L184" s="151"/>
      <c r="M184" s="151"/>
      <c r="N184" s="151"/>
      <c r="O184" s="108"/>
      <c r="P184" s="143"/>
      <c r="Q184" s="170"/>
      <c r="R184" s="170"/>
      <c r="S184" s="170"/>
      <c r="T184" s="170"/>
      <c r="U184" s="170"/>
      <c r="V184" s="170"/>
    </row>
    <row r="185" spans="1:22" s="144" customFormat="1" ht="15" customHeight="1" x14ac:dyDescent="0.25">
      <c r="A185" s="155" t="str">
        <f>IF(C185="","",COUNT($C$21:D185)&amp;".")</f>
        <v/>
      </c>
      <c r="B185" s="156" t="str">
        <f t="shared" si="3"/>
        <v/>
      </c>
      <c r="C185" s="158"/>
      <c r="D185" s="157" t="str">
        <f>IF(C185="","",PROPER(DATA!$E$17)&amp;" "&amp;DATA!$G$17)</f>
        <v/>
      </c>
      <c r="E185" s="150"/>
      <c r="F185" s="151"/>
      <c r="G185" s="152"/>
      <c r="H185" s="153"/>
      <c r="I185" s="107"/>
      <c r="J185" s="154" t="s">
        <v>121</v>
      </c>
      <c r="K185" s="150" t="s">
        <v>122</v>
      </c>
      <c r="L185" s="151"/>
      <c r="M185" s="151"/>
      <c r="N185" s="151"/>
      <c r="O185" s="108"/>
      <c r="P185" s="143"/>
      <c r="Q185" s="170"/>
      <c r="R185" s="170"/>
      <c r="S185" s="170"/>
      <c r="T185" s="170"/>
      <c r="U185" s="170"/>
      <c r="V185" s="170"/>
    </row>
    <row r="186" spans="1:22" s="144" customFormat="1" ht="15" customHeight="1" x14ac:dyDescent="0.25">
      <c r="A186" s="155" t="str">
        <f>IF(C186="","",COUNT($C$21:D186)&amp;".")</f>
        <v/>
      </c>
      <c r="B186" s="156" t="str">
        <f t="shared" si="3"/>
        <v/>
      </c>
      <c r="C186" s="158"/>
      <c r="D186" s="157" t="str">
        <f>IF(C186="","",PROPER(DATA!$E$17)&amp;" "&amp;DATA!$G$17)</f>
        <v/>
      </c>
      <c r="E186" s="150"/>
      <c r="F186" s="151"/>
      <c r="G186" s="152"/>
      <c r="H186" s="153"/>
      <c r="I186" s="107"/>
      <c r="J186" s="154" t="s">
        <v>121</v>
      </c>
      <c r="K186" s="150" t="s">
        <v>122</v>
      </c>
      <c r="L186" s="151"/>
      <c r="M186" s="151"/>
      <c r="N186" s="151"/>
      <c r="O186" s="108"/>
      <c r="P186" s="143"/>
      <c r="Q186" s="170"/>
      <c r="R186" s="170"/>
      <c r="S186" s="170"/>
      <c r="T186" s="170"/>
      <c r="U186" s="170"/>
      <c r="V186" s="170"/>
    </row>
    <row r="187" spans="1:22" s="144" customFormat="1" ht="15" customHeight="1" x14ac:dyDescent="0.25">
      <c r="A187" s="155" t="str">
        <f>IF(C187="","",COUNT($C$21:D187)&amp;".")</f>
        <v/>
      </c>
      <c r="B187" s="156" t="str">
        <f t="shared" si="3"/>
        <v/>
      </c>
      <c r="C187" s="158"/>
      <c r="D187" s="157" t="str">
        <f>IF(C187="","",PROPER(DATA!$E$17)&amp;" "&amp;DATA!$G$17)</f>
        <v/>
      </c>
      <c r="E187" s="150"/>
      <c r="F187" s="151"/>
      <c r="G187" s="152"/>
      <c r="H187" s="153"/>
      <c r="I187" s="127"/>
      <c r="J187" s="154" t="s">
        <v>121</v>
      </c>
      <c r="K187" s="150" t="s">
        <v>122</v>
      </c>
      <c r="L187" s="151"/>
      <c r="M187" s="151"/>
      <c r="N187" s="151"/>
      <c r="O187" s="108"/>
      <c r="P187" s="143"/>
      <c r="Q187" s="170"/>
      <c r="R187" s="170"/>
      <c r="S187" s="170"/>
      <c r="T187" s="170"/>
      <c r="U187" s="170"/>
      <c r="V187" s="170"/>
    </row>
    <row r="188" spans="1:22" s="144" customFormat="1" ht="10.5" customHeight="1" thickBot="1" x14ac:dyDescent="0.3">
      <c r="A188" s="159" t="str">
        <f>IF(C188="","",COUNT($C$21:D188)&amp;".")</f>
        <v/>
      </c>
      <c r="B188" s="156" t="str">
        <f t="shared" si="3"/>
        <v/>
      </c>
      <c r="C188" s="158"/>
      <c r="D188" s="157" t="str">
        <f>IF(C188="","",PROPER(DATA!$E$17)&amp;" "&amp;DATA!$G$17)</f>
        <v/>
      </c>
      <c r="E188" s="150"/>
      <c r="F188" s="151"/>
      <c r="G188" s="152"/>
      <c r="H188" s="153"/>
      <c r="I188" s="107"/>
      <c r="J188" s="154" t="s">
        <v>121</v>
      </c>
      <c r="K188" s="150" t="s">
        <v>122</v>
      </c>
      <c r="L188" s="151"/>
      <c r="M188" s="151"/>
      <c r="N188" s="151"/>
      <c r="O188" s="108"/>
      <c r="P188" s="143"/>
      <c r="Q188" s="170"/>
      <c r="R188" s="170"/>
      <c r="S188" s="170"/>
      <c r="T188" s="170"/>
      <c r="U188" s="170"/>
      <c r="V188" s="170"/>
    </row>
    <row r="189" spans="1:22" s="144" customFormat="1" ht="15" customHeight="1" x14ac:dyDescent="0.25">
      <c r="A189" s="9"/>
      <c r="B189" s="9"/>
      <c r="C189" s="31"/>
      <c r="D189" s="9"/>
      <c r="E189" s="10"/>
      <c r="F189" s="9"/>
      <c r="G189" s="9"/>
      <c r="H189" s="9"/>
      <c r="I189" s="147" t="s">
        <v>48</v>
      </c>
      <c r="J189" s="11"/>
      <c r="K189" s="9"/>
      <c r="L189" s="9"/>
      <c r="M189" s="9"/>
      <c r="N189" s="9"/>
      <c r="O189" s="9"/>
      <c r="Q189" s="170"/>
      <c r="R189" s="170"/>
      <c r="S189" s="170"/>
      <c r="T189" s="170"/>
      <c r="U189" s="170"/>
      <c r="V189" s="170"/>
    </row>
    <row r="190" spans="1:22" ht="15" customHeight="1" x14ac:dyDescent="0.25">
      <c r="A190" s="12"/>
      <c r="B190" s="12"/>
      <c r="C190" s="15" t="s">
        <v>24</v>
      </c>
      <c r="D190" s="12"/>
      <c r="E190" s="49"/>
      <c r="H190" s="12"/>
      <c r="I190" s="221"/>
      <c r="J190" s="49"/>
      <c r="K190" s="15" t="s">
        <v>53</v>
      </c>
      <c r="L190" s="61">
        <v>31</v>
      </c>
      <c r="M190" s="15" t="str">
        <f>PROPER(DATA!E17)&amp;" "&amp;DATA!G17</f>
        <v>Juli 2026</v>
      </c>
      <c r="N190" s="15"/>
      <c r="O190" s="15"/>
    </row>
    <row r="191" spans="1:22" ht="15" customHeight="1" x14ac:dyDescent="0.25">
      <c r="A191" s="12"/>
      <c r="B191" s="12"/>
      <c r="C191" s="15" t="s">
        <v>23</v>
      </c>
      <c r="D191" s="12"/>
      <c r="E191" s="49"/>
      <c r="H191" s="12"/>
      <c r="I191" s="221"/>
      <c r="K191" s="15" t="s">
        <v>88</v>
      </c>
      <c r="L191" s="15"/>
      <c r="M191" s="15"/>
      <c r="N191" s="15"/>
      <c r="O191" s="15"/>
    </row>
    <row r="192" spans="1:22" ht="15" customHeight="1" x14ac:dyDescent="0.25">
      <c r="A192" s="12"/>
      <c r="B192" s="12"/>
      <c r="C192" s="15"/>
      <c r="D192" s="13"/>
      <c r="E192" s="49"/>
      <c r="H192" s="12"/>
      <c r="I192" s="221"/>
      <c r="K192" s="15"/>
      <c r="L192" s="15"/>
      <c r="M192" s="15"/>
      <c r="N192" s="15"/>
      <c r="O192" s="15"/>
    </row>
    <row r="193" spans="1:16384" ht="15" customHeight="1" x14ac:dyDescent="0.25">
      <c r="A193" s="12"/>
      <c r="B193" s="12"/>
      <c r="C193" s="15"/>
      <c r="D193" s="13"/>
      <c r="E193" s="49"/>
      <c r="H193" s="12"/>
      <c r="I193" s="221"/>
      <c r="K193" s="15"/>
      <c r="L193" s="15"/>
      <c r="M193" s="15"/>
      <c r="N193" s="15"/>
      <c r="O193" s="15"/>
    </row>
    <row r="194" spans="1:16384" ht="15" customHeight="1" x14ac:dyDescent="0.25">
      <c r="A194" s="12"/>
      <c r="B194" s="12"/>
      <c r="C194" s="15"/>
      <c r="D194" s="13"/>
      <c r="E194" s="49"/>
      <c r="H194" s="12"/>
      <c r="I194" s="221"/>
      <c r="K194" s="15"/>
      <c r="L194" s="15"/>
      <c r="M194" s="15"/>
      <c r="N194" s="15"/>
      <c r="O194" s="15"/>
    </row>
    <row r="195" spans="1:16384" ht="15" customHeight="1" x14ac:dyDescent="0.25">
      <c r="A195" s="12"/>
      <c r="B195" s="12"/>
      <c r="C195" s="133" t="str">
        <f>DATA!K15</f>
        <v>Ahmad Syafi'i Badar,S.Pd.I</v>
      </c>
      <c r="D195" s="133"/>
      <c r="E195" s="14"/>
      <c r="H195" s="12"/>
      <c r="I195" s="221"/>
      <c r="K195" s="303" t="str">
        <f>""&amp;DATA!E20</f>
        <v>Nurlailatul Hasanah, S.Ag</v>
      </c>
      <c r="L195" s="303"/>
      <c r="M195" s="303"/>
      <c r="N195" s="303"/>
      <c r="O195" s="303"/>
    </row>
    <row r="196" spans="1:16384" ht="15" customHeight="1" x14ac:dyDescent="0.25">
      <c r="A196" s="12"/>
      <c r="B196" s="12"/>
      <c r="C196" s="15" t="str">
        <f>"NIP : "&amp;DATA!K17</f>
        <v>NIP : -</v>
      </c>
      <c r="D196" s="15"/>
      <c r="E196" s="49"/>
      <c r="H196" s="12"/>
      <c r="I196" s="221"/>
      <c r="K196" s="304" t="str">
        <f>"NIP : "&amp;DATA!E22</f>
        <v>NIP : 197311272005012002</v>
      </c>
      <c r="L196" s="304"/>
      <c r="M196" s="304"/>
      <c r="N196" s="304"/>
      <c r="O196" s="304"/>
    </row>
    <row r="197" spans="1:16384" ht="15" customHeight="1" x14ac:dyDescent="0.25">
      <c r="J197" s="131"/>
    </row>
    <row r="198" spans="1:16384" ht="15.75" hidden="1" customHeight="1" x14ac:dyDescent="0.25">
      <c r="J198" s="131"/>
    </row>
    <row r="199" spans="1:16384" ht="15.75" hidden="1" customHeight="1" x14ac:dyDescent="0.25">
      <c r="B199" s="305"/>
      <c r="C199" s="305"/>
      <c r="D199" s="305"/>
      <c r="G199" s="305"/>
      <c r="H199" s="305"/>
      <c r="I199" s="305"/>
      <c r="J199" s="131"/>
    </row>
    <row r="200" spans="1:16384" ht="15.75" hidden="1" customHeight="1" x14ac:dyDescent="0.25">
      <c r="B200" s="131"/>
      <c r="D200" s="131"/>
      <c r="G200" s="131"/>
      <c r="H200" s="131"/>
      <c r="I200" s="149"/>
      <c r="J200" s="131"/>
    </row>
    <row r="201" spans="1:16384" ht="15.75" hidden="1" customHeight="1" x14ac:dyDescent="0.25">
      <c r="B201" s="131"/>
      <c r="D201" s="131"/>
      <c r="G201" s="131"/>
      <c r="H201" s="131"/>
      <c r="I201" s="149"/>
      <c r="J201" s="131"/>
    </row>
    <row r="202" spans="1:16384" ht="15.75" hidden="1" customHeight="1" x14ac:dyDescent="0.25">
      <c r="B202" s="131"/>
      <c r="D202" s="131"/>
      <c r="G202" s="131"/>
      <c r="H202" s="131"/>
      <c r="I202" s="149"/>
      <c r="J202" s="131"/>
    </row>
    <row r="203" spans="1:16384" ht="15.75" hidden="1" customHeight="1" x14ac:dyDescent="0.25">
      <c r="B203" s="131"/>
      <c r="D203" s="131"/>
      <c r="G203" s="131"/>
      <c r="H203" s="131"/>
      <c r="I203" s="149"/>
      <c r="J203" s="131"/>
    </row>
    <row r="204" spans="1:16384" ht="15.75" hidden="1" customHeight="1" x14ac:dyDescent="0.25">
      <c r="A204" s="128" t="s">
        <v>100</v>
      </c>
    </row>
    <row r="205" spans="1:16384" ht="15.75" hidden="1" customHeight="1" x14ac:dyDescent="0.25"/>
    <row r="206" spans="1:16384" ht="15.75" hidden="1" customHeight="1" x14ac:dyDescent="0.25">
      <c r="A206" s="128" t="s">
        <v>69</v>
      </c>
    </row>
    <row r="207" spans="1:16384" ht="15.75" hidden="1" customHeight="1" x14ac:dyDescent="0.25"/>
    <row r="208" spans="1:16384" ht="15.75" hidden="1" customHeight="1" x14ac:dyDescent="0.25">
      <c r="A208" s="128" t="str">
        <f>DATA!D35</f>
        <v>VII A</v>
      </c>
      <c r="C208" s="128"/>
      <c r="E208" s="128"/>
      <c r="P208" s="128" t="e">
        <f>DATA!#REF!</f>
        <v>#REF!</v>
      </c>
      <c r="Q208" s="169">
        <f>DATA!T35</f>
        <v>0</v>
      </c>
      <c r="R208" s="169" t="e">
        <f>DATA!#REF!</f>
        <v>#REF!</v>
      </c>
      <c r="S208" s="169">
        <f>DATA!V35</f>
        <v>0</v>
      </c>
      <c r="T208" s="169">
        <f>DATA!W35</f>
        <v>0</v>
      </c>
      <c r="U208" s="169">
        <f>DATA!X35</f>
        <v>0</v>
      </c>
      <c r="V208" s="169" t="str">
        <f>DATA!Y35</f>
        <v>VIII B</v>
      </c>
      <c r="W208" s="128">
        <f>DATA!Z35</f>
        <v>0</v>
      </c>
      <c r="X208" s="128" t="str">
        <f>DATA!AB33</f>
        <v>Pangkat penata tingkat I, golongan III/d</v>
      </c>
      <c r="Y208" s="128" t="e">
        <f>DATA!#REF!</f>
        <v>#REF!</v>
      </c>
      <c r="Z208" s="128">
        <f>DATA!AC35</f>
        <v>0</v>
      </c>
      <c r="AA208" s="128">
        <f>DATA!AD35</f>
        <v>0</v>
      </c>
      <c r="AB208" s="128" t="str">
        <f>DATA!U35</f>
        <v>Guru madya pembina tingkat I, golongan IV/b</v>
      </c>
      <c r="AC208" s="128">
        <f>DATA!AF35</f>
        <v>0</v>
      </c>
      <c r="AD208" s="128">
        <f>DATA!AG35</f>
        <v>0</v>
      </c>
      <c r="AE208" s="128">
        <f>DATA!AH35</f>
        <v>0</v>
      </c>
      <c r="AF208" s="128">
        <f>DATA!AI35</f>
        <v>0</v>
      </c>
      <c r="AG208" s="128">
        <f>DATA!AJ35</f>
        <v>0</v>
      </c>
      <c r="AH208" s="128">
        <f>DATA!AK35</f>
        <v>0</v>
      </c>
      <c r="AI208" s="128">
        <f>DATA!AL35</f>
        <v>0</v>
      </c>
      <c r="AJ208" s="128">
        <f>DATA!AM35</f>
        <v>0</v>
      </c>
      <c r="AK208" s="128">
        <f>DATA!AN35</f>
        <v>0</v>
      </c>
      <c r="AL208" s="128">
        <f>DATA!AO35</f>
        <v>0</v>
      </c>
      <c r="AM208" s="128">
        <f>DATA!AP35</f>
        <v>0</v>
      </c>
      <c r="AN208" s="128">
        <f>DATA!AQ35</f>
        <v>0</v>
      </c>
      <c r="AO208" s="128">
        <f>DATA!AR35</f>
        <v>0</v>
      </c>
      <c r="AP208" s="128">
        <f>DATA!AS35</f>
        <v>0</v>
      </c>
      <c r="AQ208" s="128">
        <f>DATA!AT35</f>
        <v>0</v>
      </c>
      <c r="AR208" s="128">
        <f>DATA!AU35</f>
        <v>0</v>
      </c>
      <c r="AS208" s="128">
        <f>DATA!AV35</f>
        <v>0</v>
      </c>
      <c r="AT208" s="128">
        <f>DATA!AW35</f>
        <v>0</v>
      </c>
      <c r="AU208" s="128">
        <f>DATA!AX35</f>
        <v>0</v>
      </c>
      <c r="AV208" s="128">
        <f>DATA!AY35</f>
        <v>0</v>
      </c>
      <c r="AW208" s="128">
        <f>DATA!AZ35</f>
        <v>0</v>
      </c>
      <c r="AX208" s="128">
        <f>DATA!BA35</f>
        <v>0</v>
      </c>
      <c r="AY208" s="128">
        <f>DATA!BB35</f>
        <v>0</v>
      </c>
      <c r="AZ208" s="128">
        <f>DATA!BC35</f>
        <v>0</v>
      </c>
      <c r="BA208" s="128">
        <f>DATA!BD35</f>
        <v>0</v>
      </c>
      <c r="BB208" s="128">
        <f>DATA!BE35</f>
        <v>0</v>
      </c>
      <c r="BC208" s="128">
        <f>DATA!BF35</f>
        <v>0</v>
      </c>
      <c r="BD208" s="128">
        <f>DATA!BG35</f>
        <v>0</v>
      </c>
      <c r="BE208" s="128">
        <f>DATA!BH35</f>
        <v>0</v>
      </c>
      <c r="BF208" s="128">
        <f>DATA!BI35</f>
        <v>0</v>
      </c>
      <c r="BG208" s="128">
        <f>DATA!BJ35</f>
        <v>0</v>
      </c>
      <c r="BH208" s="128">
        <f>DATA!BK35</f>
        <v>0</v>
      </c>
      <c r="BI208" s="128">
        <f>DATA!BL35</f>
        <v>0</v>
      </c>
      <c r="BJ208" s="128">
        <f>DATA!BM35</f>
        <v>0</v>
      </c>
      <c r="BK208" s="128">
        <f>DATA!BN35</f>
        <v>0</v>
      </c>
      <c r="BL208" s="128">
        <f>DATA!BO35</f>
        <v>0</v>
      </c>
      <c r="BM208" s="128">
        <f>DATA!BP35</f>
        <v>0</v>
      </c>
      <c r="BN208" s="128">
        <f>DATA!BQ35</f>
        <v>0</v>
      </c>
      <c r="BO208" s="128">
        <f>DATA!BR35</f>
        <v>0</v>
      </c>
      <c r="BP208" s="128">
        <f>DATA!BS35</f>
        <v>0</v>
      </c>
      <c r="BQ208" s="128">
        <f>DATA!BT35</f>
        <v>0</v>
      </c>
      <c r="BR208" s="128">
        <f>DATA!BU35</f>
        <v>0</v>
      </c>
      <c r="BS208" s="128">
        <f>DATA!BV35</f>
        <v>0</v>
      </c>
      <c r="BT208" s="128">
        <f>DATA!BW35</f>
        <v>0</v>
      </c>
      <c r="BU208" s="128">
        <f>DATA!BX35</f>
        <v>0</v>
      </c>
      <c r="BV208" s="128">
        <f>DATA!BY35</f>
        <v>0</v>
      </c>
      <c r="BW208" s="128">
        <f>DATA!BZ35</f>
        <v>0</v>
      </c>
      <c r="BX208" s="128">
        <f>DATA!CA35</f>
        <v>0</v>
      </c>
      <c r="BY208" s="128">
        <f>DATA!CB35</f>
        <v>0</v>
      </c>
      <c r="BZ208" s="128">
        <f>DATA!CC35</f>
        <v>0</v>
      </c>
      <c r="CA208" s="128">
        <f>DATA!CD35</f>
        <v>0</v>
      </c>
      <c r="CB208" s="128">
        <f>DATA!CE35</f>
        <v>0</v>
      </c>
      <c r="CC208" s="128">
        <f>DATA!CF35</f>
        <v>0</v>
      </c>
      <c r="CD208" s="128">
        <f>DATA!CG35</f>
        <v>0</v>
      </c>
      <c r="CE208" s="128">
        <f>DATA!CH35</f>
        <v>0</v>
      </c>
      <c r="CF208" s="128">
        <f>DATA!CI35</f>
        <v>0</v>
      </c>
      <c r="CG208" s="128">
        <f>DATA!CJ35</f>
        <v>0</v>
      </c>
      <c r="CH208" s="128">
        <f>DATA!CK35</f>
        <v>0</v>
      </c>
      <c r="CI208" s="128">
        <f>DATA!CL35</f>
        <v>0</v>
      </c>
      <c r="CJ208" s="128">
        <f>DATA!CM35</f>
        <v>0</v>
      </c>
      <c r="CK208" s="128">
        <f>DATA!CN35</f>
        <v>0</v>
      </c>
      <c r="CL208" s="128">
        <f>DATA!CO35</f>
        <v>0</v>
      </c>
      <c r="CM208" s="128">
        <f>DATA!CP35</f>
        <v>0</v>
      </c>
      <c r="CN208" s="128">
        <f>DATA!CQ35</f>
        <v>0</v>
      </c>
      <c r="CO208" s="128">
        <f>DATA!CR35</f>
        <v>0</v>
      </c>
      <c r="CP208" s="128">
        <f>DATA!CS35</f>
        <v>0</v>
      </c>
      <c r="CQ208" s="128">
        <f>DATA!CT35</f>
        <v>0</v>
      </c>
      <c r="CR208" s="128">
        <f>DATA!CU35</f>
        <v>0</v>
      </c>
      <c r="CS208" s="128">
        <f>DATA!CV35</f>
        <v>0</v>
      </c>
      <c r="CT208" s="128">
        <f>DATA!CW35</f>
        <v>0</v>
      </c>
      <c r="CU208" s="128">
        <f>DATA!CX35</f>
        <v>0</v>
      </c>
      <c r="CV208" s="128">
        <f>DATA!CY35</f>
        <v>0</v>
      </c>
      <c r="CW208" s="128">
        <f>DATA!CZ35</f>
        <v>0</v>
      </c>
      <c r="CX208" s="128">
        <f>DATA!DA35</f>
        <v>0</v>
      </c>
      <c r="CY208" s="128">
        <f>DATA!DB35</f>
        <v>0</v>
      </c>
      <c r="CZ208" s="128">
        <f>DATA!DC35</f>
        <v>0</v>
      </c>
      <c r="DA208" s="128">
        <f>DATA!DD35</f>
        <v>0</v>
      </c>
      <c r="DB208" s="128">
        <f>DATA!DE35</f>
        <v>0</v>
      </c>
      <c r="DC208" s="128">
        <f>DATA!DF35</f>
        <v>0</v>
      </c>
      <c r="DD208" s="128">
        <f>DATA!DG35</f>
        <v>0</v>
      </c>
      <c r="DE208" s="128">
        <f>DATA!DH35</f>
        <v>0</v>
      </c>
      <c r="DF208" s="128">
        <f>DATA!DI35</f>
        <v>0</v>
      </c>
      <c r="DG208" s="128">
        <f>DATA!DJ35</f>
        <v>0</v>
      </c>
      <c r="DH208" s="128">
        <f>DATA!DK35</f>
        <v>0</v>
      </c>
      <c r="DI208" s="128">
        <f>DATA!DL35</f>
        <v>0</v>
      </c>
      <c r="DJ208" s="128">
        <f>DATA!DM35</f>
        <v>0</v>
      </c>
      <c r="DK208" s="128">
        <f>DATA!DN35</f>
        <v>0</v>
      </c>
      <c r="DL208" s="128">
        <f>DATA!DO35</f>
        <v>0</v>
      </c>
      <c r="DM208" s="128">
        <f>DATA!DP35</f>
        <v>0</v>
      </c>
      <c r="DN208" s="128">
        <f>DATA!DQ35</f>
        <v>0</v>
      </c>
      <c r="DO208" s="128">
        <f>DATA!DR35</f>
        <v>0</v>
      </c>
      <c r="DP208" s="128">
        <f>DATA!DS35</f>
        <v>0</v>
      </c>
      <c r="DQ208" s="128">
        <f>DATA!DT35</f>
        <v>0</v>
      </c>
      <c r="DR208" s="128">
        <f>DATA!DU35</f>
        <v>0</v>
      </c>
      <c r="DS208" s="128">
        <f>DATA!DV35</f>
        <v>0</v>
      </c>
      <c r="DT208" s="128">
        <f>DATA!DW35</f>
        <v>0</v>
      </c>
      <c r="DU208" s="128">
        <f>DATA!DX35</f>
        <v>0</v>
      </c>
      <c r="DV208" s="128">
        <f>DATA!DY35</f>
        <v>0</v>
      </c>
      <c r="DW208" s="128">
        <f>DATA!DZ35</f>
        <v>0</v>
      </c>
      <c r="DX208" s="128">
        <f>DATA!EA35</f>
        <v>0</v>
      </c>
      <c r="DY208" s="128">
        <f>DATA!EB35</f>
        <v>0</v>
      </c>
      <c r="DZ208" s="128">
        <f>DATA!EC35</f>
        <v>0</v>
      </c>
      <c r="EA208" s="128">
        <f>DATA!ED35</f>
        <v>0</v>
      </c>
      <c r="EB208" s="128">
        <f>DATA!EE35</f>
        <v>0</v>
      </c>
      <c r="EC208" s="128">
        <f>DATA!EF35</f>
        <v>0</v>
      </c>
      <c r="ED208" s="128">
        <f>DATA!EG35</f>
        <v>0</v>
      </c>
      <c r="EE208" s="128">
        <f>DATA!EH35</f>
        <v>0</v>
      </c>
      <c r="EF208" s="128">
        <f>DATA!EI35</f>
        <v>0</v>
      </c>
      <c r="EG208" s="128">
        <f>DATA!EJ35</f>
        <v>0</v>
      </c>
      <c r="EH208" s="128">
        <f>DATA!EK35</f>
        <v>0</v>
      </c>
      <c r="EI208" s="128">
        <f>DATA!EL35</f>
        <v>0</v>
      </c>
      <c r="EJ208" s="128">
        <f>DATA!EM35</f>
        <v>0</v>
      </c>
      <c r="EK208" s="128">
        <f>DATA!EN35</f>
        <v>0</v>
      </c>
      <c r="EL208" s="128">
        <f>DATA!EO35</f>
        <v>0</v>
      </c>
      <c r="EM208" s="128">
        <f>DATA!EP35</f>
        <v>0</v>
      </c>
      <c r="EN208" s="128">
        <f>DATA!EQ35</f>
        <v>0</v>
      </c>
      <c r="EO208" s="128">
        <f>DATA!ER35</f>
        <v>0</v>
      </c>
      <c r="EP208" s="128">
        <f>DATA!ES35</f>
        <v>0</v>
      </c>
      <c r="EQ208" s="128">
        <f>DATA!ET35</f>
        <v>0</v>
      </c>
      <c r="ER208" s="128">
        <f>DATA!EU35</f>
        <v>0</v>
      </c>
      <c r="ES208" s="128">
        <f>DATA!EV35</f>
        <v>0</v>
      </c>
      <c r="ET208" s="128">
        <f>DATA!EW35</f>
        <v>0</v>
      </c>
      <c r="EU208" s="128">
        <f>DATA!EX35</f>
        <v>0</v>
      </c>
      <c r="EV208" s="128">
        <f>DATA!EY35</f>
        <v>0</v>
      </c>
      <c r="EW208" s="128">
        <f>DATA!EZ35</f>
        <v>0</v>
      </c>
      <c r="EX208" s="128">
        <f>DATA!FA35</f>
        <v>0</v>
      </c>
      <c r="EY208" s="128">
        <f>DATA!FB35</f>
        <v>0</v>
      </c>
      <c r="EZ208" s="128">
        <f>DATA!FC35</f>
        <v>0</v>
      </c>
      <c r="FA208" s="128">
        <f>DATA!FD35</f>
        <v>0</v>
      </c>
      <c r="FB208" s="128">
        <f>DATA!FE35</f>
        <v>0</v>
      </c>
      <c r="FC208" s="128">
        <f>DATA!FF35</f>
        <v>0</v>
      </c>
      <c r="FD208" s="128">
        <f>DATA!FG35</f>
        <v>0</v>
      </c>
      <c r="FE208" s="128">
        <f>DATA!FH35</f>
        <v>0</v>
      </c>
      <c r="FF208" s="128">
        <f>DATA!FI35</f>
        <v>0</v>
      </c>
      <c r="FG208" s="128">
        <f>DATA!FJ35</f>
        <v>0</v>
      </c>
      <c r="FH208" s="128">
        <f>DATA!FK35</f>
        <v>0</v>
      </c>
      <c r="FI208" s="128">
        <f>DATA!FL35</f>
        <v>0</v>
      </c>
      <c r="FJ208" s="128">
        <f>DATA!FM35</f>
        <v>0</v>
      </c>
      <c r="FK208" s="128">
        <f>DATA!FN35</f>
        <v>0</v>
      </c>
      <c r="FL208" s="128">
        <f>DATA!FO35</f>
        <v>0</v>
      </c>
      <c r="FM208" s="128">
        <f>DATA!FP35</f>
        <v>0</v>
      </c>
      <c r="FN208" s="128">
        <f>DATA!FQ35</f>
        <v>0</v>
      </c>
      <c r="FO208" s="128">
        <f>DATA!FR35</f>
        <v>0</v>
      </c>
      <c r="FP208" s="128">
        <f>DATA!FS35</f>
        <v>0</v>
      </c>
      <c r="FQ208" s="128">
        <f>DATA!FT35</f>
        <v>0</v>
      </c>
      <c r="FR208" s="128">
        <f>DATA!FU35</f>
        <v>0</v>
      </c>
      <c r="FS208" s="128">
        <f>DATA!FV35</f>
        <v>0</v>
      </c>
      <c r="FT208" s="128">
        <f>DATA!FW35</f>
        <v>0</v>
      </c>
      <c r="FU208" s="128">
        <f>DATA!FX35</f>
        <v>0</v>
      </c>
      <c r="FV208" s="128">
        <f>DATA!FY35</f>
        <v>0</v>
      </c>
      <c r="FW208" s="128">
        <f>DATA!FZ35</f>
        <v>0</v>
      </c>
      <c r="FX208" s="128">
        <f>DATA!GA35</f>
        <v>0</v>
      </c>
      <c r="FY208" s="128">
        <f>DATA!GB35</f>
        <v>0</v>
      </c>
      <c r="FZ208" s="128">
        <f>DATA!GC35</f>
        <v>0</v>
      </c>
      <c r="GA208" s="128">
        <f>DATA!GD35</f>
        <v>0</v>
      </c>
      <c r="GB208" s="128">
        <f>DATA!GE35</f>
        <v>0</v>
      </c>
      <c r="GC208" s="128">
        <f>DATA!GF35</f>
        <v>0</v>
      </c>
      <c r="GD208" s="128">
        <f>DATA!GG35</f>
        <v>0</v>
      </c>
      <c r="GE208" s="128">
        <f>DATA!GH35</f>
        <v>0</v>
      </c>
      <c r="GF208" s="128">
        <f>DATA!GI35</f>
        <v>0</v>
      </c>
      <c r="GG208" s="128">
        <f>DATA!GJ35</f>
        <v>0</v>
      </c>
      <c r="GH208" s="128">
        <f>DATA!GK35</f>
        <v>0</v>
      </c>
      <c r="GI208" s="128">
        <f>DATA!GL35</f>
        <v>0</v>
      </c>
      <c r="GJ208" s="128">
        <f>DATA!GM35</f>
        <v>0</v>
      </c>
      <c r="GK208" s="128">
        <f>DATA!GN35</f>
        <v>0</v>
      </c>
      <c r="GL208" s="128">
        <f>DATA!GO35</f>
        <v>0</v>
      </c>
      <c r="GM208" s="128">
        <f>DATA!GP35</f>
        <v>0</v>
      </c>
      <c r="GN208" s="128">
        <f>DATA!GQ35</f>
        <v>0</v>
      </c>
      <c r="GO208" s="128">
        <f>DATA!GR35</f>
        <v>0</v>
      </c>
      <c r="GP208" s="128">
        <f>DATA!GS35</f>
        <v>0</v>
      </c>
      <c r="GQ208" s="128">
        <f>DATA!GT35</f>
        <v>0</v>
      </c>
      <c r="GR208" s="128">
        <f>DATA!GU35</f>
        <v>0</v>
      </c>
      <c r="GS208" s="128">
        <f>DATA!GV35</f>
        <v>0</v>
      </c>
      <c r="GT208" s="128">
        <f>DATA!GW35</f>
        <v>0</v>
      </c>
      <c r="GU208" s="128">
        <f>DATA!GX35</f>
        <v>0</v>
      </c>
      <c r="GV208" s="128">
        <f>DATA!GY35</f>
        <v>0</v>
      </c>
      <c r="GW208" s="128">
        <f>DATA!GZ35</f>
        <v>0</v>
      </c>
      <c r="GX208" s="128">
        <f>DATA!HA35</f>
        <v>0</v>
      </c>
      <c r="GY208" s="128">
        <f>DATA!HB35</f>
        <v>0</v>
      </c>
      <c r="GZ208" s="128">
        <f>DATA!HC35</f>
        <v>0</v>
      </c>
      <c r="HA208" s="128">
        <f>DATA!HD35</f>
        <v>0</v>
      </c>
      <c r="HB208" s="128">
        <f>DATA!HE35</f>
        <v>0</v>
      </c>
      <c r="HC208" s="128">
        <f>DATA!HF35</f>
        <v>0</v>
      </c>
      <c r="HD208" s="128">
        <f>DATA!HG35</f>
        <v>0</v>
      </c>
      <c r="HE208" s="128">
        <f>DATA!HH35</f>
        <v>0</v>
      </c>
      <c r="HF208" s="128">
        <f>DATA!HI35</f>
        <v>0</v>
      </c>
      <c r="HG208" s="128">
        <f>DATA!HJ35</f>
        <v>0</v>
      </c>
      <c r="HH208" s="128">
        <f>DATA!HK35</f>
        <v>0</v>
      </c>
      <c r="HI208" s="128">
        <f>DATA!HL35</f>
        <v>0</v>
      </c>
      <c r="HJ208" s="128">
        <f>DATA!HM35</f>
        <v>0</v>
      </c>
      <c r="HK208" s="128">
        <f>DATA!HN35</f>
        <v>0</v>
      </c>
      <c r="HL208" s="128">
        <f>DATA!HO35</f>
        <v>0</v>
      </c>
      <c r="HM208" s="128">
        <f>DATA!HP35</f>
        <v>0</v>
      </c>
      <c r="HN208" s="128">
        <f>DATA!HQ35</f>
        <v>0</v>
      </c>
      <c r="HO208" s="128">
        <f>DATA!HR35</f>
        <v>0</v>
      </c>
      <c r="HP208" s="128">
        <f>DATA!HS35</f>
        <v>0</v>
      </c>
      <c r="HQ208" s="128">
        <f>DATA!HT35</f>
        <v>0</v>
      </c>
      <c r="HR208" s="128">
        <f>DATA!HU35</f>
        <v>0</v>
      </c>
      <c r="HS208" s="128">
        <f>DATA!HV35</f>
        <v>0</v>
      </c>
      <c r="HT208" s="128">
        <f>DATA!HW35</f>
        <v>0</v>
      </c>
      <c r="HU208" s="128">
        <f>DATA!HX35</f>
        <v>0</v>
      </c>
      <c r="HV208" s="128">
        <f>DATA!HY35</f>
        <v>0</v>
      </c>
      <c r="HW208" s="128">
        <f>DATA!HZ35</f>
        <v>0</v>
      </c>
      <c r="HX208" s="128">
        <f>DATA!IA35</f>
        <v>0</v>
      </c>
      <c r="HY208" s="128">
        <f>DATA!IB35</f>
        <v>0</v>
      </c>
      <c r="HZ208" s="128">
        <f>DATA!IC35</f>
        <v>0</v>
      </c>
      <c r="IA208" s="128">
        <f>DATA!ID35</f>
        <v>0</v>
      </c>
      <c r="IB208" s="128">
        <f>DATA!IE35</f>
        <v>0</v>
      </c>
      <c r="IC208" s="128">
        <f>DATA!IF35</f>
        <v>0</v>
      </c>
      <c r="ID208" s="128">
        <f>DATA!IG35</f>
        <v>0</v>
      </c>
      <c r="IE208" s="128">
        <f>DATA!IH35</f>
        <v>0</v>
      </c>
      <c r="IF208" s="128">
        <f>DATA!II35</f>
        <v>0</v>
      </c>
      <c r="IG208" s="128">
        <f>DATA!IJ35</f>
        <v>0</v>
      </c>
      <c r="IH208" s="128">
        <f>DATA!IK35</f>
        <v>0</v>
      </c>
      <c r="II208" s="128">
        <f>DATA!IL35</f>
        <v>0</v>
      </c>
      <c r="IJ208" s="128">
        <f>DATA!IM35</f>
        <v>0</v>
      </c>
      <c r="IK208" s="128">
        <f>DATA!IN35</f>
        <v>0</v>
      </c>
      <c r="IL208" s="128">
        <f>DATA!IO35</f>
        <v>0</v>
      </c>
      <c r="IM208" s="128">
        <f>DATA!IP35</f>
        <v>0</v>
      </c>
      <c r="IN208" s="128">
        <f>DATA!IQ35</f>
        <v>0</v>
      </c>
      <c r="IO208" s="128">
        <f>DATA!IR35</f>
        <v>0</v>
      </c>
      <c r="IP208" s="128">
        <f>DATA!IS35</f>
        <v>0</v>
      </c>
      <c r="IQ208" s="128">
        <f>DATA!IT35</f>
        <v>0</v>
      </c>
      <c r="IR208" s="128">
        <f>DATA!IU35</f>
        <v>0</v>
      </c>
      <c r="IS208" s="128">
        <f>DATA!IV35</f>
        <v>0</v>
      </c>
      <c r="IT208" s="128">
        <f>DATA!IW35</f>
        <v>0</v>
      </c>
      <c r="IU208" s="128">
        <f>DATA!IX35</f>
        <v>0</v>
      </c>
      <c r="IV208" s="128">
        <f>DATA!IY35</f>
        <v>0</v>
      </c>
      <c r="IW208" s="128">
        <f>DATA!IZ35</f>
        <v>0</v>
      </c>
      <c r="IX208" s="128">
        <f>DATA!JA35</f>
        <v>0</v>
      </c>
      <c r="IY208" s="128">
        <f>DATA!JB35</f>
        <v>0</v>
      </c>
      <c r="IZ208" s="128">
        <f>DATA!JC35</f>
        <v>0</v>
      </c>
      <c r="JA208" s="128">
        <f>DATA!JD35</f>
        <v>0</v>
      </c>
      <c r="JB208" s="128">
        <f>DATA!JE35</f>
        <v>0</v>
      </c>
      <c r="JC208" s="128">
        <f>DATA!JF35</f>
        <v>0</v>
      </c>
      <c r="JD208" s="128">
        <f>DATA!JG35</f>
        <v>0</v>
      </c>
      <c r="JE208" s="128">
        <f>DATA!JH35</f>
        <v>0</v>
      </c>
      <c r="JF208" s="128">
        <f>DATA!JI35</f>
        <v>0</v>
      </c>
      <c r="JG208" s="128">
        <f>DATA!JJ35</f>
        <v>0</v>
      </c>
      <c r="JH208" s="128">
        <f>DATA!JK35</f>
        <v>0</v>
      </c>
      <c r="JI208" s="128">
        <f>DATA!JL35</f>
        <v>0</v>
      </c>
      <c r="JJ208" s="128">
        <f>DATA!JM35</f>
        <v>0</v>
      </c>
      <c r="JK208" s="128">
        <f>DATA!JN35</f>
        <v>0</v>
      </c>
      <c r="JL208" s="128">
        <f>DATA!JO35</f>
        <v>0</v>
      </c>
      <c r="JM208" s="128">
        <f>DATA!JP35</f>
        <v>0</v>
      </c>
      <c r="JN208" s="128">
        <f>DATA!JQ35</f>
        <v>0</v>
      </c>
      <c r="JO208" s="128">
        <f>DATA!JR35</f>
        <v>0</v>
      </c>
      <c r="JP208" s="128">
        <f>DATA!JS35</f>
        <v>0</v>
      </c>
      <c r="JQ208" s="128">
        <f>DATA!JT35</f>
        <v>0</v>
      </c>
      <c r="JR208" s="128">
        <f>DATA!JU35</f>
        <v>0</v>
      </c>
      <c r="JS208" s="128">
        <f>DATA!JV35</f>
        <v>0</v>
      </c>
      <c r="JT208" s="128">
        <f>DATA!JW35</f>
        <v>0</v>
      </c>
      <c r="JU208" s="128">
        <f>DATA!JX35</f>
        <v>0</v>
      </c>
      <c r="JV208" s="128">
        <f>DATA!JY35</f>
        <v>0</v>
      </c>
      <c r="JW208" s="128">
        <f>DATA!JZ35</f>
        <v>0</v>
      </c>
      <c r="JX208" s="128">
        <f>DATA!KA35</f>
        <v>0</v>
      </c>
      <c r="JY208" s="128">
        <f>DATA!KB35</f>
        <v>0</v>
      </c>
      <c r="JZ208" s="128">
        <f>DATA!KC35</f>
        <v>0</v>
      </c>
      <c r="KA208" s="128">
        <f>DATA!KD35</f>
        <v>0</v>
      </c>
      <c r="KB208" s="128">
        <f>DATA!KE35</f>
        <v>0</v>
      </c>
      <c r="KC208" s="128">
        <f>DATA!KF35</f>
        <v>0</v>
      </c>
      <c r="KD208" s="128">
        <f>DATA!KG35</f>
        <v>0</v>
      </c>
      <c r="KE208" s="128">
        <f>DATA!KH35</f>
        <v>0</v>
      </c>
      <c r="KF208" s="128">
        <f>DATA!KI35</f>
        <v>0</v>
      </c>
      <c r="KG208" s="128">
        <f>DATA!KJ35</f>
        <v>0</v>
      </c>
      <c r="KH208" s="128">
        <f>DATA!KK35</f>
        <v>0</v>
      </c>
      <c r="KI208" s="128">
        <f>DATA!KL35</f>
        <v>0</v>
      </c>
      <c r="KJ208" s="128">
        <f>DATA!KM35</f>
        <v>0</v>
      </c>
      <c r="KK208" s="128">
        <f>DATA!KN35</f>
        <v>0</v>
      </c>
      <c r="KL208" s="128">
        <f>DATA!KO35</f>
        <v>0</v>
      </c>
      <c r="KM208" s="128">
        <f>DATA!KP35</f>
        <v>0</v>
      </c>
      <c r="KN208" s="128">
        <f>DATA!KQ35</f>
        <v>0</v>
      </c>
      <c r="KO208" s="128">
        <f>DATA!KR35</f>
        <v>0</v>
      </c>
      <c r="KP208" s="128">
        <f>DATA!KS35</f>
        <v>0</v>
      </c>
      <c r="KQ208" s="128">
        <f>DATA!KT35</f>
        <v>0</v>
      </c>
      <c r="KR208" s="128">
        <f>DATA!KU35</f>
        <v>0</v>
      </c>
      <c r="KS208" s="128">
        <f>DATA!KV35</f>
        <v>0</v>
      </c>
      <c r="KT208" s="128">
        <f>DATA!KW35</f>
        <v>0</v>
      </c>
      <c r="KU208" s="128">
        <f>DATA!KX35</f>
        <v>0</v>
      </c>
      <c r="KV208" s="128">
        <f>DATA!KY35</f>
        <v>0</v>
      </c>
      <c r="KW208" s="128">
        <f>DATA!KZ35</f>
        <v>0</v>
      </c>
      <c r="KX208" s="128">
        <f>DATA!LA35</f>
        <v>0</v>
      </c>
      <c r="KY208" s="128">
        <f>DATA!LB35</f>
        <v>0</v>
      </c>
      <c r="KZ208" s="128">
        <f>DATA!LC35</f>
        <v>0</v>
      </c>
      <c r="LA208" s="128">
        <f>DATA!LD35</f>
        <v>0</v>
      </c>
      <c r="LB208" s="128">
        <f>DATA!LE35</f>
        <v>0</v>
      </c>
      <c r="LC208" s="128">
        <f>DATA!LF35</f>
        <v>0</v>
      </c>
      <c r="LD208" s="128">
        <f>DATA!LG35</f>
        <v>0</v>
      </c>
      <c r="LE208" s="128">
        <f>DATA!LH35</f>
        <v>0</v>
      </c>
      <c r="LF208" s="128">
        <f>DATA!LI35</f>
        <v>0</v>
      </c>
      <c r="LG208" s="128">
        <f>DATA!LJ35</f>
        <v>0</v>
      </c>
      <c r="LH208" s="128">
        <f>DATA!LK35</f>
        <v>0</v>
      </c>
      <c r="LI208" s="128">
        <f>DATA!LL35</f>
        <v>0</v>
      </c>
      <c r="LJ208" s="128">
        <f>DATA!LM35</f>
        <v>0</v>
      </c>
      <c r="LK208" s="128">
        <f>DATA!LN35</f>
        <v>0</v>
      </c>
      <c r="LL208" s="128">
        <f>DATA!LO35</f>
        <v>0</v>
      </c>
      <c r="LM208" s="128">
        <f>DATA!LP35</f>
        <v>0</v>
      </c>
      <c r="LN208" s="128">
        <f>DATA!LQ35</f>
        <v>0</v>
      </c>
      <c r="LO208" s="128">
        <f>DATA!LR35</f>
        <v>0</v>
      </c>
      <c r="LP208" s="128">
        <f>DATA!LS35</f>
        <v>0</v>
      </c>
      <c r="LQ208" s="128">
        <f>DATA!LT35</f>
        <v>0</v>
      </c>
      <c r="LR208" s="128">
        <f>DATA!LU35</f>
        <v>0</v>
      </c>
      <c r="LS208" s="128">
        <f>DATA!LV35</f>
        <v>0</v>
      </c>
      <c r="LT208" s="128">
        <f>DATA!LW35</f>
        <v>0</v>
      </c>
      <c r="LU208" s="128">
        <f>DATA!LX35</f>
        <v>0</v>
      </c>
      <c r="LV208" s="128">
        <f>DATA!LY35</f>
        <v>0</v>
      </c>
      <c r="LW208" s="128">
        <f>DATA!LZ35</f>
        <v>0</v>
      </c>
      <c r="LX208" s="128">
        <f>DATA!MA35</f>
        <v>0</v>
      </c>
      <c r="LY208" s="128">
        <f>DATA!MB35</f>
        <v>0</v>
      </c>
      <c r="LZ208" s="128">
        <f>DATA!MC35</f>
        <v>0</v>
      </c>
      <c r="MA208" s="128">
        <f>DATA!MD35</f>
        <v>0</v>
      </c>
      <c r="MB208" s="128">
        <f>DATA!ME35</f>
        <v>0</v>
      </c>
      <c r="MC208" s="128">
        <f>DATA!MF35</f>
        <v>0</v>
      </c>
      <c r="MD208" s="128">
        <f>DATA!MG35</f>
        <v>0</v>
      </c>
      <c r="ME208" s="128">
        <f>DATA!MH35</f>
        <v>0</v>
      </c>
      <c r="MF208" s="128">
        <f>DATA!MI35</f>
        <v>0</v>
      </c>
      <c r="MG208" s="128">
        <f>DATA!MJ35</f>
        <v>0</v>
      </c>
      <c r="MH208" s="128">
        <f>DATA!MK35</f>
        <v>0</v>
      </c>
      <c r="MI208" s="128">
        <f>DATA!ML35</f>
        <v>0</v>
      </c>
      <c r="MJ208" s="128">
        <f>DATA!MM35</f>
        <v>0</v>
      </c>
      <c r="MK208" s="128">
        <f>DATA!MN35</f>
        <v>0</v>
      </c>
      <c r="ML208" s="128">
        <f>DATA!MO35</f>
        <v>0</v>
      </c>
      <c r="MM208" s="128">
        <f>DATA!MP35</f>
        <v>0</v>
      </c>
      <c r="MN208" s="128">
        <f>DATA!MQ35</f>
        <v>0</v>
      </c>
      <c r="MO208" s="128">
        <f>DATA!MR35</f>
        <v>0</v>
      </c>
      <c r="MP208" s="128">
        <f>DATA!MS35</f>
        <v>0</v>
      </c>
      <c r="MQ208" s="128">
        <f>DATA!MT35</f>
        <v>0</v>
      </c>
      <c r="MR208" s="128">
        <f>DATA!MU35</f>
        <v>0</v>
      </c>
      <c r="MS208" s="128">
        <f>DATA!MV35</f>
        <v>0</v>
      </c>
      <c r="MT208" s="128">
        <f>DATA!MW35</f>
        <v>0</v>
      </c>
      <c r="MU208" s="128">
        <f>DATA!MX35</f>
        <v>0</v>
      </c>
      <c r="MV208" s="128">
        <f>DATA!MY35</f>
        <v>0</v>
      </c>
      <c r="MW208" s="128">
        <f>DATA!MZ35</f>
        <v>0</v>
      </c>
      <c r="MX208" s="128">
        <f>DATA!NA35</f>
        <v>0</v>
      </c>
      <c r="MY208" s="128">
        <f>DATA!NB35</f>
        <v>0</v>
      </c>
      <c r="MZ208" s="128">
        <f>DATA!NC35</f>
        <v>0</v>
      </c>
      <c r="NA208" s="128">
        <f>DATA!ND35</f>
        <v>0</v>
      </c>
      <c r="NB208" s="128">
        <f>DATA!NE35</f>
        <v>0</v>
      </c>
      <c r="NC208" s="128">
        <f>DATA!NF35</f>
        <v>0</v>
      </c>
      <c r="ND208" s="128">
        <f>DATA!NG35</f>
        <v>0</v>
      </c>
      <c r="NE208" s="128">
        <f>DATA!NH35</f>
        <v>0</v>
      </c>
      <c r="NF208" s="128">
        <f>DATA!NI35</f>
        <v>0</v>
      </c>
      <c r="NG208" s="128">
        <f>DATA!NJ35</f>
        <v>0</v>
      </c>
      <c r="NH208" s="128">
        <f>DATA!NK35</f>
        <v>0</v>
      </c>
      <c r="NI208" s="128">
        <f>DATA!NL35</f>
        <v>0</v>
      </c>
      <c r="NJ208" s="128">
        <f>DATA!NM35</f>
        <v>0</v>
      </c>
      <c r="NK208" s="128">
        <f>DATA!NN35</f>
        <v>0</v>
      </c>
      <c r="NL208" s="128">
        <f>DATA!NO35</f>
        <v>0</v>
      </c>
      <c r="NM208" s="128">
        <f>DATA!NP35</f>
        <v>0</v>
      </c>
      <c r="NN208" s="128">
        <f>DATA!NQ35</f>
        <v>0</v>
      </c>
      <c r="NO208" s="128">
        <f>DATA!NR35</f>
        <v>0</v>
      </c>
      <c r="NP208" s="128">
        <f>DATA!NS35</f>
        <v>0</v>
      </c>
      <c r="NQ208" s="128">
        <f>DATA!NT35</f>
        <v>0</v>
      </c>
      <c r="NR208" s="128">
        <f>DATA!NU35</f>
        <v>0</v>
      </c>
      <c r="NS208" s="128">
        <f>DATA!NV35</f>
        <v>0</v>
      </c>
      <c r="NT208" s="128">
        <f>DATA!NW35</f>
        <v>0</v>
      </c>
      <c r="NU208" s="128">
        <f>DATA!NX35</f>
        <v>0</v>
      </c>
      <c r="NV208" s="128">
        <f>DATA!NY35</f>
        <v>0</v>
      </c>
      <c r="NW208" s="128">
        <f>DATA!NZ35</f>
        <v>0</v>
      </c>
      <c r="NX208" s="128">
        <f>DATA!OA35</f>
        <v>0</v>
      </c>
      <c r="NY208" s="128">
        <f>DATA!OB35</f>
        <v>0</v>
      </c>
      <c r="NZ208" s="128">
        <f>DATA!OC35</f>
        <v>0</v>
      </c>
      <c r="OA208" s="128">
        <f>DATA!OD35</f>
        <v>0</v>
      </c>
      <c r="OB208" s="128">
        <f>DATA!OE35</f>
        <v>0</v>
      </c>
      <c r="OC208" s="128">
        <f>DATA!OF35</f>
        <v>0</v>
      </c>
      <c r="OD208" s="128">
        <f>DATA!OG35</f>
        <v>0</v>
      </c>
      <c r="OE208" s="128">
        <f>DATA!OH35</f>
        <v>0</v>
      </c>
      <c r="OF208" s="128">
        <f>DATA!OI35</f>
        <v>0</v>
      </c>
      <c r="OG208" s="128">
        <f>DATA!OJ35</f>
        <v>0</v>
      </c>
      <c r="OH208" s="128">
        <f>DATA!OK35</f>
        <v>0</v>
      </c>
      <c r="OI208" s="128">
        <f>DATA!OL35</f>
        <v>0</v>
      </c>
      <c r="OJ208" s="128">
        <f>DATA!OM35</f>
        <v>0</v>
      </c>
      <c r="OK208" s="128">
        <f>DATA!ON35</f>
        <v>0</v>
      </c>
      <c r="OL208" s="128">
        <f>DATA!OO35</f>
        <v>0</v>
      </c>
      <c r="OM208" s="128">
        <f>DATA!OP35</f>
        <v>0</v>
      </c>
      <c r="ON208" s="128">
        <f>DATA!OQ35</f>
        <v>0</v>
      </c>
      <c r="OO208" s="128">
        <f>DATA!OR35</f>
        <v>0</v>
      </c>
      <c r="OP208" s="128">
        <f>DATA!OS35</f>
        <v>0</v>
      </c>
      <c r="OQ208" s="128">
        <f>DATA!OT35</f>
        <v>0</v>
      </c>
      <c r="OR208" s="128">
        <f>DATA!OU35</f>
        <v>0</v>
      </c>
      <c r="OS208" s="128">
        <f>DATA!OV35</f>
        <v>0</v>
      </c>
      <c r="OT208" s="128">
        <f>DATA!OW35</f>
        <v>0</v>
      </c>
      <c r="OU208" s="128">
        <f>DATA!OX35</f>
        <v>0</v>
      </c>
      <c r="OV208" s="128">
        <f>DATA!OY35</f>
        <v>0</v>
      </c>
      <c r="OW208" s="128">
        <f>DATA!OZ35</f>
        <v>0</v>
      </c>
      <c r="OX208" s="128">
        <f>DATA!PA35</f>
        <v>0</v>
      </c>
      <c r="OY208" s="128">
        <f>DATA!PB35</f>
        <v>0</v>
      </c>
      <c r="OZ208" s="128">
        <f>DATA!PC35</f>
        <v>0</v>
      </c>
      <c r="PA208" s="128">
        <f>DATA!PD35</f>
        <v>0</v>
      </c>
      <c r="PB208" s="128">
        <f>DATA!PE35</f>
        <v>0</v>
      </c>
      <c r="PC208" s="128">
        <f>DATA!PF35</f>
        <v>0</v>
      </c>
      <c r="PD208" s="128">
        <f>DATA!PG35</f>
        <v>0</v>
      </c>
      <c r="PE208" s="128">
        <f>DATA!PH35</f>
        <v>0</v>
      </c>
      <c r="PF208" s="128">
        <f>DATA!PI35</f>
        <v>0</v>
      </c>
      <c r="PG208" s="128">
        <f>DATA!PJ35</f>
        <v>0</v>
      </c>
      <c r="PH208" s="128">
        <f>DATA!PK35</f>
        <v>0</v>
      </c>
      <c r="PI208" s="128">
        <f>DATA!PL35</f>
        <v>0</v>
      </c>
      <c r="PJ208" s="128">
        <f>DATA!PM35</f>
        <v>0</v>
      </c>
      <c r="PK208" s="128">
        <f>DATA!PN35</f>
        <v>0</v>
      </c>
      <c r="PL208" s="128">
        <f>DATA!PO35</f>
        <v>0</v>
      </c>
      <c r="PM208" s="128">
        <f>DATA!PP35</f>
        <v>0</v>
      </c>
      <c r="PN208" s="128">
        <f>DATA!PQ35</f>
        <v>0</v>
      </c>
      <c r="PO208" s="128">
        <f>DATA!PR35</f>
        <v>0</v>
      </c>
      <c r="PP208" s="128">
        <f>DATA!PS35</f>
        <v>0</v>
      </c>
      <c r="PQ208" s="128">
        <f>DATA!PT35</f>
        <v>0</v>
      </c>
      <c r="PR208" s="128">
        <f>DATA!PU35</f>
        <v>0</v>
      </c>
      <c r="PS208" s="128">
        <f>DATA!PV35</f>
        <v>0</v>
      </c>
      <c r="PT208" s="128">
        <f>DATA!PW35</f>
        <v>0</v>
      </c>
      <c r="PU208" s="128">
        <f>DATA!PX35</f>
        <v>0</v>
      </c>
      <c r="PV208" s="128">
        <f>DATA!PY35</f>
        <v>0</v>
      </c>
      <c r="PW208" s="128">
        <f>DATA!PZ35</f>
        <v>0</v>
      </c>
      <c r="PX208" s="128">
        <f>DATA!QA35</f>
        <v>0</v>
      </c>
      <c r="PY208" s="128">
        <f>DATA!QB35</f>
        <v>0</v>
      </c>
      <c r="PZ208" s="128">
        <f>DATA!QC35</f>
        <v>0</v>
      </c>
      <c r="QA208" s="128">
        <f>DATA!QD35</f>
        <v>0</v>
      </c>
      <c r="QB208" s="128">
        <f>DATA!QE35</f>
        <v>0</v>
      </c>
      <c r="QC208" s="128">
        <f>DATA!QF35</f>
        <v>0</v>
      </c>
      <c r="QD208" s="128">
        <f>DATA!QG35</f>
        <v>0</v>
      </c>
      <c r="QE208" s="128">
        <f>DATA!QH35</f>
        <v>0</v>
      </c>
      <c r="QF208" s="128">
        <f>DATA!QI35</f>
        <v>0</v>
      </c>
      <c r="QG208" s="128">
        <f>DATA!QJ35</f>
        <v>0</v>
      </c>
      <c r="QH208" s="128">
        <f>DATA!QK35</f>
        <v>0</v>
      </c>
      <c r="QI208" s="128">
        <f>DATA!QL35</f>
        <v>0</v>
      </c>
      <c r="QJ208" s="128">
        <f>DATA!QM35</f>
        <v>0</v>
      </c>
      <c r="QK208" s="128">
        <f>DATA!QN35</f>
        <v>0</v>
      </c>
      <c r="QL208" s="128">
        <f>DATA!QO35</f>
        <v>0</v>
      </c>
      <c r="QM208" s="128">
        <f>DATA!QP35</f>
        <v>0</v>
      </c>
      <c r="QN208" s="128">
        <f>DATA!QQ35</f>
        <v>0</v>
      </c>
      <c r="QO208" s="128">
        <f>DATA!QR35</f>
        <v>0</v>
      </c>
      <c r="QP208" s="128">
        <f>DATA!QS35</f>
        <v>0</v>
      </c>
      <c r="QQ208" s="128">
        <f>DATA!QT35</f>
        <v>0</v>
      </c>
      <c r="QR208" s="128">
        <f>DATA!QU35</f>
        <v>0</v>
      </c>
      <c r="QS208" s="128">
        <f>DATA!QV35</f>
        <v>0</v>
      </c>
      <c r="QT208" s="128">
        <f>DATA!QW35</f>
        <v>0</v>
      </c>
      <c r="QU208" s="128">
        <f>DATA!QX35</f>
        <v>0</v>
      </c>
      <c r="QV208" s="128">
        <f>DATA!QY35</f>
        <v>0</v>
      </c>
      <c r="QW208" s="128">
        <f>DATA!QZ35</f>
        <v>0</v>
      </c>
      <c r="QX208" s="128">
        <f>DATA!RA35</f>
        <v>0</v>
      </c>
      <c r="QY208" s="128">
        <f>DATA!RB35</f>
        <v>0</v>
      </c>
      <c r="QZ208" s="128">
        <f>DATA!RC35</f>
        <v>0</v>
      </c>
      <c r="RA208" s="128">
        <f>DATA!RD35</f>
        <v>0</v>
      </c>
      <c r="RB208" s="128">
        <f>DATA!RE35</f>
        <v>0</v>
      </c>
      <c r="RC208" s="128">
        <f>DATA!RF35</f>
        <v>0</v>
      </c>
      <c r="RD208" s="128">
        <f>DATA!RG35</f>
        <v>0</v>
      </c>
      <c r="RE208" s="128">
        <f>DATA!RH35</f>
        <v>0</v>
      </c>
      <c r="RF208" s="128">
        <f>DATA!RI35</f>
        <v>0</v>
      </c>
      <c r="RG208" s="128">
        <f>DATA!RJ35</f>
        <v>0</v>
      </c>
      <c r="RH208" s="128">
        <f>DATA!RK35</f>
        <v>0</v>
      </c>
      <c r="RI208" s="128">
        <f>DATA!RL35</f>
        <v>0</v>
      </c>
      <c r="RJ208" s="128">
        <f>DATA!RM35</f>
        <v>0</v>
      </c>
      <c r="RK208" s="128">
        <f>DATA!RN35</f>
        <v>0</v>
      </c>
      <c r="RL208" s="128">
        <f>DATA!RO35</f>
        <v>0</v>
      </c>
      <c r="RM208" s="128">
        <f>DATA!RP35</f>
        <v>0</v>
      </c>
      <c r="RN208" s="128">
        <f>DATA!RQ35</f>
        <v>0</v>
      </c>
      <c r="RO208" s="128">
        <f>DATA!RR35</f>
        <v>0</v>
      </c>
      <c r="RP208" s="128">
        <f>DATA!RS35</f>
        <v>0</v>
      </c>
      <c r="RQ208" s="128">
        <f>DATA!RT35</f>
        <v>0</v>
      </c>
      <c r="RR208" s="128">
        <f>DATA!RU35</f>
        <v>0</v>
      </c>
      <c r="RS208" s="128">
        <f>DATA!RV35</f>
        <v>0</v>
      </c>
      <c r="RT208" s="128">
        <f>DATA!RW35</f>
        <v>0</v>
      </c>
      <c r="RU208" s="128">
        <f>DATA!RX35</f>
        <v>0</v>
      </c>
      <c r="RV208" s="128">
        <f>DATA!RY35</f>
        <v>0</v>
      </c>
      <c r="RW208" s="128">
        <f>DATA!RZ35</f>
        <v>0</v>
      </c>
      <c r="RX208" s="128">
        <f>DATA!SA35</f>
        <v>0</v>
      </c>
      <c r="RY208" s="128">
        <f>DATA!SB35</f>
        <v>0</v>
      </c>
      <c r="RZ208" s="128">
        <f>DATA!SC35</f>
        <v>0</v>
      </c>
      <c r="SA208" s="128">
        <f>DATA!SD35</f>
        <v>0</v>
      </c>
      <c r="SB208" s="128">
        <f>DATA!SE35</f>
        <v>0</v>
      </c>
      <c r="SC208" s="128">
        <f>DATA!SF35</f>
        <v>0</v>
      </c>
      <c r="SD208" s="128">
        <f>DATA!SG35</f>
        <v>0</v>
      </c>
      <c r="SE208" s="128">
        <f>DATA!SH35</f>
        <v>0</v>
      </c>
      <c r="SF208" s="128">
        <f>DATA!SI35</f>
        <v>0</v>
      </c>
      <c r="SG208" s="128">
        <f>DATA!SJ35</f>
        <v>0</v>
      </c>
      <c r="SH208" s="128">
        <f>DATA!SK35</f>
        <v>0</v>
      </c>
      <c r="SI208" s="128">
        <f>DATA!SL35</f>
        <v>0</v>
      </c>
      <c r="SJ208" s="128">
        <f>DATA!SM35</f>
        <v>0</v>
      </c>
      <c r="SK208" s="128">
        <f>DATA!SN35</f>
        <v>0</v>
      </c>
      <c r="SL208" s="128">
        <f>DATA!SO35</f>
        <v>0</v>
      </c>
      <c r="SM208" s="128">
        <f>DATA!SP35</f>
        <v>0</v>
      </c>
      <c r="SN208" s="128">
        <f>DATA!SQ35</f>
        <v>0</v>
      </c>
      <c r="SO208" s="128">
        <f>DATA!SR35</f>
        <v>0</v>
      </c>
      <c r="SP208" s="128">
        <f>DATA!SS35</f>
        <v>0</v>
      </c>
      <c r="SQ208" s="128">
        <f>DATA!ST35</f>
        <v>0</v>
      </c>
      <c r="SR208" s="128">
        <f>DATA!SU35</f>
        <v>0</v>
      </c>
      <c r="SS208" s="128">
        <f>DATA!SV35</f>
        <v>0</v>
      </c>
      <c r="ST208" s="128">
        <f>DATA!SW35</f>
        <v>0</v>
      </c>
      <c r="SU208" s="128">
        <f>DATA!SX35</f>
        <v>0</v>
      </c>
      <c r="SV208" s="128">
        <f>DATA!SY35</f>
        <v>0</v>
      </c>
      <c r="SW208" s="128">
        <f>DATA!SZ35</f>
        <v>0</v>
      </c>
      <c r="SX208" s="128">
        <f>DATA!TA35</f>
        <v>0</v>
      </c>
      <c r="SY208" s="128">
        <f>DATA!TB35</f>
        <v>0</v>
      </c>
      <c r="SZ208" s="128">
        <f>DATA!TC35</f>
        <v>0</v>
      </c>
      <c r="TA208" s="128">
        <f>DATA!TD35</f>
        <v>0</v>
      </c>
      <c r="TB208" s="128">
        <f>DATA!TE35</f>
        <v>0</v>
      </c>
      <c r="TC208" s="128">
        <f>DATA!TF35</f>
        <v>0</v>
      </c>
      <c r="TD208" s="128">
        <f>DATA!TG35</f>
        <v>0</v>
      </c>
      <c r="TE208" s="128">
        <f>DATA!TH35</f>
        <v>0</v>
      </c>
      <c r="TF208" s="128">
        <f>DATA!TI35</f>
        <v>0</v>
      </c>
      <c r="TG208" s="128">
        <f>DATA!TJ35</f>
        <v>0</v>
      </c>
      <c r="TH208" s="128">
        <f>DATA!TK35</f>
        <v>0</v>
      </c>
      <c r="TI208" s="128">
        <f>DATA!TL35</f>
        <v>0</v>
      </c>
      <c r="TJ208" s="128">
        <f>DATA!TM35</f>
        <v>0</v>
      </c>
      <c r="TK208" s="128">
        <f>DATA!TN35</f>
        <v>0</v>
      </c>
      <c r="TL208" s="128">
        <f>DATA!TO35</f>
        <v>0</v>
      </c>
      <c r="TM208" s="128">
        <f>DATA!TP35</f>
        <v>0</v>
      </c>
      <c r="TN208" s="128">
        <f>DATA!TQ35</f>
        <v>0</v>
      </c>
      <c r="TO208" s="128">
        <f>DATA!TR35</f>
        <v>0</v>
      </c>
      <c r="TP208" s="128">
        <f>DATA!TS35</f>
        <v>0</v>
      </c>
      <c r="TQ208" s="128">
        <f>DATA!TT35</f>
        <v>0</v>
      </c>
      <c r="TR208" s="128">
        <f>DATA!TU35</f>
        <v>0</v>
      </c>
      <c r="TS208" s="128">
        <f>DATA!TV35</f>
        <v>0</v>
      </c>
      <c r="TT208" s="128">
        <f>DATA!TW35</f>
        <v>0</v>
      </c>
      <c r="TU208" s="128">
        <f>DATA!TX35</f>
        <v>0</v>
      </c>
      <c r="TV208" s="128">
        <f>DATA!TY35</f>
        <v>0</v>
      </c>
      <c r="TW208" s="128">
        <f>DATA!TZ35</f>
        <v>0</v>
      </c>
      <c r="TX208" s="128">
        <f>DATA!UA35</f>
        <v>0</v>
      </c>
      <c r="TY208" s="128">
        <f>DATA!UB35</f>
        <v>0</v>
      </c>
      <c r="TZ208" s="128">
        <f>DATA!UC35</f>
        <v>0</v>
      </c>
      <c r="UA208" s="128">
        <f>DATA!UD35</f>
        <v>0</v>
      </c>
      <c r="UB208" s="128">
        <f>DATA!UE35</f>
        <v>0</v>
      </c>
      <c r="UC208" s="128">
        <f>DATA!UF35</f>
        <v>0</v>
      </c>
      <c r="UD208" s="128">
        <f>DATA!UG35</f>
        <v>0</v>
      </c>
      <c r="UE208" s="128">
        <f>DATA!UH35</f>
        <v>0</v>
      </c>
      <c r="UF208" s="128">
        <f>DATA!UI35</f>
        <v>0</v>
      </c>
      <c r="UG208" s="128">
        <f>DATA!UJ35</f>
        <v>0</v>
      </c>
      <c r="UH208" s="128">
        <f>DATA!UK35</f>
        <v>0</v>
      </c>
      <c r="UI208" s="128">
        <f>DATA!UL35</f>
        <v>0</v>
      </c>
      <c r="UJ208" s="128">
        <f>DATA!UM35</f>
        <v>0</v>
      </c>
      <c r="UK208" s="128">
        <f>DATA!UN35</f>
        <v>0</v>
      </c>
      <c r="UL208" s="128">
        <f>DATA!UO35</f>
        <v>0</v>
      </c>
      <c r="UM208" s="128">
        <f>DATA!UP35</f>
        <v>0</v>
      </c>
      <c r="UN208" s="128">
        <f>DATA!UQ35</f>
        <v>0</v>
      </c>
      <c r="UO208" s="128">
        <f>DATA!UR35</f>
        <v>0</v>
      </c>
      <c r="UP208" s="128">
        <f>DATA!US35</f>
        <v>0</v>
      </c>
      <c r="UQ208" s="128">
        <f>DATA!UT35</f>
        <v>0</v>
      </c>
      <c r="UR208" s="128">
        <f>DATA!UU35</f>
        <v>0</v>
      </c>
      <c r="US208" s="128">
        <f>DATA!UV35</f>
        <v>0</v>
      </c>
      <c r="UT208" s="128">
        <f>DATA!UW35</f>
        <v>0</v>
      </c>
      <c r="UU208" s="128">
        <f>DATA!UX35</f>
        <v>0</v>
      </c>
      <c r="UV208" s="128">
        <f>DATA!UY35</f>
        <v>0</v>
      </c>
      <c r="UW208" s="128">
        <f>DATA!UZ35</f>
        <v>0</v>
      </c>
      <c r="UX208" s="128">
        <f>DATA!VA35</f>
        <v>0</v>
      </c>
      <c r="UY208" s="128">
        <f>DATA!VB35</f>
        <v>0</v>
      </c>
      <c r="UZ208" s="128">
        <f>DATA!VC35</f>
        <v>0</v>
      </c>
      <c r="VA208" s="128">
        <f>DATA!VD35</f>
        <v>0</v>
      </c>
      <c r="VB208" s="128">
        <f>DATA!VE35</f>
        <v>0</v>
      </c>
      <c r="VC208" s="128">
        <f>DATA!VF35</f>
        <v>0</v>
      </c>
      <c r="VD208" s="128">
        <f>DATA!VG35</f>
        <v>0</v>
      </c>
      <c r="VE208" s="128">
        <f>DATA!VH35</f>
        <v>0</v>
      </c>
      <c r="VF208" s="128">
        <f>DATA!VI35</f>
        <v>0</v>
      </c>
      <c r="VG208" s="128">
        <f>DATA!VJ35</f>
        <v>0</v>
      </c>
      <c r="VH208" s="128">
        <f>DATA!VK35</f>
        <v>0</v>
      </c>
      <c r="VI208" s="128">
        <f>DATA!VL35</f>
        <v>0</v>
      </c>
      <c r="VJ208" s="128">
        <f>DATA!VM35</f>
        <v>0</v>
      </c>
      <c r="VK208" s="128">
        <f>DATA!VN35</f>
        <v>0</v>
      </c>
      <c r="VL208" s="128">
        <f>DATA!VO35</f>
        <v>0</v>
      </c>
      <c r="VM208" s="128">
        <f>DATA!VP35</f>
        <v>0</v>
      </c>
      <c r="VN208" s="128">
        <f>DATA!VQ35</f>
        <v>0</v>
      </c>
      <c r="VO208" s="128">
        <f>DATA!VR35</f>
        <v>0</v>
      </c>
      <c r="VP208" s="128">
        <f>DATA!VS35</f>
        <v>0</v>
      </c>
      <c r="VQ208" s="128">
        <f>DATA!VT35</f>
        <v>0</v>
      </c>
      <c r="VR208" s="128">
        <f>DATA!VU35</f>
        <v>0</v>
      </c>
      <c r="VS208" s="128">
        <f>DATA!VV35</f>
        <v>0</v>
      </c>
      <c r="VT208" s="128">
        <f>DATA!VW35</f>
        <v>0</v>
      </c>
      <c r="VU208" s="128">
        <f>DATA!VX35</f>
        <v>0</v>
      </c>
      <c r="VV208" s="128">
        <f>DATA!VY35</f>
        <v>0</v>
      </c>
      <c r="VW208" s="128">
        <f>DATA!VZ35</f>
        <v>0</v>
      </c>
      <c r="VX208" s="128">
        <f>DATA!WA35</f>
        <v>0</v>
      </c>
      <c r="VY208" s="128">
        <f>DATA!WB35</f>
        <v>0</v>
      </c>
      <c r="VZ208" s="128">
        <f>DATA!WC35</f>
        <v>0</v>
      </c>
      <c r="WA208" s="128">
        <f>DATA!WD35</f>
        <v>0</v>
      </c>
      <c r="WB208" s="128">
        <f>DATA!WE35</f>
        <v>0</v>
      </c>
      <c r="WC208" s="128">
        <f>DATA!WF35</f>
        <v>0</v>
      </c>
      <c r="WD208" s="128">
        <f>DATA!WG35</f>
        <v>0</v>
      </c>
      <c r="WE208" s="128">
        <f>DATA!WH35</f>
        <v>0</v>
      </c>
      <c r="WF208" s="128">
        <f>DATA!WI35</f>
        <v>0</v>
      </c>
      <c r="WG208" s="128">
        <f>DATA!WJ35</f>
        <v>0</v>
      </c>
      <c r="WH208" s="128">
        <f>DATA!WK35</f>
        <v>0</v>
      </c>
      <c r="WI208" s="128">
        <f>DATA!WL35</f>
        <v>0</v>
      </c>
      <c r="WJ208" s="128">
        <f>DATA!WM35</f>
        <v>0</v>
      </c>
      <c r="WK208" s="128">
        <f>DATA!WN35</f>
        <v>0</v>
      </c>
      <c r="WL208" s="128">
        <f>DATA!WO35</f>
        <v>0</v>
      </c>
      <c r="WM208" s="128">
        <f>DATA!WP35</f>
        <v>0</v>
      </c>
      <c r="WN208" s="128">
        <f>DATA!WQ35</f>
        <v>0</v>
      </c>
      <c r="WO208" s="128">
        <f>DATA!WR35</f>
        <v>0</v>
      </c>
      <c r="WP208" s="128">
        <f>DATA!WS35</f>
        <v>0</v>
      </c>
      <c r="WQ208" s="128">
        <f>DATA!WT35</f>
        <v>0</v>
      </c>
      <c r="WR208" s="128">
        <f>DATA!WU35</f>
        <v>0</v>
      </c>
      <c r="WS208" s="128">
        <f>DATA!WV35</f>
        <v>0</v>
      </c>
      <c r="WT208" s="128">
        <f>DATA!WW35</f>
        <v>0</v>
      </c>
      <c r="WU208" s="128">
        <f>DATA!WX35</f>
        <v>0</v>
      </c>
      <c r="WV208" s="128">
        <f>DATA!WY35</f>
        <v>0</v>
      </c>
      <c r="WW208" s="128">
        <f>DATA!WZ35</f>
        <v>0</v>
      </c>
      <c r="WX208" s="128">
        <f>DATA!XA35</f>
        <v>0</v>
      </c>
      <c r="WY208" s="128">
        <f>DATA!XB35</f>
        <v>0</v>
      </c>
      <c r="WZ208" s="128">
        <f>DATA!XC35</f>
        <v>0</v>
      </c>
      <c r="XA208" s="128">
        <f>DATA!XD35</f>
        <v>0</v>
      </c>
      <c r="XB208" s="128">
        <f>DATA!XE35</f>
        <v>0</v>
      </c>
      <c r="XC208" s="128">
        <f>DATA!XF35</f>
        <v>0</v>
      </c>
      <c r="XD208" s="128">
        <f>DATA!XG35</f>
        <v>0</v>
      </c>
      <c r="XE208" s="128">
        <f>DATA!XH35</f>
        <v>0</v>
      </c>
      <c r="XF208" s="128">
        <f>DATA!XI35</f>
        <v>0</v>
      </c>
      <c r="XG208" s="128">
        <f>DATA!XJ35</f>
        <v>0</v>
      </c>
      <c r="XH208" s="128">
        <f>DATA!XK35</f>
        <v>0</v>
      </c>
      <c r="XI208" s="128">
        <f>DATA!XL35</f>
        <v>0</v>
      </c>
      <c r="XJ208" s="128">
        <f>DATA!XM35</f>
        <v>0</v>
      </c>
      <c r="XK208" s="128">
        <f>DATA!XN35</f>
        <v>0</v>
      </c>
      <c r="XL208" s="128">
        <f>DATA!XO35</f>
        <v>0</v>
      </c>
      <c r="XM208" s="128">
        <f>DATA!XP35</f>
        <v>0</v>
      </c>
      <c r="XN208" s="128">
        <f>DATA!XQ35</f>
        <v>0</v>
      </c>
      <c r="XO208" s="128">
        <f>DATA!XR35</f>
        <v>0</v>
      </c>
      <c r="XP208" s="128">
        <f>DATA!XS35</f>
        <v>0</v>
      </c>
      <c r="XQ208" s="128">
        <f>DATA!XT35</f>
        <v>0</v>
      </c>
      <c r="XR208" s="128">
        <f>DATA!XU35</f>
        <v>0</v>
      </c>
      <c r="XS208" s="128">
        <f>DATA!XV35</f>
        <v>0</v>
      </c>
      <c r="XT208" s="128">
        <f>DATA!XW35</f>
        <v>0</v>
      </c>
      <c r="XU208" s="128">
        <f>DATA!XX35</f>
        <v>0</v>
      </c>
      <c r="XV208" s="128">
        <f>DATA!XY35</f>
        <v>0</v>
      </c>
      <c r="XW208" s="128">
        <f>DATA!XZ35</f>
        <v>0</v>
      </c>
      <c r="XX208" s="128">
        <f>DATA!YA35</f>
        <v>0</v>
      </c>
      <c r="XY208" s="128">
        <f>DATA!YB35</f>
        <v>0</v>
      </c>
      <c r="XZ208" s="128">
        <f>DATA!YC35</f>
        <v>0</v>
      </c>
      <c r="YA208" s="128">
        <f>DATA!YD35</f>
        <v>0</v>
      </c>
      <c r="YB208" s="128">
        <f>DATA!YE35</f>
        <v>0</v>
      </c>
      <c r="YC208" s="128">
        <f>DATA!YF35</f>
        <v>0</v>
      </c>
      <c r="YD208" s="128">
        <f>DATA!YG35</f>
        <v>0</v>
      </c>
      <c r="YE208" s="128">
        <f>DATA!YH35</f>
        <v>0</v>
      </c>
      <c r="YF208" s="128">
        <f>DATA!YI35</f>
        <v>0</v>
      </c>
      <c r="YG208" s="128">
        <f>DATA!YJ35</f>
        <v>0</v>
      </c>
      <c r="YH208" s="128">
        <f>DATA!YK35</f>
        <v>0</v>
      </c>
      <c r="YI208" s="128">
        <f>DATA!YL35</f>
        <v>0</v>
      </c>
      <c r="YJ208" s="128">
        <f>DATA!YM35</f>
        <v>0</v>
      </c>
      <c r="YK208" s="128">
        <f>DATA!YN35</f>
        <v>0</v>
      </c>
      <c r="YL208" s="128">
        <f>DATA!YO35</f>
        <v>0</v>
      </c>
      <c r="YM208" s="128">
        <f>DATA!YP35</f>
        <v>0</v>
      </c>
      <c r="YN208" s="128">
        <f>DATA!YQ35</f>
        <v>0</v>
      </c>
      <c r="YO208" s="128">
        <f>DATA!YR35</f>
        <v>0</v>
      </c>
      <c r="YP208" s="128">
        <f>DATA!YS35</f>
        <v>0</v>
      </c>
      <c r="YQ208" s="128">
        <f>DATA!YT35</f>
        <v>0</v>
      </c>
      <c r="YR208" s="128">
        <f>DATA!YU35</f>
        <v>0</v>
      </c>
      <c r="YS208" s="128">
        <f>DATA!YV35</f>
        <v>0</v>
      </c>
      <c r="YT208" s="128">
        <f>DATA!YW35</f>
        <v>0</v>
      </c>
      <c r="YU208" s="128">
        <f>DATA!YX35</f>
        <v>0</v>
      </c>
      <c r="YV208" s="128">
        <f>DATA!YY35</f>
        <v>0</v>
      </c>
      <c r="YW208" s="128">
        <f>DATA!YZ35</f>
        <v>0</v>
      </c>
      <c r="YX208" s="128">
        <f>DATA!ZA35</f>
        <v>0</v>
      </c>
      <c r="YY208" s="128">
        <f>DATA!ZB35</f>
        <v>0</v>
      </c>
      <c r="YZ208" s="128">
        <f>DATA!ZC35</f>
        <v>0</v>
      </c>
      <c r="ZA208" s="128">
        <f>DATA!ZD35</f>
        <v>0</v>
      </c>
      <c r="ZB208" s="128">
        <f>DATA!ZE35</f>
        <v>0</v>
      </c>
      <c r="ZC208" s="128">
        <f>DATA!ZF35</f>
        <v>0</v>
      </c>
      <c r="ZD208" s="128">
        <f>DATA!ZG35</f>
        <v>0</v>
      </c>
      <c r="ZE208" s="128">
        <f>DATA!ZH35</f>
        <v>0</v>
      </c>
      <c r="ZF208" s="128">
        <f>DATA!ZI35</f>
        <v>0</v>
      </c>
      <c r="ZG208" s="128">
        <f>DATA!ZJ35</f>
        <v>0</v>
      </c>
      <c r="ZH208" s="128">
        <f>DATA!ZK35</f>
        <v>0</v>
      </c>
      <c r="ZI208" s="128">
        <f>DATA!ZL35</f>
        <v>0</v>
      </c>
      <c r="ZJ208" s="128">
        <f>DATA!ZM35</f>
        <v>0</v>
      </c>
      <c r="ZK208" s="128">
        <f>DATA!ZN35</f>
        <v>0</v>
      </c>
      <c r="ZL208" s="128">
        <f>DATA!ZO35</f>
        <v>0</v>
      </c>
      <c r="ZM208" s="128">
        <f>DATA!ZP35</f>
        <v>0</v>
      </c>
      <c r="ZN208" s="128">
        <f>DATA!ZQ35</f>
        <v>0</v>
      </c>
      <c r="ZO208" s="128">
        <f>DATA!ZR35</f>
        <v>0</v>
      </c>
      <c r="ZP208" s="128">
        <f>DATA!ZS35</f>
        <v>0</v>
      </c>
      <c r="ZQ208" s="128">
        <f>DATA!ZT35</f>
        <v>0</v>
      </c>
      <c r="ZR208" s="128">
        <f>DATA!ZU35</f>
        <v>0</v>
      </c>
      <c r="ZS208" s="128">
        <f>DATA!ZV35</f>
        <v>0</v>
      </c>
      <c r="ZT208" s="128">
        <f>DATA!ZW35</f>
        <v>0</v>
      </c>
      <c r="ZU208" s="128">
        <f>DATA!ZX35</f>
        <v>0</v>
      </c>
      <c r="ZV208" s="128">
        <f>DATA!ZY35</f>
        <v>0</v>
      </c>
      <c r="ZW208" s="128">
        <f>DATA!ZZ35</f>
        <v>0</v>
      </c>
      <c r="ZX208" s="128">
        <f>DATA!AAA35</f>
        <v>0</v>
      </c>
      <c r="ZY208" s="128">
        <f>DATA!AAB35</f>
        <v>0</v>
      </c>
      <c r="ZZ208" s="128">
        <f>DATA!AAC35</f>
        <v>0</v>
      </c>
      <c r="AAA208" s="128">
        <f>DATA!AAD35</f>
        <v>0</v>
      </c>
      <c r="AAB208" s="128">
        <f>DATA!AAE35</f>
        <v>0</v>
      </c>
      <c r="AAC208" s="128">
        <f>DATA!AAF35</f>
        <v>0</v>
      </c>
      <c r="AAD208" s="128">
        <f>DATA!AAG35</f>
        <v>0</v>
      </c>
      <c r="AAE208" s="128">
        <f>DATA!AAH35</f>
        <v>0</v>
      </c>
      <c r="AAF208" s="128">
        <f>DATA!AAI35</f>
        <v>0</v>
      </c>
      <c r="AAG208" s="128">
        <f>DATA!AAJ35</f>
        <v>0</v>
      </c>
      <c r="AAH208" s="128">
        <f>DATA!AAK35</f>
        <v>0</v>
      </c>
      <c r="AAI208" s="128">
        <f>DATA!AAL35</f>
        <v>0</v>
      </c>
      <c r="AAJ208" s="128">
        <f>DATA!AAM35</f>
        <v>0</v>
      </c>
      <c r="AAK208" s="128">
        <f>DATA!AAN35</f>
        <v>0</v>
      </c>
      <c r="AAL208" s="128">
        <f>DATA!AAO35</f>
        <v>0</v>
      </c>
      <c r="AAM208" s="128">
        <f>DATA!AAP35</f>
        <v>0</v>
      </c>
      <c r="AAN208" s="128">
        <f>DATA!AAQ35</f>
        <v>0</v>
      </c>
      <c r="AAO208" s="128">
        <f>DATA!AAR35</f>
        <v>0</v>
      </c>
      <c r="AAP208" s="128">
        <f>DATA!AAS35</f>
        <v>0</v>
      </c>
      <c r="AAQ208" s="128">
        <f>DATA!AAT35</f>
        <v>0</v>
      </c>
      <c r="AAR208" s="128">
        <f>DATA!AAU35</f>
        <v>0</v>
      </c>
      <c r="AAS208" s="128">
        <f>DATA!AAV35</f>
        <v>0</v>
      </c>
      <c r="AAT208" s="128">
        <f>DATA!AAW35</f>
        <v>0</v>
      </c>
      <c r="AAU208" s="128">
        <f>DATA!AAX35</f>
        <v>0</v>
      </c>
      <c r="AAV208" s="128">
        <f>DATA!AAY35</f>
        <v>0</v>
      </c>
      <c r="AAW208" s="128">
        <f>DATA!AAZ35</f>
        <v>0</v>
      </c>
      <c r="AAX208" s="128">
        <f>DATA!ABA35</f>
        <v>0</v>
      </c>
      <c r="AAY208" s="128">
        <f>DATA!ABB35</f>
        <v>0</v>
      </c>
      <c r="AAZ208" s="128">
        <f>DATA!ABC35</f>
        <v>0</v>
      </c>
      <c r="ABA208" s="128">
        <f>DATA!ABD35</f>
        <v>0</v>
      </c>
      <c r="ABB208" s="128">
        <f>DATA!ABE35</f>
        <v>0</v>
      </c>
      <c r="ABC208" s="128">
        <f>DATA!ABF35</f>
        <v>0</v>
      </c>
      <c r="ABD208" s="128">
        <f>DATA!ABG35</f>
        <v>0</v>
      </c>
      <c r="ABE208" s="128">
        <f>DATA!ABH35</f>
        <v>0</v>
      </c>
      <c r="ABF208" s="128">
        <f>DATA!ABI35</f>
        <v>0</v>
      </c>
      <c r="ABG208" s="128">
        <f>DATA!ABJ35</f>
        <v>0</v>
      </c>
      <c r="ABH208" s="128">
        <f>DATA!ABK35</f>
        <v>0</v>
      </c>
      <c r="ABI208" s="128">
        <f>DATA!ABL35</f>
        <v>0</v>
      </c>
      <c r="ABJ208" s="128">
        <f>DATA!ABM35</f>
        <v>0</v>
      </c>
      <c r="ABK208" s="128">
        <f>DATA!ABN35</f>
        <v>0</v>
      </c>
      <c r="ABL208" s="128">
        <f>DATA!ABO35</f>
        <v>0</v>
      </c>
      <c r="ABM208" s="128">
        <f>DATA!ABP35</f>
        <v>0</v>
      </c>
      <c r="ABN208" s="128">
        <f>DATA!ABQ35</f>
        <v>0</v>
      </c>
      <c r="ABO208" s="128">
        <f>DATA!ABR35</f>
        <v>0</v>
      </c>
      <c r="ABP208" s="128">
        <f>DATA!ABS35</f>
        <v>0</v>
      </c>
      <c r="ABQ208" s="128">
        <f>DATA!ABT35</f>
        <v>0</v>
      </c>
      <c r="ABR208" s="128">
        <f>DATA!ABU35</f>
        <v>0</v>
      </c>
      <c r="ABS208" s="128">
        <f>DATA!ABV35</f>
        <v>0</v>
      </c>
      <c r="ABT208" s="128">
        <f>DATA!ABW35</f>
        <v>0</v>
      </c>
      <c r="ABU208" s="128">
        <f>DATA!ABX35</f>
        <v>0</v>
      </c>
      <c r="ABV208" s="128">
        <f>DATA!ABY35</f>
        <v>0</v>
      </c>
      <c r="ABW208" s="128">
        <f>DATA!ABZ35</f>
        <v>0</v>
      </c>
      <c r="ABX208" s="128">
        <f>DATA!ACA35</f>
        <v>0</v>
      </c>
      <c r="ABY208" s="128">
        <f>DATA!ACB35</f>
        <v>0</v>
      </c>
      <c r="ABZ208" s="128">
        <f>DATA!ACC35</f>
        <v>0</v>
      </c>
      <c r="ACA208" s="128">
        <f>DATA!ACD35</f>
        <v>0</v>
      </c>
      <c r="ACB208" s="128">
        <f>DATA!ACE35</f>
        <v>0</v>
      </c>
      <c r="ACC208" s="128">
        <f>DATA!ACF35</f>
        <v>0</v>
      </c>
      <c r="ACD208" s="128">
        <f>DATA!ACG35</f>
        <v>0</v>
      </c>
      <c r="ACE208" s="128">
        <f>DATA!ACH35</f>
        <v>0</v>
      </c>
      <c r="ACF208" s="128">
        <f>DATA!ACI35</f>
        <v>0</v>
      </c>
      <c r="ACG208" s="128">
        <f>DATA!ACJ35</f>
        <v>0</v>
      </c>
      <c r="ACH208" s="128">
        <f>DATA!ACK35</f>
        <v>0</v>
      </c>
      <c r="ACI208" s="128">
        <f>DATA!ACL35</f>
        <v>0</v>
      </c>
      <c r="ACJ208" s="128">
        <f>DATA!ACM35</f>
        <v>0</v>
      </c>
      <c r="ACK208" s="128">
        <f>DATA!ACN35</f>
        <v>0</v>
      </c>
      <c r="ACL208" s="128">
        <f>DATA!ACO35</f>
        <v>0</v>
      </c>
      <c r="ACM208" s="128">
        <f>DATA!ACP35</f>
        <v>0</v>
      </c>
      <c r="ACN208" s="128">
        <f>DATA!ACQ35</f>
        <v>0</v>
      </c>
      <c r="ACO208" s="128">
        <f>DATA!ACR35</f>
        <v>0</v>
      </c>
      <c r="ACP208" s="128">
        <f>DATA!ACS35</f>
        <v>0</v>
      </c>
      <c r="ACQ208" s="128">
        <f>DATA!ACT35</f>
        <v>0</v>
      </c>
      <c r="ACR208" s="128">
        <f>DATA!ACU35</f>
        <v>0</v>
      </c>
      <c r="ACS208" s="128">
        <f>DATA!ACV35</f>
        <v>0</v>
      </c>
      <c r="ACT208" s="128">
        <f>DATA!ACW35</f>
        <v>0</v>
      </c>
      <c r="ACU208" s="128">
        <f>DATA!ACX35</f>
        <v>0</v>
      </c>
      <c r="ACV208" s="128">
        <f>DATA!ACY35</f>
        <v>0</v>
      </c>
      <c r="ACW208" s="128">
        <f>DATA!ACZ35</f>
        <v>0</v>
      </c>
      <c r="ACX208" s="128">
        <f>DATA!ADA35</f>
        <v>0</v>
      </c>
      <c r="ACY208" s="128">
        <f>DATA!ADB35</f>
        <v>0</v>
      </c>
      <c r="ACZ208" s="128">
        <f>DATA!ADC35</f>
        <v>0</v>
      </c>
      <c r="ADA208" s="128">
        <f>DATA!ADD35</f>
        <v>0</v>
      </c>
      <c r="ADB208" s="128">
        <f>DATA!ADE35</f>
        <v>0</v>
      </c>
      <c r="ADC208" s="128">
        <f>DATA!ADF35</f>
        <v>0</v>
      </c>
      <c r="ADD208" s="128">
        <f>DATA!ADG35</f>
        <v>0</v>
      </c>
      <c r="ADE208" s="128">
        <f>DATA!ADH35</f>
        <v>0</v>
      </c>
      <c r="ADF208" s="128">
        <f>DATA!ADI35</f>
        <v>0</v>
      </c>
      <c r="ADG208" s="128">
        <f>DATA!ADJ35</f>
        <v>0</v>
      </c>
      <c r="ADH208" s="128">
        <f>DATA!ADK35</f>
        <v>0</v>
      </c>
      <c r="ADI208" s="128">
        <f>DATA!ADL35</f>
        <v>0</v>
      </c>
      <c r="ADJ208" s="128">
        <f>DATA!ADM35</f>
        <v>0</v>
      </c>
      <c r="ADK208" s="128">
        <f>DATA!ADN35</f>
        <v>0</v>
      </c>
      <c r="ADL208" s="128">
        <f>DATA!ADO35</f>
        <v>0</v>
      </c>
      <c r="ADM208" s="128">
        <f>DATA!ADP35</f>
        <v>0</v>
      </c>
      <c r="ADN208" s="128">
        <f>DATA!ADQ35</f>
        <v>0</v>
      </c>
      <c r="ADO208" s="128">
        <f>DATA!ADR35</f>
        <v>0</v>
      </c>
      <c r="ADP208" s="128">
        <f>DATA!ADS35</f>
        <v>0</v>
      </c>
      <c r="ADQ208" s="128">
        <f>DATA!ADT35</f>
        <v>0</v>
      </c>
      <c r="ADR208" s="128">
        <f>DATA!ADU35</f>
        <v>0</v>
      </c>
      <c r="ADS208" s="128">
        <f>DATA!ADV35</f>
        <v>0</v>
      </c>
      <c r="ADT208" s="128">
        <f>DATA!ADW35</f>
        <v>0</v>
      </c>
      <c r="ADU208" s="128">
        <f>DATA!ADX35</f>
        <v>0</v>
      </c>
      <c r="ADV208" s="128">
        <f>DATA!ADY35</f>
        <v>0</v>
      </c>
      <c r="ADW208" s="128">
        <f>DATA!ADZ35</f>
        <v>0</v>
      </c>
      <c r="ADX208" s="128">
        <f>DATA!AEA35</f>
        <v>0</v>
      </c>
      <c r="ADY208" s="128">
        <f>DATA!AEB35</f>
        <v>0</v>
      </c>
      <c r="ADZ208" s="128">
        <f>DATA!AEC35</f>
        <v>0</v>
      </c>
      <c r="AEA208" s="128">
        <f>DATA!AED35</f>
        <v>0</v>
      </c>
      <c r="AEB208" s="128">
        <f>DATA!AEE35</f>
        <v>0</v>
      </c>
      <c r="AEC208" s="128">
        <f>DATA!AEF35</f>
        <v>0</v>
      </c>
      <c r="AED208" s="128">
        <f>DATA!AEG35</f>
        <v>0</v>
      </c>
      <c r="AEE208" s="128">
        <f>DATA!AEH35</f>
        <v>0</v>
      </c>
      <c r="AEF208" s="128">
        <f>DATA!AEI35</f>
        <v>0</v>
      </c>
      <c r="AEG208" s="128">
        <f>DATA!AEJ35</f>
        <v>0</v>
      </c>
      <c r="AEH208" s="128">
        <f>DATA!AEK35</f>
        <v>0</v>
      </c>
      <c r="AEI208" s="128">
        <f>DATA!AEL35</f>
        <v>0</v>
      </c>
      <c r="AEJ208" s="128">
        <f>DATA!AEM35</f>
        <v>0</v>
      </c>
      <c r="AEK208" s="128">
        <f>DATA!AEN35</f>
        <v>0</v>
      </c>
      <c r="AEL208" s="128">
        <f>DATA!AEO35</f>
        <v>0</v>
      </c>
      <c r="AEM208" s="128">
        <f>DATA!AEP35</f>
        <v>0</v>
      </c>
      <c r="AEN208" s="128">
        <f>DATA!AEQ35</f>
        <v>0</v>
      </c>
      <c r="AEO208" s="128">
        <f>DATA!AER35</f>
        <v>0</v>
      </c>
      <c r="AEP208" s="128">
        <f>DATA!AES35</f>
        <v>0</v>
      </c>
      <c r="AEQ208" s="128">
        <f>DATA!AET35</f>
        <v>0</v>
      </c>
      <c r="AER208" s="128">
        <f>DATA!AEU35</f>
        <v>0</v>
      </c>
      <c r="AES208" s="128">
        <f>DATA!AEV35</f>
        <v>0</v>
      </c>
      <c r="AET208" s="128">
        <f>DATA!AEW35</f>
        <v>0</v>
      </c>
      <c r="AEU208" s="128">
        <f>DATA!AEX35</f>
        <v>0</v>
      </c>
      <c r="AEV208" s="128">
        <f>DATA!AEY35</f>
        <v>0</v>
      </c>
      <c r="AEW208" s="128">
        <f>DATA!AEZ35</f>
        <v>0</v>
      </c>
      <c r="AEX208" s="128">
        <f>DATA!AFA35</f>
        <v>0</v>
      </c>
      <c r="AEY208" s="128">
        <f>DATA!AFB35</f>
        <v>0</v>
      </c>
      <c r="AEZ208" s="128">
        <f>DATA!AFC35</f>
        <v>0</v>
      </c>
      <c r="AFA208" s="128">
        <f>DATA!AFD35</f>
        <v>0</v>
      </c>
      <c r="AFB208" s="128">
        <f>DATA!AFE35</f>
        <v>0</v>
      </c>
      <c r="AFC208" s="128">
        <f>DATA!AFF35</f>
        <v>0</v>
      </c>
      <c r="AFD208" s="128">
        <f>DATA!AFG35</f>
        <v>0</v>
      </c>
      <c r="AFE208" s="128">
        <f>DATA!AFH35</f>
        <v>0</v>
      </c>
      <c r="AFF208" s="128">
        <f>DATA!AFI35</f>
        <v>0</v>
      </c>
      <c r="AFG208" s="128">
        <f>DATA!AFJ35</f>
        <v>0</v>
      </c>
      <c r="AFH208" s="128">
        <f>DATA!AFK35</f>
        <v>0</v>
      </c>
      <c r="AFI208" s="128">
        <f>DATA!AFL35</f>
        <v>0</v>
      </c>
      <c r="AFJ208" s="128">
        <f>DATA!AFM35</f>
        <v>0</v>
      </c>
      <c r="AFK208" s="128">
        <f>DATA!AFN35</f>
        <v>0</v>
      </c>
      <c r="AFL208" s="128">
        <f>DATA!AFO35</f>
        <v>0</v>
      </c>
      <c r="AFM208" s="128">
        <f>DATA!AFP35</f>
        <v>0</v>
      </c>
      <c r="AFN208" s="128">
        <f>DATA!AFQ35</f>
        <v>0</v>
      </c>
      <c r="AFO208" s="128">
        <f>DATA!AFR35</f>
        <v>0</v>
      </c>
      <c r="AFP208" s="128">
        <f>DATA!AFS35</f>
        <v>0</v>
      </c>
      <c r="AFQ208" s="128">
        <f>DATA!AFT35</f>
        <v>0</v>
      </c>
      <c r="AFR208" s="128">
        <f>DATA!AFU35</f>
        <v>0</v>
      </c>
      <c r="AFS208" s="128">
        <f>DATA!AFV35</f>
        <v>0</v>
      </c>
      <c r="AFT208" s="128">
        <f>DATA!AFW35</f>
        <v>0</v>
      </c>
      <c r="AFU208" s="128">
        <f>DATA!AFX35</f>
        <v>0</v>
      </c>
      <c r="AFV208" s="128">
        <f>DATA!AFY35</f>
        <v>0</v>
      </c>
      <c r="AFW208" s="128">
        <f>DATA!AFZ35</f>
        <v>0</v>
      </c>
      <c r="AFX208" s="128">
        <f>DATA!AGA35</f>
        <v>0</v>
      </c>
      <c r="AFY208" s="128">
        <f>DATA!AGB35</f>
        <v>0</v>
      </c>
      <c r="AFZ208" s="128">
        <f>DATA!AGC35</f>
        <v>0</v>
      </c>
      <c r="AGA208" s="128">
        <f>DATA!AGD35</f>
        <v>0</v>
      </c>
      <c r="AGB208" s="128">
        <f>DATA!AGE35</f>
        <v>0</v>
      </c>
      <c r="AGC208" s="128">
        <f>DATA!AGF35</f>
        <v>0</v>
      </c>
      <c r="AGD208" s="128">
        <f>DATA!AGG35</f>
        <v>0</v>
      </c>
      <c r="AGE208" s="128">
        <f>DATA!AGH35</f>
        <v>0</v>
      </c>
      <c r="AGF208" s="128">
        <f>DATA!AGI35</f>
        <v>0</v>
      </c>
      <c r="AGG208" s="128">
        <f>DATA!AGJ35</f>
        <v>0</v>
      </c>
      <c r="AGH208" s="128">
        <f>DATA!AGK35</f>
        <v>0</v>
      </c>
      <c r="AGI208" s="128">
        <f>DATA!AGL35</f>
        <v>0</v>
      </c>
      <c r="AGJ208" s="128">
        <f>DATA!AGM35</f>
        <v>0</v>
      </c>
      <c r="AGK208" s="128">
        <f>DATA!AGN35</f>
        <v>0</v>
      </c>
      <c r="AGL208" s="128">
        <f>DATA!AGO35</f>
        <v>0</v>
      </c>
      <c r="AGM208" s="128">
        <f>DATA!AGP35</f>
        <v>0</v>
      </c>
      <c r="AGN208" s="128">
        <f>DATA!AGQ35</f>
        <v>0</v>
      </c>
      <c r="AGO208" s="128">
        <f>DATA!AGR35</f>
        <v>0</v>
      </c>
      <c r="AGP208" s="128">
        <f>DATA!AGS35</f>
        <v>0</v>
      </c>
      <c r="AGQ208" s="128">
        <f>DATA!AGT35</f>
        <v>0</v>
      </c>
      <c r="AGR208" s="128">
        <f>DATA!AGU35</f>
        <v>0</v>
      </c>
      <c r="AGS208" s="128">
        <f>DATA!AGV35</f>
        <v>0</v>
      </c>
      <c r="AGT208" s="128">
        <f>DATA!AGW35</f>
        <v>0</v>
      </c>
      <c r="AGU208" s="128">
        <f>DATA!AGX35</f>
        <v>0</v>
      </c>
      <c r="AGV208" s="128">
        <f>DATA!AGY35</f>
        <v>0</v>
      </c>
      <c r="AGW208" s="128">
        <f>DATA!AGZ35</f>
        <v>0</v>
      </c>
      <c r="AGX208" s="128">
        <f>DATA!AHA35</f>
        <v>0</v>
      </c>
      <c r="AGY208" s="128">
        <f>DATA!AHB35</f>
        <v>0</v>
      </c>
      <c r="AGZ208" s="128">
        <f>DATA!AHC35</f>
        <v>0</v>
      </c>
      <c r="AHA208" s="128">
        <f>DATA!AHD35</f>
        <v>0</v>
      </c>
      <c r="AHB208" s="128">
        <f>DATA!AHE35</f>
        <v>0</v>
      </c>
      <c r="AHC208" s="128">
        <f>DATA!AHF35</f>
        <v>0</v>
      </c>
      <c r="AHD208" s="128">
        <f>DATA!AHG35</f>
        <v>0</v>
      </c>
      <c r="AHE208" s="128">
        <f>DATA!AHH35</f>
        <v>0</v>
      </c>
      <c r="AHF208" s="128">
        <f>DATA!AHI35</f>
        <v>0</v>
      </c>
      <c r="AHG208" s="128">
        <f>DATA!AHJ35</f>
        <v>0</v>
      </c>
      <c r="AHH208" s="128">
        <f>DATA!AHK35</f>
        <v>0</v>
      </c>
      <c r="AHI208" s="128">
        <f>DATA!AHL35</f>
        <v>0</v>
      </c>
      <c r="AHJ208" s="128">
        <f>DATA!AHM35</f>
        <v>0</v>
      </c>
      <c r="AHK208" s="128">
        <f>DATA!AHN35</f>
        <v>0</v>
      </c>
      <c r="AHL208" s="128">
        <f>DATA!AHO35</f>
        <v>0</v>
      </c>
      <c r="AHM208" s="128">
        <f>DATA!AHP35</f>
        <v>0</v>
      </c>
      <c r="AHN208" s="128">
        <f>DATA!AHQ35</f>
        <v>0</v>
      </c>
      <c r="AHO208" s="128">
        <f>DATA!AHR35</f>
        <v>0</v>
      </c>
      <c r="AHP208" s="128">
        <f>DATA!AHS35</f>
        <v>0</v>
      </c>
      <c r="AHQ208" s="128">
        <f>DATA!AHT35</f>
        <v>0</v>
      </c>
      <c r="AHR208" s="128">
        <f>DATA!AHU35</f>
        <v>0</v>
      </c>
      <c r="AHS208" s="128">
        <f>DATA!AHV35</f>
        <v>0</v>
      </c>
      <c r="AHT208" s="128">
        <f>DATA!AHW35</f>
        <v>0</v>
      </c>
      <c r="AHU208" s="128">
        <f>DATA!AHX35</f>
        <v>0</v>
      </c>
      <c r="AHV208" s="128">
        <f>DATA!AHY35</f>
        <v>0</v>
      </c>
      <c r="AHW208" s="128">
        <f>DATA!AHZ35</f>
        <v>0</v>
      </c>
      <c r="AHX208" s="128">
        <f>DATA!AIA35</f>
        <v>0</v>
      </c>
      <c r="AHY208" s="128">
        <f>DATA!AIB35</f>
        <v>0</v>
      </c>
      <c r="AHZ208" s="128">
        <f>DATA!AIC35</f>
        <v>0</v>
      </c>
      <c r="AIA208" s="128">
        <f>DATA!AID35</f>
        <v>0</v>
      </c>
      <c r="AIB208" s="128">
        <f>DATA!AIE35</f>
        <v>0</v>
      </c>
      <c r="AIC208" s="128">
        <f>DATA!AIF35</f>
        <v>0</v>
      </c>
      <c r="AID208" s="128">
        <f>DATA!AIG35</f>
        <v>0</v>
      </c>
      <c r="AIE208" s="128">
        <f>DATA!AIH35</f>
        <v>0</v>
      </c>
      <c r="AIF208" s="128">
        <f>DATA!AII35</f>
        <v>0</v>
      </c>
      <c r="AIG208" s="128">
        <f>DATA!AIJ35</f>
        <v>0</v>
      </c>
      <c r="AIH208" s="128">
        <f>DATA!AIK35</f>
        <v>0</v>
      </c>
      <c r="AII208" s="128">
        <f>DATA!AIL35</f>
        <v>0</v>
      </c>
      <c r="AIJ208" s="128">
        <f>DATA!AIM35</f>
        <v>0</v>
      </c>
      <c r="AIK208" s="128">
        <f>DATA!AIN35</f>
        <v>0</v>
      </c>
      <c r="AIL208" s="128">
        <f>DATA!AIO35</f>
        <v>0</v>
      </c>
      <c r="AIM208" s="128">
        <f>DATA!AIP35</f>
        <v>0</v>
      </c>
      <c r="AIN208" s="128">
        <f>DATA!AIQ35</f>
        <v>0</v>
      </c>
      <c r="AIO208" s="128">
        <f>DATA!AIR35</f>
        <v>0</v>
      </c>
      <c r="AIP208" s="128">
        <f>DATA!AIS35</f>
        <v>0</v>
      </c>
      <c r="AIQ208" s="128">
        <f>DATA!AIT35</f>
        <v>0</v>
      </c>
      <c r="AIR208" s="128">
        <f>DATA!AIU35</f>
        <v>0</v>
      </c>
      <c r="AIS208" s="128">
        <f>DATA!AIV35</f>
        <v>0</v>
      </c>
      <c r="AIT208" s="128">
        <f>DATA!AIW35</f>
        <v>0</v>
      </c>
      <c r="AIU208" s="128">
        <f>DATA!AIX35</f>
        <v>0</v>
      </c>
      <c r="AIV208" s="128">
        <f>DATA!AIY35</f>
        <v>0</v>
      </c>
      <c r="AIW208" s="128">
        <f>DATA!AIZ35</f>
        <v>0</v>
      </c>
      <c r="AIX208" s="128">
        <f>DATA!AJA35</f>
        <v>0</v>
      </c>
      <c r="AIY208" s="128">
        <f>DATA!AJB35</f>
        <v>0</v>
      </c>
      <c r="AIZ208" s="128">
        <f>DATA!AJC35</f>
        <v>0</v>
      </c>
      <c r="AJA208" s="128">
        <f>DATA!AJD35</f>
        <v>0</v>
      </c>
      <c r="AJB208" s="128">
        <f>DATA!AJE35</f>
        <v>0</v>
      </c>
      <c r="AJC208" s="128">
        <f>DATA!AJF35</f>
        <v>0</v>
      </c>
      <c r="AJD208" s="128">
        <f>DATA!AJG35</f>
        <v>0</v>
      </c>
      <c r="AJE208" s="128">
        <f>DATA!AJH35</f>
        <v>0</v>
      </c>
      <c r="AJF208" s="128">
        <f>DATA!AJI35</f>
        <v>0</v>
      </c>
      <c r="AJG208" s="128">
        <f>DATA!AJJ35</f>
        <v>0</v>
      </c>
      <c r="AJH208" s="128">
        <f>DATA!AJK35</f>
        <v>0</v>
      </c>
      <c r="AJI208" s="128">
        <f>DATA!AJL35</f>
        <v>0</v>
      </c>
      <c r="AJJ208" s="128">
        <f>DATA!AJM35</f>
        <v>0</v>
      </c>
      <c r="AJK208" s="128">
        <f>DATA!AJN35</f>
        <v>0</v>
      </c>
      <c r="AJL208" s="128">
        <f>DATA!AJO35</f>
        <v>0</v>
      </c>
      <c r="AJM208" s="128">
        <f>DATA!AJP35</f>
        <v>0</v>
      </c>
      <c r="AJN208" s="128">
        <f>DATA!AJQ35</f>
        <v>0</v>
      </c>
      <c r="AJO208" s="128">
        <f>DATA!AJR35</f>
        <v>0</v>
      </c>
      <c r="AJP208" s="128">
        <f>DATA!AJS35</f>
        <v>0</v>
      </c>
      <c r="AJQ208" s="128">
        <f>DATA!AJT35</f>
        <v>0</v>
      </c>
      <c r="AJR208" s="128">
        <f>DATA!AJU35</f>
        <v>0</v>
      </c>
      <c r="AJS208" s="128">
        <f>DATA!AJV35</f>
        <v>0</v>
      </c>
      <c r="AJT208" s="128">
        <f>DATA!AJW35</f>
        <v>0</v>
      </c>
      <c r="AJU208" s="128">
        <f>DATA!AJX35</f>
        <v>0</v>
      </c>
      <c r="AJV208" s="128">
        <f>DATA!AJY35</f>
        <v>0</v>
      </c>
      <c r="AJW208" s="128">
        <f>DATA!AJZ35</f>
        <v>0</v>
      </c>
      <c r="AJX208" s="128">
        <f>DATA!AKA35</f>
        <v>0</v>
      </c>
      <c r="AJY208" s="128">
        <f>DATA!AKB35</f>
        <v>0</v>
      </c>
      <c r="AJZ208" s="128">
        <f>DATA!AKC35</f>
        <v>0</v>
      </c>
      <c r="AKA208" s="128">
        <f>DATA!AKD35</f>
        <v>0</v>
      </c>
      <c r="AKB208" s="128">
        <f>DATA!AKE35</f>
        <v>0</v>
      </c>
      <c r="AKC208" s="128">
        <f>DATA!AKF35</f>
        <v>0</v>
      </c>
      <c r="AKD208" s="128">
        <f>DATA!AKG35</f>
        <v>0</v>
      </c>
      <c r="AKE208" s="128">
        <f>DATA!AKH35</f>
        <v>0</v>
      </c>
      <c r="AKF208" s="128">
        <f>DATA!AKI35</f>
        <v>0</v>
      </c>
      <c r="AKG208" s="128">
        <f>DATA!AKJ35</f>
        <v>0</v>
      </c>
      <c r="AKH208" s="128">
        <f>DATA!AKK35</f>
        <v>0</v>
      </c>
      <c r="AKI208" s="128">
        <f>DATA!AKL35</f>
        <v>0</v>
      </c>
      <c r="AKJ208" s="128">
        <f>DATA!AKM35</f>
        <v>0</v>
      </c>
      <c r="AKK208" s="128">
        <f>DATA!AKN35</f>
        <v>0</v>
      </c>
      <c r="AKL208" s="128">
        <f>DATA!AKO35</f>
        <v>0</v>
      </c>
      <c r="AKM208" s="128">
        <f>DATA!AKP35</f>
        <v>0</v>
      </c>
      <c r="AKN208" s="128">
        <f>DATA!AKQ35</f>
        <v>0</v>
      </c>
      <c r="AKO208" s="128">
        <f>DATA!AKR35</f>
        <v>0</v>
      </c>
      <c r="AKP208" s="128">
        <f>DATA!AKS35</f>
        <v>0</v>
      </c>
      <c r="AKQ208" s="128">
        <f>DATA!AKT35</f>
        <v>0</v>
      </c>
      <c r="AKR208" s="128">
        <f>DATA!AKU35</f>
        <v>0</v>
      </c>
      <c r="AKS208" s="128">
        <f>DATA!AKV35</f>
        <v>0</v>
      </c>
      <c r="AKT208" s="128">
        <f>DATA!AKW35</f>
        <v>0</v>
      </c>
      <c r="AKU208" s="128">
        <f>DATA!AKX35</f>
        <v>0</v>
      </c>
      <c r="AKV208" s="128">
        <f>DATA!AKY35</f>
        <v>0</v>
      </c>
      <c r="AKW208" s="128">
        <f>DATA!AKZ35</f>
        <v>0</v>
      </c>
      <c r="AKX208" s="128">
        <f>DATA!ALA35</f>
        <v>0</v>
      </c>
      <c r="AKY208" s="128">
        <f>DATA!ALB35</f>
        <v>0</v>
      </c>
      <c r="AKZ208" s="128">
        <f>DATA!ALC35</f>
        <v>0</v>
      </c>
      <c r="ALA208" s="128">
        <f>DATA!ALD35</f>
        <v>0</v>
      </c>
      <c r="ALB208" s="128">
        <f>DATA!ALE35</f>
        <v>0</v>
      </c>
      <c r="ALC208" s="128">
        <f>DATA!ALF35</f>
        <v>0</v>
      </c>
      <c r="ALD208" s="128">
        <f>DATA!ALG35</f>
        <v>0</v>
      </c>
      <c r="ALE208" s="128">
        <f>DATA!ALH35</f>
        <v>0</v>
      </c>
      <c r="ALF208" s="128">
        <f>DATA!ALI35</f>
        <v>0</v>
      </c>
      <c r="ALG208" s="128">
        <f>DATA!ALJ35</f>
        <v>0</v>
      </c>
      <c r="ALH208" s="128">
        <f>DATA!ALK35</f>
        <v>0</v>
      </c>
      <c r="ALI208" s="128">
        <f>DATA!ALL35</f>
        <v>0</v>
      </c>
      <c r="ALJ208" s="128">
        <f>DATA!ALM35</f>
        <v>0</v>
      </c>
      <c r="ALK208" s="128">
        <f>DATA!ALN35</f>
        <v>0</v>
      </c>
      <c r="ALL208" s="128">
        <f>DATA!ALO35</f>
        <v>0</v>
      </c>
      <c r="ALM208" s="128">
        <f>DATA!ALP35</f>
        <v>0</v>
      </c>
      <c r="ALN208" s="128">
        <f>DATA!ALQ35</f>
        <v>0</v>
      </c>
      <c r="ALO208" s="128">
        <f>DATA!ALR35</f>
        <v>0</v>
      </c>
      <c r="ALP208" s="128">
        <f>DATA!ALS35</f>
        <v>0</v>
      </c>
      <c r="ALQ208" s="128">
        <f>DATA!ALT35</f>
        <v>0</v>
      </c>
      <c r="ALR208" s="128">
        <f>DATA!ALU35</f>
        <v>0</v>
      </c>
      <c r="ALS208" s="128">
        <f>DATA!ALV35</f>
        <v>0</v>
      </c>
      <c r="ALT208" s="128">
        <f>DATA!ALW35</f>
        <v>0</v>
      </c>
      <c r="ALU208" s="128">
        <f>DATA!ALX35</f>
        <v>0</v>
      </c>
      <c r="ALV208" s="128">
        <f>DATA!ALY35</f>
        <v>0</v>
      </c>
      <c r="ALW208" s="128">
        <f>DATA!ALZ35</f>
        <v>0</v>
      </c>
      <c r="ALX208" s="128">
        <f>DATA!AMA35</f>
        <v>0</v>
      </c>
      <c r="ALY208" s="128">
        <f>DATA!AMB35</f>
        <v>0</v>
      </c>
      <c r="ALZ208" s="128">
        <f>DATA!AMC35</f>
        <v>0</v>
      </c>
      <c r="AMA208" s="128">
        <f>DATA!AMD35</f>
        <v>0</v>
      </c>
      <c r="AMB208" s="128">
        <f>DATA!AME35</f>
        <v>0</v>
      </c>
      <c r="AMC208" s="128">
        <f>DATA!AMF35</f>
        <v>0</v>
      </c>
      <c r="AMD208" s="128">
        <f>DATA!AMG35</f>
        <v>0</v>
      </c>
      <c r="AME208" s="128">
        <f>DATA!AMH35</f>
        <v>0</v>
      </c>
      <c r="AMF208" s="128">
        <f>DATA!AMI35</f>
        <v>0</v>
      </c>
      <c r="AMG208" s="128">
        <f>DATA!AMJ35</f>
        <v>0</v>
      </c>
      <c r="AMH208" s="128">
        <f>DATA!AMK35</f>
        <v>0</v>
      </c>
      <c r="AMI208" s="128">
        <f>DATA!AML35</f>
        <v>0</v>
      </c>
      <c r="AMJ208" s="128">
        <f>DATA!AMM35</f>
        <v>0</v>
      </c>
      <c r="AMK208" s="128">
        <f>DATA!AMN35</f>
        <v>0</v>
      </c>
      <c r="AML208" s="128">
        <f>DATA!AMO35</f>
        <v>0</v>
      </c>
      <c r="AMM208" s="128">
        <f>DATA!AMP35</f>
        <v>0</v>
      </c>
      <c r="AMN208" s="128">
        <f>DATA!AMQ35</f>
        <v>0</v>
      </c>
      <c r="AMO208" s="128">
        <f>DATA!AMR35</f>
        <v>0</v>
      </c>
      <c r="AMP208" s="128">
        <f>DATA!AMS35</f>
        <v>0</v>
      </c>
      <c r="AMQ208" s="128">
        <f>DATA!AMT35</f>
        <v>0</v>
      </c>
      <c r="AMR208" s="128">
        <f>DATA!AMU35</f>
        <v>0</v>
      </c>
      <c r="AMS208" s="128">
        <f>DATA!AMV35</f>
        <v>0</v>
      </c>
      <c r="AMT208" s="128">
        <f>DATA!AMW35</f>
        <v>0</v>
      </c>
      <c r="AMU208" s="128">
        <f>DATA!AMX35</f>
        <v>0</v>
      </c>
      <c r="AMV208" s="128">
        <f>DATA!AMY35</f>
        <v>0</v>
      </c>
      <c r="AMW208" s="128">
        <f>DATA!AMZ35</f>
        <v>0</v>
      </c>
      <c r="AMX208" s="128">
        <f>DATA!ANA35</f>
        <v>0</v>
      </c>
      <c r="AMY208" s="128">
        <f>DATA!ANB35</f>
        <v>0</v>
      </c>
      <c r="AMZ208" s="128">
        <f>DATA!ANC35</f>
        <v>0</v>
      </c>
      <c r="ANA208" s="128">
        <f>DATA!AND35</f>
        <v>0</v>
      </c>
      <c r="ANB208" s="128">
        <f>DATA!ANE35</f>
        <v>0</v>
      </c>
      <c r="ANC208" s="128">
        <f>DATA!ANF35</f>
        <v>0</v>
      </c>
      <c r="AND208" s="128">
        <f>DATA!ANG35</f>
        <v>0</v>
      </c>
      <c r="ANE208" s="128">
        <f>DATA!ANH35</f>
        <v>0</v>
      </c>
      <c r="ANF208" s="128">
        <f>DATA!ANI35</f>
        <v>0</v>
      </c>
      <c r="ANG208" s="128">
        <f>DATA!ANJ35</f>
        <v>0</v>
      </c>
      <c r="ANH208" s="128">
        <f>DATA!ANK35</f>
        <v>0</v>
      </c>
      <c r="ANI208" s="128">
        <f>DATA!ANL35</f>
        <v>0</v>
      </c>
      <c r="ANJ208" s="128">
        <f>DATA!ANM35</f>
        <v>0</v>
      </c>
      <c r="ANK208" s="128">
        <f>DATA!ANN35</f>
        <v>0</v>
      </c>
      <c r="ANL208" s="128">
        <f>DATA!ANO35</f>
        <v>0</v>
      </c>
      <c r="ANM208" s="128">
        <f>DATA!ANP35</f>
        <v>0</v>
      </c>
      <c r="ANN208" s="128">
        <f>DATA!ANQ35</f>
        <v>0</v>
      </c>
      <c r="ANO208" s="128">
        <f>DATA!ANR35</f>
        <v>0</v>
      </c>
      <c r="ANP208" s="128">
        <f>DATA!ANS35</f>
        <v>0</v>
      </c>
      <c r="ANQ208" s="128">
        <f>DATA!ANT35</f>
        <v>0</v>
      </c>
      <c r="ANR208" s="128">
        <f>DATA!ANU35</f>
        <v>0</v>
      </c>
      <c r="ANS208" s="128">
        <f>DATA!ANV35</f>
        <v>0</v>
      </c>
      <c r="ANT208" s="128">
        <f>DATA!ANW35</f>
        <v>0</v>
      </c>
      <c r="ANU208" s="128">
        <f>DATA!ANX35</f>
        <v>0</v>
      </c>
      <c r="ANV208" s="128">
        <f>DATA!ANY35</f>
        <v>0</v>
      </c>
      <c r="ANW208" s="128">
        <f>DATA!ANZ35</f>
        <v>0</v>
      </c>
      <c r="ANX208" s="128">
        <f>DATA!AOA35</f>
        <v>0</v>
      </c>
      <c r="ANY208" s="128">
        <f>DATA!AOB35</f>
        <v>0</v>
      </c>
      <c r="ANZ208" s="128">
        <f>DATA!AOC35</f>
        <v>0</v>
      </c>
      <c r="AOA208" s="128">
        <f>DATA!AOD35</f>
        <v>0</v>
      </c>
      <c r="AOB208" s="128">
        <f>DATA!AOE35</f>
        <v>0</v>
      </c>
      <c r="AOC208" s="128">
        <f>DATA!AOF35</f>
        <v>0</v>
      </c>
      <c r="AOD208" s="128">
        <f>DATA!AOG35</f>
        <v>0</v>
      </c>
      <c r="AOE208" s="128">
        <f>DATA!AOH35</f>
        <v>0</v>
      </c>
      <c r="AOF208" s="128">
        <f>DATA!AOI35</f>
        <v>0</v>
      </c>
      <c r="AOG208" s="128">
        <f>DATA!AOJ35</f>
        <v>0</v>
      </c>
      <c r="AOH208" s="128">
        <f>DATA!AOK35</f>
        <v>0</v>
      </c>
      <c r="AOI208" s="128">
        <f>DATA!AOL35</f>
        <v>0</v>
      </c>
      <c r="AOJ208" s="128">
        <f>DATA!AOM35</f>
        <v>0</v>
      </c>
      <c r="AOK208" s="128">
        <f>DATA!AON35</f>
        <v>0</v>
      </c>
      <c r="AOL208" s="128">
        <f>DATA!AOO35</f>
        <v>0</v>
      </c>
      <c r="AOM208" s="128">
        <f>DATA!AOP35</f>
        <v>0</v>
      </c>
      <c r="AON208" s="128">
        <f>DATA!AOQ35</f>
        <v>0</v>
      </c>
      <c r="AOO208" s="128">
        <f>DATA!AOR35</f>
        <v>0</v>
      </c>
      <c r="AOP208" s="128">
        <f>DATA!AOS35</f>
        <v>0</v>
      </c>
      <c r="AOQ208" s="128">
        <f>DATA!AOT35</f>
        <v>0</v>
      </c>
      <c r="AOR208" s="128">
        <f>DATA!AOU35</f>
        <v>0</v>
      </c>
      <c r="AOS208" s="128">
        <f>DATA!AOV35</f>
        <v>0</v>
      </c>
      <c r="AOT208" s="128">
        <f>DATA!AOW35</f>
        <v>0</v>
      </c>
      <c r="AOU208" s="128">
        <f>DATA!AOX35</f>
        <v>0</v>
      </c>
      <c r="AOV208" s="128">
        <f>DATA!AOY35</f>
        <v>0</v>
      </c>
      <c r="AOW208" s="128">
        <f>DATA!AOZ35</f>
        <v>0</v>
      </c>
      <c r="AOX208" s="128">
        <f>DATA!APA35</f>
        <v>0</v>
      </c>
      <c r="AOY208" s="128">
        <f>DATA!APB35</f>
        <v>0</v>
      </c>
      <c r="AOZ208" s="128">
        <f>DATA!APC35</f>
        <v>0</v>
      </c>
      <c r="APA208" s="128">
        <f>DATA!APD35</f>
        <v>0</v>
      </c>
      <c r="APB208" s="128">
        <f>DATA!APE35</f>
        <v>0</v>
      </c>
      <c r="APC208" s="128">
        <f>DATA!APF35</f>
        <v>0</v>
      </c>
      <c r="APD208" s="128">
        <f>DATA!APG35</f>
        <v>0</v>
      </c>
      <c r="APE208" s="128">
        <f>DATA!APH35</f>
        <v>0</v>
      </c>
      <c r="APF208" s="128">
        <f>DATA!API35</f>
        <v>0</v>
      </c>
      <c r="APG208" s="128">
        <f>DATA!APJ35</f>
        <v>0</v>
      </c>
      <c r="APH208" s="128">
        <f>DATA!APK35</f>
        <v>0</v>
      </c>
      <c r="API208" s="128">
        <f>DATA!APL35</f>
        <v>0</v>
      </c>
      <c r="APJ208" s="128">
        <f>DATA!APM35</f>
        <v>0</v>
      </c>
      <c r="APK208" s="128">
        <f>DATA!APN35</f>
        <v>0</v>
      </c>
      <c r="APL208" s="128">
        <f>DATA!APO35</f>
        <v>0</v>
      </c>
      <c r="APM208" s="128">
        <f>DATA!APP35</f>
        <v>0</v>
      </c>
      <c r="APN208" s="128">
        <f>DATA!APQ35</f>
        <v>0</v>
      </c>
      <c r="APO208" s="128">
        <f>DATA!APR35</f>
        <v>0</v>
      </c>
      <c r="APP208" s="128">
        <f>DATA!APS35</f>
        <v>0</v>
      </c>
      <c r="APQ208" s="128">
        <f>DATA!APT35</f>
        <v>0</v>
      </c>
      <c r="APR208" s="128">
        <f>DATA!APU35</f>
        <v>0</v>
      </c>
      <c r="APS208" s="128">
        <f>DATA!APV35</f>
        <v>0</v>
      </c>
      <c r="APT208" s="128">
        <f>DATA!APW35</f>
        <v>0</v>
      </c>
      <c r="APU208" s="128">
        <f>DATA!APX35</f>
        <v>0</v>
      </c>
      <c r="APV208" s="128">
        <f>DATA!APY35</f>
        <v>0</v>
      </c>
      <c r="APW208" s="128">
        <f>DATA!APZ35</f>
        <v>0</v>
      </c>
      <c r="APX208" s="128">
        <f>DATA!AQA35</f>
        <v>0</v>
      </c>
      <c r="APY208" s="128">
        <f>DATA!AQB35</f>
        <v>0</v>
      </c>
      <c r="APZ208" s="128">
        <f>DATA!AQC35</f>
        <v>0</v>
      </c>
      <c r="AQA208" s="128">
        <f>DATA!AQD35</f>
        <v>0</v>
      </c>
      <c r="AQB208" s="128">
        <f>DATA!AQE35</f>
        <v>0</v>
      </c>
      <c r="AQC208" s="128">
        <f>DATA!AQF35</f>
        <v>0</v>
      </c>
      <c r="AQD208" s="128">
        <f>DATA!AQG35</f>
        <v>0</v>
      </c>
      <c r="AQE208" s="128">
        <f>DATA!AQH35</f>
        <v>0</v>
      </c>
      <c r="AQF208" s="128">
        <f>DATA!AQI35</f>
        <v>0</v>
      </c>
      <c r="AQG208" s="128">
        <f>DATA!AQJ35</f>
        <v>0</v>
      </c>
      <c r="AQH208" s="128">
        <f>DATA!AQK35</f>
        <v>0</v>
      </c>
      <c r="AQI208" s="128">
        <f>DATA!AQL35</f>
        <v>0</v>
      </c>
      <c r="AQJ208" s="128">
        <f>DATA!AQM35</f>
        <v>0</v>
      </c>
      <c r="AQK208" s="128">
        <f>DATA!AQN35</f>
        <v>0</v>
      </c>
      <c r="AQL208" s="128">
        <f>DATA!AQO35</f>
        <v>0</v>
      </c>
      <c r="AQM208" s="128">
        <f>DATA!AQP35</f>
        <v>0</v>
      </c>
      <c r="AQN208" s="128">
        <f>DATA!AQQ35</f>
        <v>0</v>
      </c>
      <c r="AQO208" s="128">
        <f>DATA!AQR35</f>
        <v>0</v>
      </c>
      <c r="AQP208" s="128">
        <f>DATA!AQS35</f>
        <v>0</v>
      </c>
      <c r="AQQ208" s="128">
        <f>DATA!AQT35</f>
        <v>0</v>
      </c>
      <c r="AQR208" s="128">
        <f>DATA!AQU35</f>
        <v>0</v>
      </c>
      <c r="AQS208" s="128">
        <f>DATA!AQV35</f>
        <v>0</v>
      </c>
      <c r="AQT208" s="128">
        <f>DATA!AQW35</f>
        <v>0</v>
      </c>
      <c r="AQU208" s="128">
        <f>DATA!AQX35</f>
        <v>0</v>
      </c>
      <c r="AQV208" s="128">
        <f>DATA!AQY35</f>
        <v>0</v>
      </c>
      <c r="AQW208" s="128">
        <f>DATA!AQZ35</f>
        <v>0</v>
      </c>
      <c r="AQX208" s="128">
        <f>DATA!ARA35</f>
        <v>0</v>
      </c>
      <c r="AQY208" s="128">
        <f>DATA!ARB35</f>
        <v>0</v>
      </c>
      <c r="AQZ208" s="128">
        <f>DATA!ARC35</f>
        <v>0</v>
      </c>
      <c r="ARA208" s="128">
        <f>DATA!ARD35</f>
        <v>0</v>
      </c>
      <c r="ARB208" s="128">
        <f>DATA!ARE35</f>
        <v>0</v>
      </c>
      <c r="ARC208" s="128">
        <f>DATA!ARF35</f>
        <v>0</v>
      </c>
      <c r="ARD208" s="128">
        <f>DATA!ARG35</f>
        <v>0</v>
      </c>
      <c r="ARE208" s="128">
        <f>DATA!ARH35</f>
        <v>0</v>
      </c>
      <c r="ARF208" s="128">
        <f>DATA!ARI35</f>
        <v>0</v>
      </c>
      <c r="ARG208" s="128">
        <f>DATA!ARJ35</f>
        <v>0</v>
      </c>
      <c r="ARH208" s="128">
        <f>DATA!ARK35</f>
        <v>0</v>
      </c>
      <c r="ARI208" s="128">
        <f>DATA!ARL35</f>
        <v>0</v>
      </c>
      <c r="ARJ208" s="128">
        <f>DATA!ARM35</f>
        <v>0</v>
      </c>
      <c r="ARK208" s="128">
        <f>DATA!ARN35</f>
        <v>0</v>
      </c>
      <c r="ARL208" s="128">
        <f>DATA!ARO35</f>
        <v>0</v>
      </c>
      <c r="ARM208" s="128">
        <f>DATA!ARP35</f>
        <v>0</v>
      </c>
      <c r="ARN208" s="128">
        <f>DATA!ARQ35</f>
        <v>0</v>
      </c>
      <c r="ARO208" s="128">
        <f>DATA!ARR35</f>
        <v>0</v>
      </c>
      <c r="ARP208" s="128">
        <f>DATA!ARS35</f>
        <v>0</v>
      </c>
      <c r="ARQ208" s="128">
        <f>DATA!ART35</f>
        <v>0</v>
      </c>
      <c r="ARR208" s="128">
        <f>DATA!ARU35</f>
        <v>0</v>
      </c>
      <c r="ARS208" s="128">
        <f>DATA!ARV35</f>
        <v>0</v>
      </c>
      <c r="ART208" s="128">
        <f>DATA!ARW35</f>
        <v>0</v>
      </c>
      <c r="ARU208" s="128">
        <f>DATA!ARX35</f>
        <v>0</v>
      </c>
      <c r="ARV208" s="128">
        <f>DATA!ARY35</f>
        <v>0</v>
      </c>
      <c r="ARW208" s="128">
        <f>DATA!ARZ35</f>
        <v>0</v>
      </c>
      <c r="ARX208" s="128">
        <f>DATA!ASA35</f>
        <v>0</v>
      </c>
      <c r="ARY208" s="128">
        <f>DATA!ASB35</f>
        <v>0</v>
      </c>
      <c r="ARZ208" s="128">
        <f>DATA!ASC35</f>
        <v>0</v>
      </c>
      <c r="ASA208" s="128">
        <f>DATA!ASD35</f>
        <v>0</v>
      </c>
      <c r="ASB208" s="128">
        <f>DATA!ASE35</f>
        <v>0</v>
      </c>
      <c r="ASC208" s="128">
        <f>DATA!ASF35</f>
        <v>0</v>
      </c>
      <c r="ASD208" s="128">
        <f>DATA!ASG35</f>
        <v>0</v>
      </c>
      <c r="ASE208" s="128">
        <f>DATA!ASH35</f>
        <v>0</v>
      </c>
      <c r="ASF208" s="128">
        <f>DATA!ASI35</f>
        <v>0</v>
      </c>
      <c r="ASG208" s="128">
        <f>DATA!ASJ35</f>
        <v>0</v>
      </c>
      <c r="ASH208" s="128">
        <f>DATA!ASK35</f>
        <v>0</v>
      </c>
      <c r="ASI208" s="128">
        <f>DATA!ASL35</f>
        <v>0</v>
      </c>
      <c r="ASJ208" s="128">
        <f>DATA!ASM35</f>
        <v>0</v>
      </c>
      <c r="ASK208" s="128">
        <f>DATA!ASN35</f>
        <v>0</v>
      </c>
      <c r="ASL208" s="128">
        <f>DATA!ASO35</f>
        <v>0</v>
      </c>
      <c r="ASM208" s="128">
        <f>DATA!ASP35</f>
        <v>0</v>
      </c>
      <c r="ASN208" s="128">
        <f>DATA!ASQ35</f>
        <v>0</v>
      </c>
      <c r="ASO208" s="128">
        <f>DATA!ASR35</f>
        <v>0</v>
      </c>
      <c r="ASP208" s="128">
        <f>DATA!ASS35</f>
        <v>0</v>
      </c>
      <c r="ASQ208" s="128">
        <f>DATA!AST35</f>
        <v>0</v>
      </c>
      <c r="ASR208" s="128">
        <f>DATA!ASU35</f>
        <v>0</v>
      </c>
      <c r="ASS208" s="128">
        <f>DATA!ASV35</f>
        <v>0</v>
      </c>
      <c r="AST208" s="128">
        <f>DATA!ASW35</f>
        <v>0</v>
      </c>
      <c r="ASU208" s="128">
        <f>DATA!ASX35</f>
        <v>0</v>
      </c>
      <c r="ASV208" s="128">
        <f>DATA!ASY35</f>
        <v>0</v>
      </c>
      <c r="ASW208" s="128">
        <f>DATA!ASZ35</f>
        <v>0</v>
      </c>
      <c r="ASX208" s="128">
        <f>DATA!ATA35</f>
        <v>0</v>
      </c>
      <c r="ASY208" s="128">
        <f>DATA!ATB35</f>
        <v>0</v>
      </c>
      <c r="ASZ208" s="128">
        <f>DATA!ATC35</f>
        <v>0</v>
      </c>
      <c r="ATA208" s="128">
        <f>DATA!ATD35</f>
        <v>0</v>
      </c>
      <c r="ATB208" s="128">
        <f>DATA!ATE35</f>
        <v>0</v>
      </c>
      <c r="ATC208" s="128">
        <f>DATA!ATF35</f>
        <v>0</v>
      </c>
      <c r="ATD208" s="128">
        <f>DATA!ATG35</f>
        <v>0</v>
      </c>
      <c r="ATE208" s="128">
        <f>DATA!ATH35</f>
        <v>0</v>
      </c>
      <c r="ATF208" s="128">
        <f>DATA!ATI35</f>
        <v>0</v>
      </c>
      <c r="ATG208" s="128">
        <f>DATA!ATJ35</f>
        <v>0</v>
      </c>
      <c r="ATH208" s="128">
        <f>DATA!ATK35</f>
        <v>0</v>
      </c>
      <c r="ATI208" s="128">
        <f>DATA!ATL35</f>
        <v>0</v>
      </c>
      <c r="ATJ208" s="128">
        <f>DATA!ATM35</f>
        <v>0</v>
      </c>
      <c r="ATK208" s="128">
        <f>DATA!ATN35</f>
        <v>0</v>
      </c>
      <c r="ATL208" s="128">
        <f>DATA!ATO35</f>
        <v>0</v>
      </c>
      <c r="ATM208" s="128">
        <f>DATA!ATP35</f>
        <v>0</v>
      </c>
      <c r="ATN208" s="128">
        <f>DATA!ATQ35</f>
        <v>0</v>
      </c>
      <c r="ATO208" s="128">
        <f>DATA!ATR35</f>
        <v>0</v>
      </c>
      <c r="ATP208" s="128">
        <f>DATA!ATS35</f>
        <v>0</v>
      </c>
      <c r="ATQ208" s="128">
        <f>DATA!ATT35</f>
        <v>0</v>
      </c>
      <c r="ATR208" s="128">
        <f>DATA!ATU35</f>
        <v>0</v>
      </c>
      <c r="ATS208" s="128">
        <f>DATA!ATV35</f>
        <v>0</v>
      </c>
      <c r="ATT208" s="128">
        <f>DATA!ATW35</f>
        <v>0</v>
      </c>
      <c r="ATU208" s="128">
        <f>DATA!ATX35</f>
        <v>0</v>
      </c>
      <c r="ATV208" s="128">
        <f>DATA!ATY35</f>
        <v>0</v>
      </c>
      <c r="ATW208" s="128">
        <f>DATA!ATZ35</f>
        <v>0</v>
      </c>
      <c r="ATX208" s="128">
        <f>DATA!AUA35</f>
        <v>0</v>
      </c>
      <c r="ATY208" s="128">
        <f>DATA!AUB35</f>
        <v>0</v>
      </c>
      <c r="ATZ208" s="128">
        <f>DATA!AUC35</f>
        <v>0</v>
      </c>
      <c r="AUA208" s="128">
        <f>DATA!AUD35</f>
        <v>0</v>
      </c>
      <c r="AUB208" s="128">
        <f>DATA!AUE35</f>
        <v>0</v>
      </c>
      <c r="AUC208" s="128">
        <f>DATA!AUF35</f>
        <v>0</v>
      </c>
      <c r="AUD208" s="128">
        <f>DATA!AUG35</f>
        <v>0</v>
      </c>
      <c r="AUE208" s="128">
        <f>DATA!AUH35</f>
        <v>0</v>
      </c>
      <c r="AUF208" s="128">
        <f>DATA!AUI35</f>
        <v>0</v>
      </c>
      <c r="AUG208" s="128">
        <f>DATA!AUJ35</f>
        <v>0</v>
      </c>
      <c r="AUH208" s="128">
        <f>DATA!AUK35</f>
        <v>0</v>
      </c>
      <c r="AUI208" s="128">
        <f>DATA!AUL35</f>
        <v>0</v>
      </c>
      <c r="AUJ208" s="128">
        <f>DATA!AUM35</f>
        <v>0</v>
      </c>
      <c r="AUK208" s="128">
        <f>DATA!AUN35</f>
        <v>0</v>
      </c>
      <c r="AUL208" s="128">
        <f>DATA!AUO35</f>
        <v>0</v>
      </c>
      <c r="AUM208" s="128">
        <f>DATA!AUP35</f>
        <v>0</v>
      </c>
      <c r="AUN208" s="128">
        <f>DATA!AUQ35</f>
        <v>0</v>
      </c>
      <c r="AUO208" s="128">
        <f>DATA!AUR35</f>
        <v>0</v>
      </c>
      <c r="AUP208" s="128">
        <f>DATA!AUS35</f>
        <v>0</v>
      </c>
      <c r="AUQ208" s="128">
        <f>DATA!AUT35</f>
        <v>0</v>
      </c>
      <c r="AUR208" s="128">
        <f>DATA!AUU35</f>
        <v>0</v>
      </c>
      <c r="AUS208" s="128">
        <f>DATA!AUV35</f>
        <v>0</v>
      </c>
      <c r="AUT208" s="128">
        <f>DATA!AUW35</f>
        <v>0</v>
      </c>
      <c r="AUU208" s="128">
        <f>DATA!AUX35</f>
        <v>0</v>
      </c>
      <c r="AUV208" s="128">
        <f>DATA!AUY35</f>
        <v>0</v>
      </c>
      <c r="AUW208" s="128">
        <f>DATA!AUZ35</f>
        <v>0</v>
      </c>
      <c r="AUX208" s="128">
        <f>DATA!AVA35</f>
        <v>0</v>
      </c>
      <c r="AUY208" s="128">
        <f>DATA!AVB35</f>
        <v>0</v>
      </c>
      <c r="AUZ208" s="128">
        <f>DATA!AVC35</f>
        <v>0</v>
      </c>
      <c r="AVA208" s="128">
        <f>DATA!AVD35</f>
        <v>0</v>
      </c>
      <c r="AVB208" s="128">
        <f>DATA!AVE35</f>
        <v>0</v>
      </c>
      <c r="AVC208" s="128">
        <f>DATA!AVF35</f>
        <v>0</v>
      </c>
      <c r="AVD208" s="128">
        <f>DATA!AVG35</f>
        <v>0</v>
      </c>
      <c r="AVE208" s="128">
        <f>DATA!AVH35</f>
        <v>0</v>
      </c>
      <c r="AVF208" s="128">
        <f>DATA!AVI35</f>
        <v>0</v>
      </c>
      <c r="AVG208" s="128">
        <f>DATA!AVJ35</f>
        <v>0</v>
      </c>
      <c r="AVH208" s="128">
        <f>DATA!AVK35</f>
        <v>0</v>
      </c>
      <c r="AVI208" s="128">
        <f>DATA!AVL35</f>
        <v>0</v>
      </c>
      <c r="AVJ208" s="128">
        <f>DATA!AVM35</f>
        <v>0</v>
      </c>
      <c r="AVK208" s="128">
        <f>DATA!AVN35</f>
        <v>0</v>
      </c>
      <c r="AVL208" s="128">
        <f>DATA!AVO35</f>
        <v>0</v>
      </c>
      <c r="AVM208" s="128">
        <f>DATA!AVP35</f>
        <v>0</v>
      </c>
      <c r="AVN208" s="128">
        <f>DATA!AVQ35</f>
        <v>0</v>
      </c>
      <c r="AVO208" s="128">
        <f>DATA!AVR35</f>
        <v>0</v>
      </c>
      <c r="AVP208" s="128">
        <f>DATA!AVS35</f>
        <v>0</v>
      </c>
      <c r="AVQ208" s="128">
        <f>DATA!AVT35</f>
        <v>0</v>
      </c>
      <c r="AVR208" s="128">
        <f>DATA!AVU35</f>
        <v>0</v>
      </c>
      <c r="AVS208" s="128">
        <f>DATA!AVV35</f>
        <v>0</v>
      </c>
      <c r="AVT208" s="128">
        <f>DATA!AVW35</f>
        <v>0</v>
      </c>
      <c r="AVU208" s="128">
        <f>DATA!AVX35</f>
        <v>0</v>
      </c>
      <c r="AVV208" s="128">
        <f>DATA!AVY35</f>
        <v>0</v>
      </c>
      <c r="AVW208" s="128">
        <f>DATA!AVZ35</f>
        <v>0</v>
      </c>
      <c r="AVX208" s="128">
        <f>DATA!AWA35</f>
        <v>0</v>
      </c>
      <c r="AVY208" s="128">
        <f>DATA!AWB35</f>
        <v>0</v>
      </c>
      <c r="AVZ208" s="128">
        <f>DATA!AWC35</f>
        <v>0</v>
      </c>
      <c r="AWA208" s="128">
        <f>DATA!AWD35</f>
        <v>0</v>
      </c>
      <c r="AWB208" s="128">
        <f>DATA!AWE35</f>
        <v>0</v>
      </c>
      <c r="AWC208" s="128">
        <f>DATA!AWF35</f>
        <v>0</v>
      </c>
      <c r="AWD208" s="128">
        <f>DATA!AWG35</f>
        <v>0</v>
      </c>
      <c r="AWE208" s="128">
        <f>DATA!AWH35</f>
        <v>0</v>
      </c>
      <c r="AWF208" s="128">
        <f>DATA!AWI35</f>
        <v>0</v>
      </c>
      <c r="AWG208" s="128">
        <f>DATA!AWJ35</f>
        <v>0</v>
      </c>
      <c r="AWH208" s="128">
        <f>DATA!AWK35</f>
        <v>0</v>
      </c>
      <c r="AWI208" s="128">
        <f>DATA!AWL35</f>
        <v>0</v>
      </c>
      <c r="AWJ208" s="128">
        <f>DATA!AWM35</f>
        <v>0</v>
      </c>
      <c r="AWK208" s="128">
        <f>DATA!AWN35</f>
        <v>0</v>
      </c>
      <c r="AWL208" s="128">
        <f>DATA!AWO35</f>
        <v>0</v>
      </c>
      <c r="AWM208" s="128">
        <f>DATA!AWP35</f>
        <v>0</v>
      </c>
      <c r="AWN208" s="128">
        <f>DATA!AWQ35</f>
        <v>0</v>
      </c>
      <c r="AWO208" s="128">
        <f>DATA!AWR35</f>
        <v>0</v>
      </c>
      <c r="AWP208" s="128">
        <f>DATA!AWS35</f>
        <v>0</v>
      </c>
      <c r="AWQ208" s="128">
        <f>DATA!AWT35</f>
        <v>0</v>
      </c>
      <c r="AWR208" s="128">
        <f>DATA!AWU35</f>
        <v>0</v>
      </c>
      <c r="AWS208" s="128">
        <f>DATA!AWV35</f>
        <v>0</v>
      </c>
      <c r="AWT208" s="128">
        <f>DATA!AWW35</f>
        <v>0</v>
      </c>
      <c r="AWU208" s="128">
        <f>DATA!AWX35</f>
        <v>0</v>
      </c>
      <c r="AWV208" s="128">
        <f>DATA!AWY35</f>
        <v>0</v>
      </c>
      <c r="AWW208" s="128">
        <f>DATA!AWZ35</f>
        <v>0</v>
      </c>
      <c r="AWX208" s="128">
        <f>DATA!AXA35</f>
        <v>0</v>
      </c>
      <c r="AWY208" s="128">
        <f>DATA!AXB35</f>
        <v>0</v>
      </c>
      <c r="AWZ208" s="128">
        <f>DATA!AXC35</f>
        <v>0</v>
      </c>
      <c r="AXA208" s="128">
        <f>DATA!AXD35</f>
        <v>0</v>
      </c>
      <c r="AXB208" s="128">
        <f>DATA!AXE35</f>
        <v>0</v>
      </c>
      <c r="AXC208" s="128">
        <f>DATA!AXF35</f>
        <v>0</v>
      </c>
      <c r="AXD208" s="128">
        <f>DATA!AXG35</f>
        <v>0</v>
      </c>
      <c r="AXE208" s="128">
        <f>DATA!AXH35</f>
        <v>0</v>
      </c>
      <c r="AXF208" s="128">
        <f>DATA!AXI35</f>
        <v>0</v>
      </c>
      <c r="AXG208" s="128">
        <f>DATA!AXJ35</f>
        <v>0</v>
      </c>
      <c r="AXH208" s="128">
        <f>DATA!AXK35</f>
        <v>0</v>
      </c>
      <c r="AXI208" s="128">
        <f>DATA!AXL35</f>
        <v>0</v>
      </c>
      <c r="AXJ208" s="128">
        <f>DATA!AXM35</f>
        <v>0</v>
      </c>
      <c r="AXK208" s="128">
        <f>DATA!AXN35</f>
        <v>0</v>
      </c>
      <c r="AXL208" s="128">
        <f>DATA!AXO35</f>
        <v>0</v>
      </c>
      <c r="AXM208" s="128">
        <f>DATA!AXP35</f>
        <v>0</v>
      </c>
      <c r="AXN208" s="128">
        <f>DATA!AXQ35</f>
        <v>0</v>
      </c>
      <c r="AXO208" s="128">
        <f>DATA!AXR35</f>
        <v>0</v>
      </c>
      <c r="AXP208" s="128">
        <f>DATA!AXS35</f>
        <v>0</v>
      </c>
      <c r="AXQ208" s="128">
        <f>DATA!AXT35</f>
        <v>0</v>
      </c>
      <c r="AXR208" s="128">
        <f>DATA!AXU35</f>
        <v>0</v>
      </c>
      <c r="AXS208" s="128">
        <f>DATA!AXV35</f>
        <v>0</v>
      </c>
      <c r="AXT208" s="128">
        <f>DATA!AXW35</f>
        <v>0</v>
      </c>
      <c r="AXU208" s="128">
        <f>DATA!AXX35</f>
        <v>0</v>
      </c>
      <c r="AXV208" s="128">
        <f>DATA!AXY35</f>
        <v>0</v>
      </c>
      <c r="AXW208" s="128">
        <f>DATA!AXZ35</f>
        <v>0</v>
      </c>
      <c r="AXX208" s="128">
        <f>DATA!AYA35</f>
        <v>0</v>
      </c>
      <c r="AXY208" s="128">
        <f>DATA!AYB35</f>
        <v>0</v>
      </c>
      <c r="AXZ208" s="128">
        <f>DATA!AYC35</f>
        <v>0</v>
      </c>
      <c r="AYA208" s="128">
        <f>DATA!AYD35</f>
        <v>0</v>
      </c>
      <c r="AYB208" s="128">
        <f>DATA!AYE35</f>
        <v>0</v>
      </c>
      <c r="AYC208" s="128">
        <f>DATA!AYF35</f>
        <v>0</v>
      </c>
      <c r="AYD208" s="128">
        <f>DATA!AYG35</f>
        <v>0</v>
      </c>
      <c r="AYE208" s="128">
        <f>DATA!AYH35</f>
        <v>0</v>
      </c>
      <c r="AYF208" s="128">
        <f>DATA!AYI35</f>
        <v>0</v>
      </c>
      <c r="AYG208" s="128">
        <f>DATA!AYJ35</f>
        <v>0</v>
      </c>
      <c r="AYH208" s="128">
        <f>DATA!AYK35</f>
        <v>0</v>
      </c>
      <c r="AYI208" s="128">
        <f>DATA!AYL35</f>
        <v>0</v>
      </c>
      <c r="AYJ208" s="128">
        <f>DATA!AYM35</f>
        <v>0</v>
      </c>
      <c r="AYK208" s="128">
        <f>DATA!AYN35</f>
        <v>0</v>
      </c>
      <c r="AYL208" s="128">
        <f>DATA!AYO35</f>
        <v>0</v>
      </c>
      <c r="AYM208" s="128">
        <f>DATA!AYP35</f>
        <v>0</v>
      </c>
      <c r="AYN208" s="128">
        <f>DATA!AYQ35</f>
        <v>0</v>
      </c>
      <c r="AYO208" s="128">
        <f>DATA!AYR35</f>
        <v>0</v>
      </c>
      <c r="AYP208" s="128">
        <f>DATA!AYS35</f>
        <v>0</v>
      </c>
      <c r="AYQ208" s="128">
        <f>DATA!AYT35</f>
        <v>0</v>
      </c>
      <c r="AYR208" s="128">
        <f>DATA!AYU35</f>
        <v>0</v>
      </c>
      <c r="AYS208" s="128">
        <f>DATA!AYV35</f>
        <v>0</v>
      </c>
      <c r="AYT208" s="128">
        <f>DATA!AYW35</f>
        <v>0</v>
      </c>
      <c r="AYU208" s="128">
        <f>DATA!AYX35</f>
        <v>0</v>
      </c>
      <c r="AYV208" s="128">
        <f>DATA!AYY35</f>
        <v>0</v>
      </c>
      <c r="AYW208" s="128">
        <f>DATA!AYZ35</f>
        <v>0</v>
      </c>
      <c r="AYX208" s="128">
        <f>DATA!AZA35</f>
        <v>0</v>
      </c>
      <c r="AYY208" s="128">
        <f>DATA!AZB35</f>
        <v>0</v>
      </c>
      <c r="AYZ208" s="128">
        <f>DATA!AZC35</f>
        <v>0</v>
      </c>
      <c r="AZA208" s="128">
        <f>DATA!AZD35</f>
        <v>0</v>
      </c>
      <c r="AZB208" s="128">
        <f>DATA!AZE35</f>
        <v>0</v>
      </c>
      <c r="AZC208" s="128">
        <f>DATA!AZF35</f>
        <v>0</v>
      </c>
      <c r="AZD208" s="128">
        <f>DATA!AZG35</f>
        <v>0</v>
      </c>
      <c r="AZE208" s="128">
        <f>DATA!AZH35</f>
        <v>0</v>
      </c>
      <c r="AZF208" s="128">
        <f>DATA!AZI35</f>
        <v>0</v>
      </c>
      <c r="AZG208" s="128">
        <f>DATA!AZJ35</f>
        <v>0</v>
      </c>
      <c r="AZH208" s="128">
        <f>DATA!AZK35</f>
        <v>0</v>
      </c>
      <c r="AZI208" s="128">
        <f>DATA!AZL35</f>
        <v>0</v>
      </c>
      <c r="AZJ208" s="128">
        <f>DATA!AZM35</f>
        <v>0</v>
      </c>
      <c r="AZK208" s="128">
        <f>DATA!AZN35</f>
        <v>0</v>
      </c>
      <c r="AZL208" s="128">
        <f>DATA!AZO35</f>
        <v>0</v>
      </c>
      <c r="AZM208" s="128">
        <f>DATA!AZP35</f>
        <v>0</v>
      </c>
      <c r="AZN208" s="128">
        <f>DATA!AZQ35</f>
        <v>0</v>
      </c>
      <c r="AZO208" s="128">
        <f>DATA!AZR35</f>
        <v>0</v>
      </c>
      <c r="AZP208" s="128">
        <f>DATA!AZS35</f>
        <v>0</v>
      </c>
      <c r="AZQ208" s="128">
        <f>DATA!AZT35</f>
        <v>0</v>
      </c>
      <c r="AZR208" s="128">
        <f>DATA!AZU35</f>
        <v>0</v>
      </c>
      <c r="AZS208" s="128">
        <f>DATA!AZV35</f>
        <v>0</v>
      </c>
      <c r="AZT208" s="128">
        <f>DATA!AZW35</f>
        <v>0</v>
      </c>
      <c r="AZU208" s="128">
        <f>DATA!AZX35</f>
        <v>0</v>
      </c>
      <c r="AZV208" s="128">
        <f>DATA!AZY35</f>
        <v>0</v>
      </c>
      <c r="AZW208" s="128">
        <f>DATA!AZZ35</f>
        <v>0</v>
      </c>
      <c r="AZX208" s="128">
        <f>DATA!BAA35</f>
        <v>0</v>
      </c>
      <c r="AZY208" s="128">
        <f>DATA!BAB35</f>
        <v>0</v>
      </c>
      <c r="AZZ208" s="128">
        <f>DATA!BAC35</f>
        <v>0</v>
      </c>
      <c r="BAA208" s="128">
        <f>DATA!BAD35</f>
        <v>0</v>
      </c>
      <c r="BAB208" s="128">
        <f>DATA!BAE35</f>
        <v>0</v>
      </c>
      <c r="BAC208" s="128">
        <f>DATA!BAF35</f>
        <v>0</v>
      </c>
      <c r="BAD208" s="128">
        <f>DATA!BAG35</f>
        <v>0</v>
      </c>
      <c r="BAE208" s="128">
        <f>DATA!BAH35</f>
        <v>0</v>
      </c>
      <c r="BAF208" s="128">
        <f>DATA!BAI35</f>
        <v>0</v>
      </c>
      <c r="BAG208" s="128">
        <f>DATA!BAJ35</f>
        <v>0</v>
      </c>
      <c r="BAH208" s="128">
        <f>DATA!BAK35</f>
        <v>0</v>
      </c>
      <c r="BAI208" s="128">
        <f>DATA!BAL35</f>
        <v>0</v>
      </c>
      <c r="BAJ208" s="128">
        <f>DATA!BAM35</f>
        <v>0</v>
      </c>
      <c r="BAK208" s="128">
        <f>DATA!BAN35</f>
        <v>0</v>
      </c>
      <c r="BAL208" s="128">
        <f>DATA!BAO35</f>
        <v>0</v>
      </c>
      <c r="BAM208" s="128">
        <f>DATA!BAP35</f>
        <v>0</v>
      </c>
      <c r="BAN208" s="128">
        <f>DATA!BAQ35</f>
        <v>0</v>
      </c>
      <c r="BAO208" s="128">
        <f>DATA!BAR35</f>
        <v>0</v>
      </c>
      <c r="BAP208" s="128">
        <f>DATA!BAS35</f>
        <v>0</v>
      </c>
      <c r="BAQ208" s="128">
        <f>DATA!BAT35</f>
        <v>0</v>
      </c>
      <c r="BAR208" s="128">
        <f>DATA!BAU35</f>
        <v>0</v>
      </c>
      <c r="BAS208" s="128">
        <f>DATA!BAV35</f>
        <v>0</v>
      </c>
      <c r="BAT208" s="128">
        <f>DATA!BAW35</f>
        <v>0</v>
      </c>
      <c r="BAU208" s="128">
        <f>DATA!BAX35</f>
        <v>0</v>
      </c>
      <c r="BAV208" s="128">
        <f>DATA!BAY35</f>
        <v>0</v>
      </c>
      <c r="BAW208" s="128">
        <f>DATA!BAZ35</f>
        <v>0</v>
      </c>
      <c r="BAX208" s="128">
        <f>DATA!BBA35</f>
        <v>0</v>
      </c>
      <c r="BAY208" s="128">
        <f>DATA!BBB35</f>
        <v>0</v>
      </c>
      <c r="BAZ208" s="128">
        <f>DATA!BBC35</f>
        <v>0</v>
      </c>
      <c r="BBA208" s="128">
        <f>DATA!BBD35</f>
        <v>0</v>
      </c>
      <c r="BBB208" s="128">
        <f>DATA!BBE35</f>
        <v>0</v>
      </c>
      <c r="BBC208" s="128">
        <f>DATA!BBF35</f>
        <v>0</v>
      </c>
      <c r="BBD208" s="128">
        <f>DATA!BBG35</f>
        <v>0</v>
      </c>
      <c r="BBE208" s="128">
        <f>DATA!BBH35</f>
        <v>0</v>
      </c>
      <c r="BBF208" s="128">
        <f>DATA!BBI35</f>
        <v>0</v>
      </c>
      <c r="BBG208" s="128">
        <f>DATA!BBJ35</f>
        <v>0</v>
      </c>
      <c r="BBH208" s="128">
        <f>DATA!BBK35</f>
        <v>0</v>
      </c>
      <c r="BBI208" s="128">
        <f>DATA!BBL35</f>
        <v>0</v>
      </c>
      <c r="BBJ208" s="128">
        <f>DATA!BBM35</f>
        <v>0</v>
      </c>
      <c r="BBK208" s="128">
        <f>DATA!BBN35</f>
        <v>0</v>
      </c>
      <c r="BBL208" s="128">
        <f>DATA!BBO35</f>
        <v>0</v>
      </c>
      <c r="BBM208" s="128">
        <f>DATA!BBP35</f>
        <v>0</v>
      </c>
      <c r="BBN208" s="128">
        <f>DATA!BBQ35</f>
        <v>0</v>
      </c>
      <c r="BBO208" s="128">
        <f>DATA!BBR35</f>
        <v>0</v>
      </c>
      <c r="BBP208" s="128">
        <f>DATA!BBS35</f>
        <v>0</v>
      </c>
      <c r="BBQ208" s="128">
        <f>DATA!BBT35</f>
        <v>0</v>
      </c>
      <c r="BBR208" s="128">
        <f>DATA!BBU35</f>
        <v>0</v>
      </c>
      <c r="BBS208" s="128">
        <f>DATA!BBV35</f>
        <v>0</v>
      </c>
      <c r="BBT208" s="128">
        <f>DATA!BBW35</f>
        <v>0</v>
      </c>
      <c r="BBU208" s="128">
        <f>DATA!BBX35</f>
        <v>0</v>
      </c>
      <c r="BBV208" s="128">
        <f>DATA!BBY35</f>
        <v>0</v>
      </c>
      <c r="BBW208" s="128">
        <f>DATA!BBZ35</f>
        <v>0</v>
      </c>
      <c r="BBX208" s="128">
        <f>DATA!BCA35</f>
        <v>0</v>
      </c>
      <c r="BBY208" s="128">
        <f>DATA!BCB35</f>
        <v>0</v>
      </c>
      <c r="BBZ208" s="128">
        <f>DATA!BCC35</f>
        <v>0</v>
      </c>
      <c r="BCA208" s="128">
        <f>DATA!BCD35</f>
        <v>0</v>
      </c>
      <c r="BCB208" s="128">
        <f>DATA!BCE35</f>
        <v>0</v>
      </c>
      <c r="BCC208" s="128">
        <f>DATA!BCF35</f>
        <v>0</v>
      </c>
      <c r="BCD208" s="128">
        <f>DATA!BCG35</f>
        <v>0</v>
      </c>
      <c r="BCE208" s="128">
        <f>DATA!BCH35</f>
        <v>0</v>
      </c>
      <c r="BCF208" s="128">
        <f>DATA!BCI35</f>
        <v>0</v>
      </c>
      <c r="BCG208" s="128">
        <f>DATA!BCJ35</f>
        <v>0</v>
      </c>
      <c r="BCH208" s="128">
        <f>DATA!BCK35</f>
        <v>0</v>
      </c>
      <c r="BCI208" s="128">
        <f>DATA!BCL35</f>
        <v>0</v>
      </c>
      <c r="BCJ208" s="128">
        <f>DATA!BCM35</f>
        <v>0</v>
      </c>
      <c r="BCK208" s="128">
        <f>DATA!BCN35</f>
        <v>0</v>
      </c>
      <c r="BCL208" s="128">
        <f>DATA!BCO35</f>
        <v>0</v>
      </c>
      <c r="BCM208" s="128">
        <f>DATA!BCP35</f>
        <v>0</v>
      </c>
      <c r="BCN208" s="128">
        <f>DATA!BCQ35</f>
        <v>0</v>
      </c>
      <c r="BCO208" s="128">
        <f>DATA!BCR35</f>
        <v>0</v>
      </c>
      <c r="BCP208" s="128">
        <f>DATA!BCS35</f>
        <v>0</v>
      </c>
      <c r="BCQ208" s="128">
        <f>DATA!BCT35</f>
        <v>0</v>
      </c>
      <c r="BCR208" s="128">
        <f>DATA!BCU35</f>
        <v>0</v>
      </c>
      <c r="BCS208" s="128">
        <f>DATA!BCV35</f>
        <v>0</v>
      </c>
      <c r="BCT208" s="128">
        <f>DATA!BCW35</f>
        <v>0</v>
      </c>
      <c r="BCU208" s="128">
        <f>DATA!BCX35</f>
        <v>0</v>
      </c>
      <c r="BCV208" s="128">
        <f>DATA!BCY35</f>
        <v>0</v>
      </c>
      <c r="BCW208" s="128">
        <f>DATA!BCZ35</f>
        <v>0</v>
      </c>
      <c r="BCX208" s="128">
        <f>DATA!BDA35</f>
        <v>0</v>
      </c>
      <c r="BCY208" s="128">
        <f>DATA!BDB35</f>
        <v>0</v>
      </c>
      <c r="BCZ208" s="128">
        <f>DATA!BDC35</f>
        <v>0</v>
      </c>
      <c r="BDA208" s="128">
        <f>DATA!BDD35</f>
        <v>0</v>
      </c>
      <c r="BDB208" s="128">
        <f>DATA!BDE35</f>
        <v>0</v>
      </c>
      <c r="BDC208" s="128">
        <f>DATA!BDF35</f>
        <v>0</v>
      </c>
      <c r="BDD208" s="128">
        <f>DATA!BDG35</f>
        <v>0</v>
      </c>
      <c r="BDE208" s="128">
        <f>DATA!BDH35</f>
        <v>0</v>
      </c>
      <c r="BDF208" s="128">
        <f>DATA!BDI35</f>
        <v>0</v>
      </c>
      <c r="BDG208" s="128">
        <f>DATA!BDJ35</f>
        <v>0</v>
      </c>
      <c r="BDH208" s="128">
        <f>DATA!BDK35</f>
        <v>0</v>
      </c>
      <c r="BDI208" s="128">
        <f>DATA!BDL35</f>
        <v>0</v>
      </c>
      <c r="BDJ208" s="128">
        <f>DATA!BDM35</f>
        <v>0</v>
      </c>
      <c r="BDK208" s="128">
        <f>DATA!BDN35</f>
        <v>0</v>
      </c>
      <c r="BDL208" s="128">
        <f>DATA!BDO35</f>
        <v>0</v>
      </c>
      <c r="BDM208" s="128">
        <f>DATA!BDP35</f>
        <v>0</v>
      </c>
      <c r="BDN208" s="128">
        <f>DATA!BDQ35</f>
        <v>0</v>
      </c>
      <c r="BDO208" s="128">
        <f>DATA!BDR35</f>
        <v>0</v>
      </c>
      <c r="BDP208" s="128">
        <f>DATA!BDS35</f>
        <v>0</v>
      </c>
      <c r="BDQ208" s="128">
        <f>DATA!BDT35</f>
        <v>0</v>
      </c>
      <c r="BDR208" s="128">
        <f>DATA!BDU35</f>
        <v>0</v>
      </c>
      <c r="BDS208" s="128">
        <f>DATA!BDV35</f>
        <v>0</v>
      </c>
      <c r="BDT208" s="128">
        <f>DATA!BDW35</f>
        <v>0</v>
      </c>
      <c r="BDU208" s="128">
        <f>DATA!BDX35</f>
        <v>0</v>
      </c>
      <c r="BDV208" s="128">
        <f>DATA!BDY35</f>
        <v>0</v>
      </c>
      <c r="BDW208" s="128">
        <f>DATA!BDZ35</f>
        <v>0</v>
      </c>
      <c r="BDX208" s="128">
        <f>DATA!BEA35</f>
        <v>0</v>
      </c>
      <c r="BDY208" s="128">
        <f>DATA!BEB35</f>
        <v>0</v>
      </c>
      <c r="BDZ208" s="128">
        <f>DATA!BEC35</f>
        <v>0</v>
      </c>
      <c r="BEA208" s="128">
        <f>DATA!BED35</f>
        <v>0</v>
      </c>
      <c r="BEB208" s="128">
        <f>DATA!BEE35</f>
        <v>0</v>
      </c>
      <c r="BEC208" s="128">
        <f>DATA!BEF35</f>
        <v>0</v>
      </c>
      <c r="BED208" s="128">
        <f>DATA!BEG35</f>
        <v>0</v>
      </c>
      <c r="BEE208" s="128">
        <f>DATA!BEH35</f>
        <v>0</v>
      </c>
      <c r="BEF208" s="128">
        <f>DATA!BEI35</f>
        <v>0</v>
      </c>
      <c r="BEG208" s="128">
        <f>DATA!BEJ35</f>
        <v>0</v>
      </c>
      <c r="BEH208" s="128">
        <f>DATA!BEK35</f>
        <v>0</v>
      </c>
      <c r="BEI208" s="128">
        <f>DATA!BEL35</f>
        <v>0</v>
      </c>
      <c r="BEJ208" s="128">
        <f>DATA!BEM35</f>
        <v>0</v>
      </c>
      <c r="BEK208" s="128">
        <f>DATA!BEN35</f>
        <v>0</v>
      </c>
      <c r="BEL208" s="128">
        <f>DATA!BEO35</f>
        <v>0</v>
      </c>
      <c r="BEM208" s="128">
        <f>DATA!BEP35</f>
        <v>0</v>
      </c>
      <c r="BEN208" s="128">
        <f>DATA!BEQ35</f>
        <v>0</v>
      </c>
      <c r="BEO208" s="128">
        <f>DATA!BER35</f>
        <v>0</v>
      </c>
      <c r="BEP208" s="128">
        <f>DATA!BES35</f>
        <v>0</v>
      </c>
      <c r="BEQ208" s="128">
        <f>DATA!BET35</f>
        <v>0</v>
      </c>
      <c r="BER208" s="128">
        <f>DATA!BEU35</f>
        <v>0</v>
      </c>
      <c r="BES208" s="128">
        <f>DATA!BEV35</f>
        <v>0</v>
      </c>
      <c r="BET208" s="128">
        <f>DATA!BEW35</f>
        <v>0</v>
      </c>
      <c r="BEU208" s="128">
        <f>DATA!BEX35</f>
        <v>0</v>
      </c>
      <c r="BEV208" s="128">
        <f>DATA!BEY35</f>
        <v>0</v>
      </c>
      <c r="BEW208" s="128">
        <f>DATA!BEZ35</f>
        <v>0</v>
      </c>
      <c r="BEX208" s="128">
        <f>DATA!BFA35</f>
        <v>0</v>
      </c>
      <c r="BEY208" s="128">
        <f>DATA!BFB35</f>
        <v>0</v>
      </c>
      <c r="BEZ208" s="128">
        <f>DATA!BFC35</f>
        <v>0</v>
      </c>
      <c r="BFA208" s="128">
        <f>DATA!BFD35</f>
        <v>0</v>
      </c>
      <c r="BFB208" s="128">
        <f>DATA!BFE35</f>
        <v>0</v>
      </c>
      <c r="BFC208" s="128">
        <f>DATA!BFF35</f>
        <v>0</v>
      </c>
      <c r="BFD208" s="128">
        <f>DATA!BFG35</f>
        <v>0</v>
      </c>
      <c r="BFE208" s="128">
        <f>DATA!BFH35</f>
        <v>0</v>
      </c>
      <c r="BFF208" s="128">
        <f>DATA!BFI35</f>
        <v>0</v>
      </c>
      <c r="BFG208" s="128">
        <f>DATA!BFJ35</f>
        <v>0</v>
      </c>
      <c r="BFH208" s="128">
        <f>DATA!BFK35</f>
        <v>0</v>
      </c>
      <c r="BFI208" s="128">
        <f>DATA!BFL35</f>
        <v>0</v>
      </c>
      <c r="BFJ208" s="128">
        <f>DATA!BFM35</f>
        <v>0</v>
      </c>
      <c r="BFK208" s="128">
        <f>DATA!BFN35</f>
        <v>0</v>
      </c>
      <c r="BFL208" s="128">
        <f>DATA!BFO35</f>
        <v>0</v>
      </c>
      <c r="BFM208" s="128">
        <f>DATA!BFP35</f>
        <v>0</v>
      </c>
      <c r="BFN208" s="128">
        <f>DATA!BFQ35</f>
        <v>0</v>
      </c>
      <c r="BFO208" s="128">
        <f>DATA!BFR35</f>
        <v>0</v>
      </c>
      <c r="BFP208" s="128">
        <f>DATA!BFS35</f>
        <v>0</v>
      </c>
      <c r="BFQ208" s="128">
        <f>DATA!BFT35</f>
        <v>0</v>
      </c>
      <c r="BFR208" s="128">
        <f>DATA!BFU35</f>
        <v>0</v>
      </c>
      <c r="BFS208" s="128">
        <f>DATA!BFV35</f>
        <v>0</v>
      </c>
      <c r="BFT208" s="128">
        <f>DATA!BFW35</f>
        <v>0</v>
      </c>
      <c r="BFU208" s="128">
        <f>DATA!BFX35</f>
        <v>0</v>
      </c>
      <c r="BFV208" s="128">
        <f>DATA!BFY35</f>
        <v>0</v>
      </c>
      <c r="BFW208" s="128">
        <f>DATA!BFZ35</f>
        <v>0</v>
      </c>
      <c r="BFX208" s="128">
        <f>DATA!BGA35</f>
        <v>0</v>
      </c>
      <c r="BFY208" s="128">
        <f>DATA!BGB35</f>
        <v>0</v>
      </c>
      <c r="BFZ208" s="128">
        <f>DATA!BGC35</f>
        <v>0</v>
      </c>
      <c r="BGA208" s="128">
        <f>DATA!BGD35</f>
        <v>0</v>
      </c>
      <c r="BGB208" s="128">
        <f>DATA!BGE35</f>
        <v>0</v>
      </c>
      <c r="BGC208" s="128">
        <f>DATA!BGF35</f>
        <v>0</v>
      </c>
      <c r="BGD208" s="128">
        <f>DATA!BGG35</f>
        <v>0</v>
      </c>
      <c r="BGE208" s="128">
        <f>DATA!BGH35</f>
        <v>0</v>
      </c>
      <c r="BGF208" s="128">
        <f>DATA!BGI35</f>
        <v>0</v>
      </c>
      <c r="BGG208" s="128">
        <f>DATA!BGJ35</f>
        <v>0</v>
      </c>
      <c r="BGH208" s="128">
        <f>DATA!BGK35</f>
        <v>0</v>
      </c>
      <c r="BGI208" s="128">
        <f>DATA!BGL35</f>
        <v>0</v>
      </c>
      <c r="BGJ208" s="128">
        <f>DATA!BGM35</f>
        <v>0</v>
      </c>
      <c r="BGK208" s="128">
        <f>DATA!BGN35</f>
        <v>0</v>
      </c>
      <c r="BGL208" s="128">
        <f>DATA!BGO35</f>
        <v>0</v>
      </c>
      <c r="BGM208" s="128">
        <f>DATA!BGP35</f>
        <v>0</v>
      </c>
      <c r="BGN208" s="128">
        <f>DATA!BGQ35</f>
        <v>0</v>
      </c>
      <c r="BGO208" s="128">
        <f>DATA!BGR35</f>
        <v>0</v>
      </c>
      <c r="BGP208" s="128">
        <f>DATA!BGS35</f>
        <v>0</v>
      </c>
      <c r="BGQ208" s="128">
        <f>DATA!BGT35</f>
        <v>0</v>
      </c>
      <c r="BGR208" s="128">
        <f>DATA!BGU35</f>
        <v>0</v>
      </c>
      <c r="BGS208" s="128">
        <f>DATA!BGV35</f>
        <v>0</v>
      </c>
      <c r="BGT208" s="128">
        <f>DATA!BGW35</f>
        <v>0</v>
      </c>
      <c r="BGU208" s="128">
        <f>DATA!BGX35</f>
        <v>0</v>
      </c>
      <c r="BGV208" s="128">
        <f>DATA!BGY35</f>
        <v>0</v>
      </c>
      <c r="BGW208" s="128">
        <f>DATA!BGZ35</f>
        <v>0</v>
      </c>
      <c r="BGX208" s="128">
        <f>DATA!BHA35</f>
        <v>0</v>
      </c>
      <c r="BGY208" s="128">
        <f>DATA!BHB35</f>
        <v>0</v>
      </c>
      <c r="BGZ208" s="128">
        <f>DATA!BHC35</f>
        <v>0</v>
      </c>
      <c r="BHA208" s="128">
        <f>DATA!BHD35</f>
        <v>0</v>
      </c>
      <c r="BHB208" s="128">
        <f>DATA!BHE35</f>
        <v>0</v>
      </c>
      <c r="BHC208" s="128">
        <f>DATA!BHF35</f>
        <v>0</v>
      </c>
      <c r="BHD208" s="128">
        <f>DATA!BHG35</f>
        <v>0</v>
      </c>
      <c r="BHE208" s="128">
        <f>DATA!BHH35</f>
        <v>0</v>
      </c>
      <c r="BHF208" s="128">
        <f>DATA!BHI35</f>
        <v>0</v>
      </c>
      <c r="BHG208" s="128">
        <f>DATA!BHJ35</f>
        <v>0</v>
      </c>
      <c r="BHH208" s="128">
        <f>DATA!BHK35</f>
        <v>0</v>
      </c>
      <c r="BHI208" s="128">
        <f>DATA!BHL35</f>
        <v>0</v>
      </c>
      <c r="BHJ208" s="128">
        <f>DATA!BHM35</f>
        <v>0</v>
      </c>
      <c r="BHK208" s="128">
        <f>DATA!BHN35</f>
        <v>0</v>
      </c>
      <c r="BHL208" s="128">
        <f>DATA!BHO35</f>
        <v>0</v>
      </c>
      <c r="BHM208" s="128">
        <f>DATA!BHP35</f>
        <v>0</v>
      </c>
      <c r="BHN208" s="128">
        <f>DATA!BHQ35</f>
        <v>0</v>
      </c>
      <c r="BHO208" s="128">
        <f>DATA!BHR35</f>
        <v>0</v>
      </c>
      <c r="BHP208" s="128">
        <f>DATA!BHS35</f>
        <v>0</v>
      </c>
      <c r="BHQ208" s="128">
        <f>DATA!BHT35</f>
        <v>0</v>
      </c>
      <c r="BHR208" s="128">
        <f>DATA!BHU35</f>
        <v>0</v>
      </c>
      <c r="BHS208" s="128">
        <f>DATA!BHV35</f>
        <v>0</v>
      </c>
      <c r="BHT208" s="128">
        <f>DATA!BHW35</f>
        <v>0</v>
      </c>
      <c r="BHU208" s="128">
        <f>DATA!BHX35</f>
        <v>0</v>
      </c>
      <c r="BHV208" s="128">
        <f>DATA!BHY35</f>
        <v>0</v>
      </c>
      <c r="BHW208" s="128">
        <f>DATA!BHZ35</f>
        <v>0</v>
      </c>
      <c r="BHX208" s="128">
        <f>DATA!BIA35</f>
        <v>0</v>
      </c>
      <c r="BHY208" s="128">
        <f>DATA!BIB35</f>
        <v>0</v>
      </c>
      <c r="BHZ208" s="128">
        <f>DATA!BIC35</f>
        <v>0</v>
      </c>
      <c r="BIA208" s="128">
        <f>DATA!BID35</f>
        <v>0</v>
      </c>
      <c r="BIB208" s="128">
        <f>DATA!BIE35</f>
        <v>0</v>
      </c>
      <c r="BIC208" s="128">
        <f>DATA!BIF35</f>
        <v>0</v>
      </c>
      <c r="BID208" s="128">
        <f>DATA!BIG35</f>
        <v>0</v>
      </c>
      <c r="BIE208" s="128">
        <f>DATA!BIH35</f>
        <v>0</v>
      </c>
      <c r="BIF208" s="128">
        <f>DATA!BII35</f>
        <v>0</v>
      </c>
      <c r="BIG208" s="128">
        <f>DATA!BIJ35</f>
        <v>0</v>
      </c>
      <c r="BIH208" s="128">
        <f>DATA!BIK35</f>
        <v>0</v>
      </c>
      <c r="BII208" s="128">
        <f>DATA!BIL35</f>
        <v>0</v>
      </c>
      <c r="BIJ208" s="128">
        <f>DATA!BIM35</f>
        <v>0</v>
      </c>
      <c r="BIK208" s="128">
        <f>DATA!BIN35</f>
        <v>0</v>
      </c>
      <c r="BIL208" s="128">
        <f>DATA!BIO35</f>
        <v>0</v>
      </c>
      <c r="BIM208" s="128">
        <f>DATA!BIP35</f>
        <v>0</v>
      </c>
      <c r="BIN208" s="128">
        <f>DATA!BIQ35</f>
        <v>0</v>
      </c>
      <c r="BIO208" s="128">
        <f>DATA!BIR35</f>
        <v>0</v>
      </c>
      <c r="BIP208" s="128">
        <f>DATA!BIS35</f>
        <v>0</v>
      </c>
      <c r="BIQ208" s="128">
        <f>DATA!BIT35</f>
        <v>0</v>
      </c>
      <c r="BIR208" s="128">
        <f>DATA!BIU35</f>
        <v>0</v>
      </c>
      <c r="BIS208" s="128">
        <f>DATA!BIV35</f>
        <v>0</v>
      </c>
      <c r="BIT208" s="128">
        <f>DATA!BIW35</f>
        <v>0</v>
      </c>
      <c r="BIU208" s="128">
        <f>DATA!BIX35</f>
        <v>0</v>
      </c>
      <c r="BIV208" s="128">
        <f>DATA!BIY35</f>
        <v>0</v>
      </c>
      <c r="BIW208" s="128">
        <f>DATA!BIZ35</f>
        <v>0</v>
      </c>
      <c r="BIX208" s="128">
        <f>DATA!BJA35</f>
        <v>0</v>
      </c>
      <c r="BIY208" s="128">
        <f>DATA!BJB35</f>
        <v>0</v>
      </c>
      <c r="BIZ208" s="128">
        <f>DATA!BJC35</f>
        <v>0</v>
      </c>
      <c r="BJA208" s="128">
        <f>DATA!BJD35</f>
        <v>0</v>
      </c>
      <c r="BJB208" s="128">
        <f>DATA!BJE35</f>
        <v>0</v>
      </c>
      <c r="BJC208" s="128">
        <f>DATA!BJF35</f>
        <v>0</v>
      </c>
      <c r="BJD208" s="128">
        <f>DATA!BJG35</f>
        <v>0</v>
      </c>
      <c r="BJE208" s="128">
        <f>DATA!BJH35</f>
        <v>0</v>
      </c>
      <c r="BJF208" s="128">
        <f>DATA!BJI35</f>
        <v>0</v>
      </c>
      <c r="BJG208" s="128">
        <f>DATA!BJJ35</f>
        <v>0</v>
      </c>
      <c r="BJH208" s="128">
        <f>DATA!BJK35</f>
        <v>0</v>
      </c>
      <c r="BJI208" s="128">
        <f>DATA!BJL35</f>
        <v>0</v>
      </c>
      <c r="BJJ208" s="128">
        <f>DATA!BJM35</f>
        <v>0</v>
      </c>
      <c r="BJK208" s="128">
        <f>DATA!BJN35</f>
        <v>0</v>
      </c>
      <c r="BJL208" s="128">
        <f>DATA!BJO35</f>
        <v>0</v>
      </c>
      <c r="BJM208" s="128">
        <f>DATA!BJP35</f>
        <v>0</v>
      </c>
      <c r="BJN208" s="128">
        <f>DATA!BJQ35</f>
        <v>0</v>
      </c>
      <c r="BJO208" s="128">
        <f>DATA!BJR35</f>
        <v>0</v>
      </c>
      <c r="BJP208" s="128">
        <f>DATA!BJS35</f>
        <v>0</v>
      </c>
      <c r="BJQ208" s="128">
        <f>DATA!BJT35</f>
        <v>0</v>
      </c>
      <c r="BJR208" s="128">
        <f>DATA!BJU35</f>
        <v>0</v>
      </c>
      <c r="BJS208" s="128">
        <f>DATA!BJV35</f>
        <v>0</v>
      </c>
      <c r="BJT208" s="128">
        <f>DATA!BJW35</f>
        <v>0</v>
      </c>
      <c r="BJU208" s="128">
        <f>DATA!BJX35</f>
        <v>0</v>
      </c>
      <c r="BJV208" s="128">
        <f>DATA!BJY35</f>
        <v>0</v>
      </c>
      <c r="BJW208" s="128">
        <f>DATA!BJZ35</f>
        <v>0</v>
      </c>
      <c r="BJX208" s="128">
        <f>DATA!BKA35</f>
        <v>0</v>
      </c>
      <c r="BJY208" s="128">
        <f>DATA!BKB35</f>
        <v>0</v>
      </c>
      <c r="BJZ208" s="128">
        <f>DATA!BKC35</f>
        <v>0</v>
      </c>
      <c r="BKA208" s="128">
        <f>DATA!BKD35</f>
        <v>0</v>
      </c>
      <c r="BKB208" s="128">
        <f>DATA!BKE35</f>
        <v>0</v>
      </c>
      <c r="BKC208" s="128">
        <f>DATA!BKF35</f>
        <v>0</v>
      </c>
      <c r="BKD208" s="128">
        <f>DATA!BKG35</f>
        <v>0</v>
      </c>
      <c r="BKE208" s="128">
        <f>DATA!BKH35</f>
        <v>0</v>
      </c>
      <c r="BKF208" s="128">
        <f>DATA!BKI35</f>
        <v>0</v>
      </c>
      <c r="BKG208" s="128">
        <f>DATA!BKJ35</f>
        <v>0</v>
      </c>
      <c r="BKH208" s="128">
        <f>DATA!BKK35</f>
        <v>0</v>
      </c>
      <c r="BKI208" s="128">
        <f>DATA!BKL35</f>
        <v>0</v>
      </c>
      <c r="BKJ208" s="128">
        <f>DATA!BKM35</f>
        <v>0</v>
      </c>
      <c r="BKK208" s="128">
        <f>DATA!BKN35</f>
        <v>0</v>
      </c>
      <c r="BKL208" s="128">
        <f>DATA!BKO35</f>
        <v>0</v>
      </c>
      <c r="BKM208" s="128">
        <f>DATA!BKP35</f>
        <v>0</v>
      </c>
      <c r="BKN208" s="128">
        <f>DATA!BKQ35</f>
        <v>0</v>
      </c>
      <c r="BKO208" s="128">
        <f>DATA!BKR35</f>
        <v>0</v>
      </c>
      <c r="BKP208" s="128">
        <f>DATA!BKS35</f>
        <v>0</v>
      </c>
      <c r="BKQ208" s="128">
        <f>DATA!BKT35</f>
        <v>0</v>
      </c>
      <c r="BKR208" s="128">
        <f>DATA!BKU35</f>
        <v>0</v>
      </c>
      <c r="BKS208" s="128">
        <f>DATA!BKV35</f>
        <v>0</v>
      </c>
      <c r="BKT208" s="128">
        <f>DATA!BKW35</f>
        <v>0</v>
      </c>
      <c r="BKU208" s="128">
        <f>DATA!BKX35</f>
        <v>0</v>
      </c>
      <c r="BKV208" s="128">
        <f>DATA!BKY35</f>
        <v>0</v>
      </c>
      <c r="BKW208" s="128">
        <f>DATA!BKZ35</f>
        <v>0</v>
      </c>
      <c r="BKX208" s="128">
        <f>DATA!BLA35</f>
        <v>0</v>
      </c>
      <c r="BKY208" s="128">
        <f>DATA!BLB35</f>
        <v>0</v>
      </c>
      <c r="BKZ208" s="128">
        <f>DATA!BLC35</f>
        <v>0</v>
      </c>
      <c r="BLA208" s="128">
        <f>DATA!BLD35</f>
        <v>0</v>
      </c>
      <c r="BLB208" s="128">
        <f>DATA!BLE35</f>
        <v>0</v>
      </c>
      <c r="BLC208" s="128">
        <f>DATA!BLF35</f>
        <v>0</v>
      </c>
      <c r="BLD208" s="128">
        <f>DATA!BLG35</f>
        <v>0</v>
      </c>
      <c r="BLE208" s="128">
        <f>DATA!BLH35</f>
        <v>0</v>
      </c>
      <c r="BLF208" s="128">
        <f>DATA!BLI35</f>
        <v>0</v>
      </c>
      <c r="BLG208" s="128">
        <f>DATA!BLJ35</f>
        <v>0</v>
      </c>
      <c r="BLH208" s="128">
        <f>DATA!BLK35</f>
        <v>0</v>
      </c>
      <c r="BLI208" s="128">
        <f>DATA!BLL35</f>
        <v>0</v>
      </c>
      <c r="BLJ208" s="128">
        <f>DATA!BLM35</f>
        <v>0</v>
      </c>
      <c r="BLK208" s="128">
        <f>DATA!BLN35</f>
        <v>0</v>
      </c>
      <c r="BLL208" s="128">
        <f>DATA!BLO35</f>
        <v>0</v>
      </c>
      <c r="BLM208" s="128">
        <f>DATA!BLP35</f>
        <v>0</v>
      </c>
      <c r="BLN208" s="128">
        <f>DATA!BLQ35</f>
        <v>0</v>
      </c>
      <c r="BLO208" s="128">
        <f>DATA!BLR35</f>
        <v>0</v>
      </c>
      <c r="BLP208" s="128">
        <f>DATA!BLS35</f>
        <v>0</v>
      </c>
      <c r="BLQ208" s="128">
        <f>DATA!BLT35</f>
        <v>0</v>
      </c>
      <c r="BLR208" s="128">
        <f>DATA!BLU35</f>
        <v>0</v>
      </c>
      <c r="BLS208" s="128">
        <f>DATA!BLV35</f>
        <v>0</v>
      </c>
      <c r="BLT208" s="128">
        <f>DATA!BLW35</f>
        <v>0</v>
      </c>
      <c r="BLU208" s="128">
        <f>DATA!BLX35</f>
        <v>0</v>
      </c>
      <c r="BLV208" s="128">
        <f>DATA!BLY35</f>
        <v>0</v>
      </c>
      <c r="BLW208" s="128">
        <f>DATA!BLZ35</f>
        <v>0</v>
      </c>
      <c r="BLX208" s="128">
        <f>DATA!BMA35</f>
        <v>0</v>
      </c>
      <c r="BLY208" s="128">
        <f>DATA!BMB35</f>
        <v>0</v>
      </c>
      <c r="BLZ208" s="128">
        <f>DATA!BMC35</f>
        <v>0</v>
      </c>
      <c r="BMA208" s="128">
        <f>DATA!BMD35</f>
        <v>0</v>
      </c>
      <c r="BMB208" s="128">
        <f>DATA!BME35</f>
        <v>0</v>
      </c>
      <c r="BMC208" s="128">
        <f>DATA!BMF35</f>
        <v>0</v>
      </c>
      <c r="BMD208" s="128">
        <f>DATA!BMG35</f>
        <v>0</v>
      </c>
      <c r="BME208" s="128">
        <f>DATA!BMH35</f>
        <v>0</v>
      </c>
      <c r="BMF208" s="128">
        <f>DATA!BMI35</f>
        <v>0</v>
      </c>
      <c r="BMG208" s="128">
        <f>DATA!BMJ35</f>
        <v>0</v>
      </c>
      <c r="BMH208" s="128">
        <f>DATA!BMK35</f>
        <v>0</v>
      </c>
      <c r="BMI208" s="128">
        <f>DATA!BML35</f>
        <v>0</v>
      </c>
      <c r="BMJ208" s="128">
        <f>DATA!BMM35</f>
        <v>0</v>
      </c>
      <c r="BMK208" s="128">
        <f>DATA!BMN35</f>
        <v>0</v>
      </c>
      <c r="BML208" s="128">
        <f>DATA!BMO35</f>
        <v>0</v>
      </c>
      <c r="BMM208" s="128">
        <f>DATA!BMP35</f>
        <v>0</v>
      </c>
      <c r="BMN208" s="128">
        <f>DATA!BMQ35</f>
        <v>0</v>
      </c>
      <c r="BMO208" s="128">
        <f>DATA!BMR35</f>
        <v>0</v>
      </c>
      <c r="BMP208" s="128">
        <f>DATA!BMS35</f>
        <v>0</v>
      </c>
      <c r="BMQ208" s="128">
        <f>DATA!BMT35</f>
        <v>0</v>
      </c>
      <c r="BMR208" s="128">
        <f>DATA!BMU35</f>
        <v>0</v>
      </c>
      <c r="BMS208" s="128">
        <f>DATA!BMV35</f>
        <v>0</v>
      </c>
      <c r="BMT208" s="128">
        <f>DATA!BMW35</f>
        <v>0</v>
      </c>
      <c r="BMU208" s="128">
        <f>DATA!BMX35</f>
        <v>0</v>
      </c>
      <c r="BMV208" s="128">
        <f>DATA!BMY35</f>
        <v>0</v>
      </c>
      <c r="BMW208" s="128">
        <f>DATA!BMZ35</f>
        <v>0</v>
      </c>
      <c r="BMX208" s="128">
        <f>DATA!BNA35</f>
        <v>0</v>
      </c>
      <c r="BMY208" s="128">
        <f>DATA!BNB35</f>
        <v>0</v>
      </c>
      <c r="BMZ208" s="128">
        <f>DATA!BNC35</f>
        <v>0</v>
      </c>
      <c r="BNA208" s="128">
        <f>DATA!BND35</f>
        <v>0</v>
      </c>
      <c r="BNB208" s="128">
        <f>DATA!BNE35</f>
        <v>0</v>
      </c>
      <c r="BNC208" s="128">
        <f>DATA!BNF35</f>
        <v>0</v>
      </c>
      <c r="BND208" s="128">
        <f>DATA!BNG35</f>
        <v>0</v>
      </c>
      <c r="BNE208" s="128">
        <f>DATA!BNH35</f>
        <v>0</v>
      </c>
      <c r="BNF208" s="128">
        <f>DATA!BNI35</f>
        <v>0</v>
      </c>
      <c r="BNG208" s="128">
        <f>DATA!BNJ35</f>
        <v>0</v>
      </c>
      <c r="BNH208" s="128">
        <f>DATA!BNK35</f>
        <v>0</v>
      </c>
      <c r="BNI208" s="128">
        <f>DATA!BNL35</f>
        <v>0</v>
      </c>
      <c r="BNJ208" s="128">
        <f>DATA!BNM35</f>
        <v>0</v>
      </c>
      <c r="BNK208" s="128">
        <f>DATA!BNN35</f>
        <v>0</v>
      </c>
      <c r="BNL208" s="128">
        <f>DATA!BNO35</f>
        <v>0</v>
      </c>
      <c r="BNM208" s="128">
        <f>DATA!BNP35</f>
        <v>0</v>
      </c>
      <c r="BNN208" s="128">
        <f>DATA!BNQ35</f>
        <v>0</v>
      </c>
      <c r="BNO208" s="128">
        <f>DATA!BNR35</f>
        <v>0</v>
      </c>
      <c r="BNP208" s="128">
        <f>DATA!BNS35</f>
        <v>0</v>
      </c>
      <c r="BNQ208" s="128">
        <f>DATA!BNT35</f>
        <v>0</v>
      </c>
      <c r="BNR208" s="128">
        <f>DATA!BNU35</f>
        <v>0</v>
      </c>
      <c r="BNS208" s="128">
        <f>DATA!BNV35</f>
        <v>0</v>
      </c>
      <c r="BNT208" s="128">
        <f>DATA!BNW35</f>
        <v>0</v>
      </c>
      <c r="BNU208" s="128">
        <f>DATA!BNX35</f>
        <v>0</v>
      </c>
      <c r="BNV208" s="128">
        <f>DATA!BNY35</f>
        <v>0</v>
      </c>
      <c r="BNW208" s="128">
        <f>DATA!BNZ35</f>
        <v>0</v>
      </c>
      <c r="BNX208" s="128">
        <f>DATA!BOA35</f>
        <v>0</v>
      </c>
      <c r="BNY208" s="128">
        <f>DATA!BOB35</f>
        <v>0</v>
      </c>
      <c r="BNZ208" s="128">
        <f>DATA!BOC35</f>
        <v>0</v>
      </c>
      <c r="BOA208" s="128">
        <f>DATA!BOD35</f>
        <v>0</v>
      </c>
      <c r="BOB208" s="128">
        <f>DATA!BOE35</f>
        <v>0</v>
      </c>
      <c r="BOC208" s="128">
        <f>DATA!BOF35</f>
        <v>0</v>
      </c>
      <c r="BOD208" s="128">
        <f>DATA!BOG35</f>
        <v>0</v>
      </c>
      <c r="BOE208" s="128">
        <f>DATA!BOH35</f>
        <v>0</v>
      </c>
      <c r="BOF208" s="128">
        <f>DATA!BOI35</f>
        <v>0</v>
      </c>
      <c r="BOG208" s="128">
        <f>DATA!BOJ35</f>
        <v>0</v>
      </c>
      <c r="BOH208" s="128">
        <f>DATA!BOK35</f>
        <v>0</v>
      </c>
      <c r="BOI208" s="128">
        <f>DATA!BOL35</f>
        <v>0</v>
      </c>
      <c r="BOJ208" s="128">
        <f>DATA!BOM35</f>
        <v>0</v>
      </c>
      <c r="BOK208" s="128">
        <f>DATA!BON35</f>
        <v>0</v>
      </c>
      <c r="BOL208" s="128">
        <f>DATA!BOO35</f>
        <v>0</v>
      </c>
      <c r="BOM208" s="128">
        <f>DATA!BOP35</f>
        <v>0</v>
      </c>
      <c r="BON208" s="128">
        <f>DATA!BOQ35</f>
        <v>0</v>
      </c>
      <c r="BOO208" s="128">
        <f>DATA!BOR35</f>
        <v>0</v>
      </c>
      <c r="BOP208" s="128">
        <f>DATA!BOS35</f>
        <v>0</v>
      </c>
      <c r="BOQ208" s="128">
        <f>DATA!BOT35</f>
        <v>0</v>
      </c>
      <c r="BOR208" s="128">
        <f>DATA!BOU35</f>
        <v>0</v>
      </c>
      <c r="BOS208" s="128">
        <f>DATA!BOV35</f>
        <v>0</v>
      </c>
      <c r="BOT208" s="128">
        <f>DATA!BOW35</f>
        <v>0</v>
      </c>
      <c r="BOU208" s="128">
        <f>DATA!BOX35</f>
        <v>0</v>
      </c>
      <c r="BOV208" s="128">
        <f>DATA!BOY35</f>
        <v>0</v>
      </c>
      <c r="BOW208" s="128">
        <f>DATA!BOZ35</f>
        <v>0</v>
      </c>
      <c r="BOX208" s="128">
        <f>DATA!BPA35</f>
        <v>0</v>
      </c>
      <c r="BOY208" s="128">
        <f>DATA!BPB35</f>
        <v>0</v>
      </c>
      <c r="BOZ208" s="128">
        <f>DATA!BPC35</f>
        <v>0</v>
      </c>
      <c r="BPA208" s="128">
        <f>DATA!BPD35</f>
        <v>0</v>
      </c>
      <c r="BPB208" s="128">
        <f>DATA!BPE35</f>
        <v>0</v>
      </c>
      <c r="BPC208" s="128">
        <f>DATA!BPF35</f>
        <v>0</v>
      </c>
      <c r="BPD208" s="128">
        <f>DATA!BPG35</f>
        <v>0</v>
      </c>
      <c r="BPE208" s="128">
        <f>DATA!BPH35</f>
        <v>0</v>
      </c>
      <c r="BPF208" s="128">
        <f>DATA!BPI35</f>
        <v>0</v>
      </c>
      <c r="BPG208" s="128">
        <f>DATA!BPJ35</f>
        <v>0</v>
      </c>
      <c r="BPH208" s="128">
        <f>DATA!BPK35</f>
        <v>0</v>
      </c>
      <c r="BPI208" s="128">
        <f>DATA!BPL35</f>
        <v>0</v>
      </c>
      <c r="BPJ208" s="128">
        <f>DATA!BPM35</f>
        <v>0</v>
      </c>
      <c r="BPK208" s="128">
        <f>DATA!BPN35</f>
        <v>0</v>
      </c>
      <c r="BPL208" s="128">
        <f>DATA!BPO35</f>
        <v>0</v>
      </c>
      <c r="BPM208" s="128">
        <f>DATA!BPP35</f>
        <v>0</v>
      </c>
      <c r="BPN208" s="128">
        <f>DATA!BPQ35</f>
        <v>0</v>
      </c>
      <c r="BPO208" s="128">
        <f>DATA!BPR35</f>
        <v>0</v>
      </c>
      <c r="BPP208" s="128">
        <f>DATA!BPS35</f>
        <v>0</v>
      </c>
      <c r="BPQ208" s="128">
        <f>DATA!BPT35</f>
        <v>0</v>
      </c>
      <c r="BPR208" s="128">
        <f>DATA!BPU35</f>
        <v>0</v>
      </c>
      <c r="BPS208" s="128">
        <f>DATA!BPV35</f>
        <v>0</v>
      </c>
      <c r="BPT208" s="128">
        <f>DATA!BPW35</f>
        <v>0</v>
      </c>
      <c r="BPU208" s="128">
        <f>DATA!BPX35</f>
        <v>0</v>
      </c>
      <c r="BPV208" s="128">
        <f>DATA!BPY35</f>
        <v>0</v>
      </c>
      <c r="BPW208" s="128">
        <f>DATA!BPZ35</f>
        <v>0</v>
      </c>
      <c r="BPX208" s="128">
        <f>DATA!BQA35</f>
        <v>0</v>
      </c>
      <c r="BPY208" s="128">
        <f>DATA!BQB35</f>
        <v>0</v>
      </c>
      <c r="BPZ208" s="128">
        <f>DATA!BQC35</f>
        <v>0</v>
      </c>
      <c r="BQA208" s="128">
        <f>DATA!BQD35</f>
        <v>0</v>
      </c>
      <c r="BQB208" s="128">
        <f>DATA!BQE35</f>
        <v>0</v>
      </c>
      <c r="BQC208" s="128">
        <f>DATA!BQF35</f>
        <v>0</v>
      </c>
      <c r="BQD208" s="128">
        <f>DATA!BQG35</f>
        <v>0</v>
      </c>
      <c r="BQE208" s="128">
        <f>DATA!BQH35</f>
        <v>0</v>
      </c>
      <c r="BQF208" s="128">
        <f>DATA!BQI35</f>
        <v>0</v>
      </c>
      <c r="BQG208" s="128">
        <f>DATA!BQJ35</f>
        <v>0</v>
      </c>
      <c r="BQH208" s="128">
        <f>DATA!BQK35</f>
        <v>0</v>
      </c>
      <c r="BQI208" s="128">
        <f>DATA!BQL35</f>
        <v>0</v>
      </c>
      <c r="BQJ208" s="128">
        <f>DATA!BQM35</f>
        <v>0</v>
      </c>
      <c r="BQK208" s="128">
        <f>DATA!BQN35</f>
        <v>0</v>
      </c>
      <c r="BQL208" s="128">
        <f>DATA!BQO35</f>
        <v>0</v>
      </c>
      <c r="BQM208" s="128">
        <f>DATA!BQP35</f>
        <v>0</v>
      </c>
      <c r="BQN208" s="128">
        <f>DATA!BQQ35</f>
        <v>0</v>
      </c>
      <c r="BQO208" s="128">
        <f>DATA!BQR35</f>
        <v>0</v>
      </c>
      <c r="BQP208" s="128">
        <f>DATA!BQS35</f>
        <v>0</v>
      </c>
      <c r="BQQ208" s="128">
        <f>DATA!BQT35</f>
        <v>0</v>
      </c>
      <c r="BQR208" s="128">
        <f>DATA!BQU35</f>
        <v>0</v>
      </c>
      <c r="BQS208" s="128">
        <f>DATA!BQV35</f>
        <v>0</v>
      </c>
      <c r="BQT208" s="128">
        <f>DATA!BQW35</f>
        <v>0</v>
      </c>
      <c r="BQU208" s="128">
        <f>DATA!BQX35</f>
        <v>0</v>
      </c>
      <c r="BQV208" s="128">
        <f>DATA!BQY35</f>
        <v>0</v>
      </c>
      <c r="BQW208" s="128">
        <f>DATA!BQZ35</f>
        <v>0</v>
      </c>
      <c r="BQX208" s="128">
        <f>DATA!BRA35</f>
        <v>0</v>
      </c>
      <c r="BQY208" s="128">
        <f>DATA!BRB35</f>
        <v>0</v>
      </c>
      <c r="BQZ208" s="128">
        <f>DATA!BRC35</f>
        <v>0</v>
      </c>
      <c r="BRA208" s="128">
        <f>DATA!BRD35</f>
        <v>0</v>
      </c>
      <c r="BRB208" s="128">
        <f>DATA!BRE35</f>
        <v>0</v>
      </c>
      <c r="BRC208" s="128">
        <f>DATA!BRF35</f>
        <v>0</v>
      </c>
      <c r="BRD208" s="128">
        <f>DATA!BRG35</f>
        <v>0</v>
      </c>
      <c r="BRE208" s="128">
        <f>DATA!BRH35</f>
        <v>0</v>
      </c>
      <c r="BRF208" s="128">
        <f>DATA!BRI35</f>
        <v>0</v>
      </c>
      <c r="BRG208" s="128">
        <f>DATA!BRJ35</f>
        <v>0</v>
      </c>
      <c r="BRH208" s="128">
        <f>DATA!BRK35</f>
        <v>0</v>
      </c>
      <c r="BRI208" s="128">
        <f>DATA!BRL35</f>
        <v>0</v>
      </c>
      <c r="BRJ208" s="128">
        <f>DATA!BRM35</f>
        <v>0</v>
      </c>
      <c r="BRK208" s="128">
        <f>DATA!BRN35</f>
        <v>0</v>
      </c>
      <c r="BRL208" s="128">
        <f>DATA!BRO35</f>
        <v>0</v>
      </c>
      <c r="BRM208" s="128">
        <f>DATA!BRP35</f>
        <v>0</v>
      </c>
      <c r="BRN208" s="128">
        <f>DATA!BRQ35</f>
        <v>0</v>
      </c>
      <c r="BRO208" s="128">
        <f>DATA!BRR35</f>
        <v>0</v>
      </c>
      <c r="BRP208" s="128">
        <f>DATA!BRS35</f>
        <v>0</v>
      </c>
      <c r="BRQ208" s="128">
        <f>DATA!BRT35</f>
        <v>0</v>
      </c>
      <c r="BRR208" s="128">
        <f>DATA!BRU35</f>
        <v>0</v>
      </c>
      <c r="BRS208" s="128">
        <f>DATA!BRV35</f>
        <v>0</v>
      </c>
      <c r="BRT208" s="128">
        <f>DATA!BRW35</f>
        <v>0</v>
      </c>
      <c r="BRU208" s="128">
        <f>DATA!BRX35</f>
        <v>0</v>
      </c>
      <c r="BRV208" s="128">
        <f>DATA!BRY35</f>
        <v>0</v>
      </c>
      <c r="BRW208" s="128">
        <f>DATA!BRZ35</f>
        <v>0</v>
      </c>
      <c r="BRX208" s="128">
        <f>DATA!BSA35</f>
        <v>0</v>
      </c>
      <c r="BRY208" s="128">
        <f>DATA!BSB35</f>
        <v>0</v>
      </c>
      <c r="BRZ208" s="128">
        <f>DATA!BSC35</f>
        <v>0</v>
      </c>
      <c r="BSA208" s="128">
        <f>DATA!BSD35</f>
        <v>0</v>
      </c>
      <c r="BSB208" s="128">
        <f>DATA!BSE35</f>
        <v>0</v>
      </c>
      <c r="BSC208" s="128">
        <f>DATA!BSF35</f>
        <v>0</v>
      </c>
      <c r="BSD208" s="128">
        <f>DATA!BSG35</f>
        <v>0</v>
      </c>
      <c r="BSE208" s="128">
        <f>DATA!BSH35</f>
        <v>0</v>
      </c>
      <c r="BSF208" s="128">
        <f>DATA!BSI35</f>
        <v>0</v>
      </c>
      <c r="BSG208" s="128">
        <f>DATA!BSJ35</f>
        <v>0</v>
      </c>
      <c r="BSH208" s="128">
        <f>DATA!BSK35</f>
        <v>0</v>
      </c>
      <c r="BSI208" s="128">
        <f>DATA!BSL35</f>
        <v>0</v>
      </c>
      <c r="BSJ208" s="128">
        <f>DATA!BSM35</f>
        <v>0</v>
      </c>
      <c r="BSK208" s="128">
        <f>DATA!BSN35</f>
        <v>0</v>
      </c>
      <c r="BSL208" s="128">
        <f>DATA!BSO35</f>
        <v>0</v>
      </c>
      <c r="BSM208" s="128">
        <f>DATA!BSP35</f>
        <v>0</v>
      </c>
      <c r="BSN208" s="128">
        <f>DATA!BSQ35</f>
        <v>0</v>
      </c>
      <c r="BSO208" s="128">
        <f>DATA!BSR35</f>
        <v>0</v>
      </c>
      <c r="BSP208" s="128">
        <f>DATA!BSS35</f>
        <v>0</v>
      </c>
      <c r="BSQ208" s="128">
        <f>DATA!BST35</f>
        <v>0</v>
      </c>
      <c r="BSR208" s="128">
        <f>DATA!BSU35</f>
        <v>0</v>
      </c>
      <c r="BSS208" s="128">
        <f>DATA!BSV35</f>
        <v>0</v>
      </c>
      <c r="BST208" s="128">
        <f>DATA!BSW35</f>
        <v>0</v>
      </c>
      <c r="BSU208" s="128">
        <f>DATA!BSX35</f>
        <v>0</v>
      </c>
      <c r="BSV208" s="128">
        <f>DATA!BSY35</f>
        <v>0</v>
      </c>
      <c r="BSW208" s="128">
        <f>DATA!BSZ35</f>
        <v>0</v>
      </c>
      <c r="BSX208" s="128">
        <f>DATA!BTA35</f>
        <v>0</v>
      </c>
      <c r="BSY208" s="128">
        <f>DATA!BTB35</f>
        <v>0</v>
      </c>
      <c r="BSZ208" s="128">
        <f>DATA!BTC35</f>
        <v>0</v>
      </c>
      <c r="BTA208" s="128">
        <f>DATA!BTD35</f>
        <v>0</v>
      </c>
      <c r="BTB208" s="128">
        <f>DATA!BTE35</f>
        <v>0</v>
      </c>
      <c r="BTC208" s="128">
        <f>DATA!BTF35</f>
        <v>0</v>
      </c>
      <c r="BTD208" s="128">
        <f>DATA!BTG35</f>
        <v>0</v>
      </c>
      <c r="BTE208" s="128">
        <f>DATA!BTH35</f>
        <v>0</v>
      </c>
      <c r="BTF208" s="128">
        <f>DATA!BTI35</f>
        <v>0</v>
      </c>
      <c r="BTG208" s="128">
        <f>DATA!BTJ35</f>
        <v>0</v>
      </c>
      <c r="BTH208" s="128">
        <f>DATA!BTK35</f>
        <v>0</v>
      </c>
      <c r="BTI208" s="128">
        <f>DATA!BTL35</f>
        <v>0</v>
      </c>
      <c r="BTJ208" s="128">
        <f>DATA!BTM35</f>
        <v>0</v>
      </c>
      <c r="BTK208" s="128">
        <f>DATA!BTN35</f>
        <v>0</v>
      </c>
      <c r="BTL208" s="128">
        <f>DATA!BTO35</f>
        <v>0</v>
      </c>
      <c r="BTM208" s="128">
        <f>DATA!BTP35</f>
        <v>0</v>
      </c>
      <c r="BTN208" s="128">
        <f>DATA!BTQ35</f>
        <v>0</v>
      </c>
      <c r="BTO208" s="128">
        <f>DATA!BTR35</f>
        <v>0</v>
      </c>
      <c r="BTP208" s="128">
        <f>DATA!BTS35</f>
        <v>0</v>
      </c>
      <c r="BTQ208" s="128">
        <f>DATA!BTT35</f>
        <v>0</v>
      </c>
      <c r="BTR208" s="128">
        <f>DATA!BTU35</f>
        <v>0</v>
      </c>
      <c r="BTS208" s="128">
        <f>DATA!BTV35</f>
        <v>0</v>
      </c>
      <c r="BTT208" s="128">
        <f>DATA!BTW35</f>
        <v>0</v>
      </c>
      <c r="BTU208" s="128">
        <f>DATA!BTX35</f>
        <v>0</v>
      </c>
      <c r="BTV208" s="128">
        <f>DATA!BTY35</f>
        <v>0</v>
      </c>
      <c r="BTW208" s="128">
        <f>DATA!BTZ35</f>
        <v>0</v>
      </c>
      <c r="BTX208" s="128">
        <f>DATA!BUA35</f>
        <v>0</v>
      </c>
      <c r="BTY208" s="128">
        <f>DATA!BUB35</f>
        <v>0</v>
      </c>
      <c r="BTZ208" s="128">
        <f>DATA!BUC35</f>
        <v>0</v>
      </c>
      <c r="BUA208" s="128">
        <f>DATA!BUD35</f>
        <v>0</v>
      </c>
      <c r="BUB208" s="128">
        <f>DATA!BUE35</f>
        <v>0</v>
      </c>
      <c r="BUC208" s="128">
        <f>DATA!BUF35</f>
        <v>0</v>
      </c>
      <c r="BUD208" s="128">
        <f>DATA!BUG35</f>
        <v>0</v>
      </c>
      <c r="BUE208" s="128">
        <f>DATA!BUH35</f>
        <v>0</v>
      </c>
      <c r="BUF208" s="128">
        <f>DATA!BUI35</f>
        <v>0</v>
      </c>
      <c r="BUG208" s="128">
        <f>DATA!BUJ35</f>
        <v>0</v>
      </c>
      <c r="BUH208" s="128">
        <f>DATA!BUK35</f>
        <v>0</v>
      </c>
      <c r="BUI208" s="128">
        <f>DATA!BUL35</f>
        <v>0</v>
      </c>
      <c r="BUJ208" s="128">
        <f>DATA!BUM35</f>
        <v>0</v>
      </c>
      <c r="BUK208" s="128">
        <f>DATA!BUN35</f>
        <v>0</v>
      </c>
      <c r="BUL208" s="128">
        <f>DATA!BUO35</f>
        <v>0</v>
      </c>
      <c r="BUM208" s="128">
        <f>DATA!BUP35</f>
        <v>0</v>
      </c>
      <c r="BUN208" s="128">
        <f>DATA!BUQ35</f>
        <v>0</v>
      </c>
      <c r="BUO208" s="128">
        <f>DATA!BUR35</f>
        <v>0</v>
      </c>
      <c r="BUP208" s="128">
        <f>DATA!BUS35</f>
        <v>0</v>
      </c>
      <c r="BUQ208" s="128">
        <f>DATA!BUT35</f>
        <v>0</v>
      </c>
      <c r="BUR208" s="128">
        <f>DATA!BUU35</f>
        <v>0</v>
      </c>
      <c r="BUS208" s="128">
        <f>DATA!BUV35</f>
        <v>0</v>
      </c>
      <c r="BUT208" s="128">
        <f>DATA!BUW35</f>
        <v>0</v>
      </c>
      <c r="BUU208" s="128">
        <f>DATA!BUX35</f>
        <v>0</v>
      </c>
      <c r="BUV208" s="128">
        <f>DATA!BUY35</f>
        <v>0</v>
      </c>
      <c r="BUW208" s="128">
        <f>DATA!BUZ35</f>
        <v>0</v>
      </c>
      <c r="BUX208" s="128">
        <f>DATA!BVA35</f>
        <v>0</v>
      </c>
      <c r="BUY208" s="128">
        <f>DATA!BVB35</f>
        <v>0</v>
      </c>
      <c r="BUZ208" s="128">
        <f>DATA!BVC35</f>
        <v>0</v>
      </c>
      <c r="BVA208" s="128">
        <f>DATA!BVD35</f>
        <v>0</v>
      </c>
      <c r="BVB208" s="128">
        <f>DATA!BVE35</f>
        <v>0</v>
      </c>
      <c r="BVC208" s="128">
        <f>DATA!BVF35</f>
        <v>0</v>
      </c>
      <c r="BVD208" s="128">
        <f>DATA!BVG35</f>
        <v>0</v>
      </c>
      <c r="BVE208" s="128">
        <f>DATA!BVH35</f>
        <v>0</v>
      </c>
      <c r="BVF208" s="128">
        <f>DATA!BVI35</f>
        <v>0</v>
      </c>
      <c r="BVG208" s="128">
        <f>DATA!BVJ35</f>
        <v>0</v>
      </c>
      <c r="BVH208" s="128">
        <f>DATA!BVK35</f>
        <v>0</v>
      </c>
      <c r="BVI208" s="128">
        <f>DATA!BVL35</f>
        <v>0</v>
      </c>
      <c r="BVJ208" s="128">
        <f>DATA!BVM35</f>
        <v>0</v>
      </c>
      <c r="BVK208" s="128">
        <f>DATA!BVN35</f>
        <v>0</v>
      </c>
      <c r="BVL208" s="128">
        <f>DATA!BVO35</f>
        <v>0</v>
      </c>
      <c r="BVM208" s="128">
        <f>DATA!BVP35</f>
        <v>0</v>
      </c>
      <c r="BVN208" s="128">
        <f>DATA!BVQ35</f>
        <v>0</v>
      </c>
      <c r="BVO208" s="128">
        <f>DATA!BVR35</f>
        <v>0</v>
      </c>
      <c r="BVP208" s="128">
        <f>DATA!BVS35</f>
        <v>0</v>
      </c>
      <c r="BVQ208" s="128">
        <f>DATA!BVT35</f>
        <v>0</v>
      </c>
      <c r="BVR208" s="128">
        <f>DATA!BVU35</f>
        <v>0</v>
      </c>
      <c r="BVS208" s="128">
        <f>DATA!BVV35</f>
        <v>0</v>
      </c>
      <c r="BVT208" s="128">
        <f>DATA!BVW35</f>
        <v>0</v>
      </c>
      <c r="BVU208" s="128">
        <f>DATA!BVX35</f>
        <v>0</v>
      </c>
      <c r="BVV208" s="128">
        <f>DATA!BVY35</f>
        <v>0</v>
      </c>
      <c r="BVW208" s="128">
        <f>DATA!BVZ35</f>
        <v>0</v>
      </c>
      <c r="BVX208" s="128">
        <f>DATA!BWA35</f>
        <v>0</v>
      </c>
      <c r="BVY208" s="128">
        <f>DATA!BWB35</f>
        <v>0</v>
      </c>
      <c r="BVZ208" s="128">
        <f>DATA!BWC35</f>
        <v>0</v>
      </c>
      <c r="BWA208" s="128">
        <f>DATA!BWD35</f>
        <v>0</v>
      </c>
      <c r="BWB208" s="128">
        <f>DATA!BWE35</f>
        <v>0</v>
      </c>
      <c r="BWC208" s="128">
        <f>DATA!BWF35</f>
        <v>0</v>
      </c>
      <c r="BWD208" s="128">
        <f>DATA!BWG35</f>
        <v>0</v>
      </c>
      <c r="BWE208" s="128">
        <f>DATA!BWH35</f>
        <v>0</v>
      </c>
      <c r="BWF208" s="128">
        <f>DATA!BWI35</f>
        <v>0</v>
      </c>
      <c r="BWG208" s="128">
        <f>DATA!BWJ35</f>
        <v>0</v>
      </c>
      <c r="BWH208" s="128">
        <f>DATA!BWK35</f>
        <v>0</v>
      </c>
      <c r="BWI208" s="128">
        <f>DATA!BWL35</f>
        <v>0</v>
      </c>
      <c r="BWJ208" s="128">
        <f>DATA!BWM35</f>
        <v>0</v>
      </c>
      <c r="BWK208" s="128">
        <f>DATA!BWN35</f>
        <v>0</v>
      </c>
      <c r="BWL208" s="128">
        <f>DATA!BWO35</f>
        <v>0</v>
      </c>
      <c r="BWM208" s="128">
        <f>DATA!BWP35</f>
        <v>0</v>
      </c>
      <c r="BWN208" s="128">
        <f>DATA!BWQ35</f>
        <v>0</v>
      </c>
      <c r="BWO208" s="128">
        <f>DATA!BWR35</f>
        <v>0</v>
      </c>
      <c r="BWP208" s="128">
        <f>DATA!BWS35</f>
        <v>0</v>
      </c>
      <c r="BWQ208" s="128">
        <f>DATA!BWT35</f>
        <v>0</v>
      </c>
      <c r="BWR208" s="128">
        <f>DATA!BWU35</f>
        <v>0</v>
      </c>
      <c r="BWS208" s="128">
        <f>DATA!BWV35</f>
        <v>0</v>
      </c>
      <c r="BWT208" s="128">
        <f>DATA!BWW35</f>
        <v>0</v>
      </c>
      <c r="BWU208" s="128">
        <f>DATA!BWX35</f>
        <v>0</v>
      </c>
      <c r="BWV208" s="128">
        <f>DATA!BWY35</f>
        <v>0</v>
      </c>
      <c r="BWW208" s="128">
        <f>DATA!BWZ35</f>
        <v>0</v>
      </c>
      <c r="BWX208" s="128">
        <f>DATA!BXA35</f>
        <v>0</v>
      </c>
      <c r="BWY208" s="128">
        <f>DATA!BXB35</f>
        <v>0</v>
      </c>
      <c r="BWZ208" s="128">
        <f>DATA!BXC35</f>
        <v>0</v>
      </c>
      <c r="BXA208" s="128">
        <f>DATA!BXD35</f>
        <v>0</v>
      </c>
      <c r="BXB208" s="128">
        <f>DATA!BXE35</f>
        <v>0</v>
      </c>
      <c r="BXC208" s="128">
        <f>DATA!BXF35</f>
        <v>0</v>
      </c>
      <c r="BXD208" s="128">
        <f>DATA!BXG35</f>
        <v>0</v>
      </c>
      <c r="BXE208" s="128">
        <f>DATA!BXH35</f>
        <v>0</v>
      </c>
      <c r="BXF208" s="128">
        <f>DATA!BXI35</f>
        <v>0</v>
      </c>
      <c r="BXG208" s="128">
        <f>DATA!BXJ35</f>
        <v>0</v>
      </c>
      <c r="BXH208" s="128">
        <f>DATA!BXK35</f>
        <v>0</v>
      </c>
      <c r="BXI208" s="128">
        <f>DATA!BXL35</f>
        <v>0</v>
      </c>
      <c r="BXJ208" s="128">
        <f>DATA!BXM35</f>
        <v>0</v>
      </c>
      <c r="BXK208" s="128">
        <f>DATA!BXN35</f>
        <v>0</v>
      </c>
      <c r="BXL208" s="128">
        <f>DATA!BXO35</f>
        <v>0</v>
      </c>
      <c r="BXM208" s="128">
        <f>DATA!BXP35</f>
        <v>0</v>
      </c>
      <c r="BXN208" s="128">
        <f>DATA!BXQ35</f>
        <v>0</v>
      </c>
      <c r="BXO208" s="128">
        <f>DATA!BXR35</f>
        <v>0</v>
      </c>
      <c r="BXP208" s="128">
        <f>DATA!BXS35</f>
        <v>0</v>
      </c>
      <c r="BXQ208" s="128">
        <f>DATA!BXT35</f>
        <v>0</v>
      </c>
      <c r="BXR208" s="128">
        <f>DATA!BXU35</f>
        <v>0</v>
      </c>
      <c r="BXS208" s="128">
        <f>DATA!BXV35</f>
        <v>0</v>
      </c>
      <c r="BXT208" s="128">
        <f>DATA!BXW35</f>
        <v>0</v>
      </c>
      <c r="BXU208" s="128">
        <f>DATA!BXX35</f>
        <v>0</v>
      </c>
      <c r="BXV208" s="128">
        <f>DATA!BXY35</f>
        <v>0</v>
      </c>
      <c r="BXW208" s="128">
        <f>DATA!BXZ35</f>
        <v>0</v>
      </c>
      <c r="BXX208" s="128">
        <f>DATA!BYA35</f>
        <v>0</v>
      </c>
      <c r="BXY208" s="128">
        <f>DATA!BYB35</f>
        <v>0</v>
      </c>
      <c r="BXZ208" s="128">
        <f>DATA!BYC35</f>
        <v>0</v>
      </c>
      <c r="BYA208" s="128">
        <f>DATA!BYD35</f>
        <v>0</v>
      </c>
      <c r="BYB208" s="128">
        <f>DATA!BYE35</f>
        <v>0</v>
      </c>
      <c r="BYC208" s="128">
        <f>DATA!BYF35</f>
        <v>0</v>
      </c>
      <c r="BYD208" s="128">
        <f>DATA!BYG35</f>
        <v>0</v>
      </c>
      <c r="BYE208" s="128">
        <f>DATA!BYH35</f>
        <v>0</v>
      </c>
      <c r="BYF208" s="128">
        <f>DATA!BYI35</f>
        <v>0</v>
      </c>
      <c r="BYG208" s="128">
        <f>DATA!BYJ35</f>
        <v>0</v>
      </c>
      <c r="BYH208" s="128">
        <f>DATA!BYK35</f>
        <v>0</v>
      </c>
      <c r="BYI208" s="128">
        <f>DATA!BYL35</f>
        <v>0</v>
      </c>
      <c r="BYJ208" s="128">
        <f>DATA!BYM35</f>
        <v>0</v>
      </c>
      <c r="BYK208" s="128">
        <f>DATA!BYN35</f>
        <v>0</v>
      </c>
      <c r="BYL208" s="128">
        <f>DATA!BYO35</f>
        <v>0</v>
      </c>
      <c r="BYM208" s="128">
        <f>DATA!BYP35</f>
        <v>0</v>
      </c>
      <c r="BYN208" s="128">
        <f>DATA!BYQ35</f>
        <v>0</v>
      </c>
      <c r="BYO208" s="128">
        <f>DATA!BYR35</f>
        <v>0</v>
      </c>
      <c r="BYP208" s="128">
        <f>DATA!BYS35</f>
        <v>0</v>
      </c>
      <c r="BYQ208" s="128">
        <f>DATA!BYT35</f>
        <v>0</v>
      </c>
      <c r="BYR208" s="128">
        <f>DATA!BYU35</f>
        <v>0</v>
      </c>
      <c r="BYS208" s="128">
        <f>DATA!BYV35</f>
        <v>0</v>
      </c>
      <c r="BYT208" s="128">
        <f>DATA!BYW35</f>
        <v>0</v>
      </c>
      <c r="BYU208" s="128">
        <f>DATA!BYX35</f>
        <v>0</v>
      </c>
      <c r="BYV208" s="128">
        <f>DATA!BYY35</f>
        <v>0</v>
      </c>
      <c r="BYW208" s="128">
        <f>DATA!BYZ35</f>
        <v>0</v>
      </c>
      <c r="BYX208" s="128">
        <f>DATA!BZA35</f>
        <v>0</v>
      </c>
      <c r="BYY208" s="128">
        <f>DATA!BZB35</f>
        <v>0</v>
      </c>
      <c r="BYZ208" s="128">
        <f>DATA!BZC35</f>
        <v>0</v>
      </c>
      <c r="BZA208" s="128">
        <f>DATA!BZD35</f>
        <v>0</v>
      </c>
      <c r="BZB208" s="128">
        <f>DATA!BZE35</f>
        <v>0</v>
      </c>
      <c r="BZC208" s="128">
        <f>DATA!BZF35</f>
        <v>0</v>
      </c>
      <c r="BZD208" s="128">
        <f>DATA!BZG35</f>
        <v>0</v>
      </c>
      <c r="BZE208" s="128">
        <f>DATA!BZH35</f>
        <v>0</v>
      </c>
      <c r="BZF208" s="128">
        <f>DATA!BZI35</f>
        <v>0</v>
      </c>
      <c r="BZG208" s="128">
        <f>DATA!BZJ35</f>
        <v>0</v>
      </c>
      <c r="BZH208" s="128">
        <f>DATA!BZK35</f>
        <v>0</v>
      </c>
      <c r="BZI208" s="128">
        <f>DATA!BZL35</f>
        <v>0</v>
      </c>
      <c r="BZJ208" s="128">
        <f>DATA!BZM35</f>
        <v>0</v>
      </c>
      <c r="BZK208" s="128">
        <f>DATA!BZN35</f>
        <v>0</v>
      </c>
      <c r="BZL208" s="128">
        <f>DATA!BZO35</f>
        <v>0</v>
      </c>
      <c r="BZM208" s="128">
        <f>DATA!BZP35</f>
        <v>0</v>
      </c>
      <c r="BZN208" s="128">
        <f>DATA!BZQ35</f>
        <v>0</v>
      </c>
      <c r="BZO208" s="128">
        <f>DATA!BZR35</f>
        <v>0</v>
      </c>
      <c r="BZP208" s="128">
        <f>DATA!BZS35</f>
        <v>0</v>
      </c>
      <c r="BZQ208" s="128">
        <f>DATA!BZT35</f>
        <v>0</v>
      </c>
      <c r="BZR208" s="128">
        <f>DATA!BZU35</f>
        <v>0</v>
      </c>
      <c r="BZS208" s="128">
        <f>DATA!BZV35</f>
        <v>0</v>
      </c>
      <c r="BZT208" s="128">
        <f>DATA!BZW35</f>
        <v>0</v>
      </c>
      <c r="BZU208" s="128">
        <f>DATA!BZX35</f>
        <v>0</v>
      </c>
      <c r="BZV208" s="128">
        <f>DATA!BZY35</f>
        <v>0</v>
      </c>
      <c r="BZW208" s="128">
        <f>DATA!BZZ35</f>
        <v>0</v>
      </c>
      <c r="BZX208" s="128">
        <f>DATA!CAA35</f>
        <v>0</v>
      </c>
      <c r="BZY208" s="128">
        <f>DATA!CAB35</f>
        <v>0</v>
      </c>
      <c r="BZZ208" s="128">
        <f>DATA!CAC35</f>
        <v>0</v>
      </c>
      <c r="CAA208" s="128">
        <f>DATA!CAD35</f>
        <v>0</v>
      </c>
      <c r="CAB208" s="128">
        <f>DATA!CAE35</f>
        <v>0</v>
      </c>
      <c r="CAC208" s="128">
        <f>DATA!CAF35</f>
        <v>0</v>
      </c>
      <c r="CAD208" s="128">
        <f>DATA!CAG35</f>
        <v>0</v>
      </c>
      <c r="CAE208" s="128">
        <f>DATA!CAH35</f>
        <v>0</v>
      </c>
      <c r="CAF208" s="128">
        <f>DATA!CAI35</f>
        <v>0</v>
      </c>
      <c r="CAG208" s="128">
        <f>DATA!CAJ35</f>
        <v>0</v>
      </c>
      <c r="CAH208" s="128">
        <f>DATA!CAK35</f>
        <v>0</v>
      </c>
      <c r="CAI208" s="128">
        <f>DATA!CAL35</f>
        <v>0</v>
      </c>
      <c r="CAJ208" s="128">
        <f>DATA!CAM35</f>
        <v>0</v>
      </c>
      <c r="CAK208" s="128">
        <f>DATA!CAN35</f>
        <v>0</v>
      </c>
      <c r="CAL208" s="128">
        <f>DATA!CAO35</f>
        <v>0</v>
      </c>
      <c r="CAM208" s="128">
        <f>DATA!CAP35</f>
        <v>0</v>
      </c>
      <c r="CAN208" s="128">
        <f>DATA!CAQ35</f>
        <v>0</v>
      </c>
      <c r="CAO208" s="128">
        <f>DATA!CAR35</f>
        <v>0</v>
      </c>
      <c r="CAP208" s="128">
        <f>DATA!CAS35</f>
        <v>0</v>
      </c>
      <c r="CAQ208" s="128">
        <f>DATA!CAT35</f>
        <v>0</v>
      </c>
      <c r="CAR208" s="128">
        <f>DATA!CAU35</f>
        <v>0</v>
      </c>
      <c r="CAS208" s="128">
        <f>DATA!CAV35</f>
        <v>0</v>
      </c>
      <c r="CAT208" s="128">
        <f>DATA!CAW35</f>
        <v>0</v>
      </c>
      <c r="CAU208" s="128">
        <f>DATA!CAX35</f>
        <v>0</v>
      </c>
      <c r="CAV208" s="128">
        <f>DATA!CAY35</f>
        <v>0</v>
      </c>
      <c r="CAW208" s="128">
        <f>DATA!CAZ35</f>
        <v>0</v>
      </c>
      <c r="CAX208" s="128">
        <f>DATA!CBA35</f>
        <v>0</v>
      </c>
      <c r="CAY208" s="128">
        <f>DATA!CBB35</f>
        <v>0</v>
      </c>
      <c r="CAZ208" s="128">
        <f>DATA!CBC35</f>
        <v>0</v>
      </c>
      <c r="CBA208" s="128">
        <f>DATA!CBD35</f>
        <v>0</v>
      </c>
      <c r="CBB208" s="128">
        <f>DATA!CBE35</f>
        <v>0</v>
      </c>
      <c r="CBC208" s="128">
        <f>DATA!CBF35</f>
        <v>0</v>
      </c>
      <c r="CBD208" s="128">
        <f>DATA!CBG35</f>
        <v>0</v>
      </c>
      <c r="CBE208" s="128">
        <f>DATA!CBH35</f>
        <v>0</v>
      </c>
      <c r="CBF208" s="128">
        <f>DATA!CBI35</f>
        <v>0</v>
      </c>
      <c r="CBG208" s="128">
        <f>DATA!CBJ35</f>
        <v>0</v>
      </c>
      <c r="CBH208" s="128">
        <f>DATA!CBK35</f>
        <v>0</v>
      </c>
      <c r="CBI208" s="128">
        <f>DATA!CBL35</f>
        <v>0</v>
      </c>
      <c r="CBJ208" s="128">
        <f>DATA!CBM35</f>
        <v>0</v>
      </c>
      <c r="CBK208" s="128">
        <f>DATA!CBN35</f>
        <v>0</v>
      </c>
      <c r="CBL208" s="128">
        <f>DATA!CBO35</f>
        <v>0</v>
      </c>
      <c r="CBM208" s="128">
        <f>DATA!CBP35</f>
        <v>0</v>
      </c>
      <c r="CBN208" s="128">
        <f>DATA!CBQ35</f>
        <v>0</v>
      </c>
      <c r="CBO208" s="128">
        <f>DATA!CBR35</f>
        <v>0</v>
      </c>
      <c r="CBP208" s="128">
        <f>DATA!CBS35</f>
        <v>0</v>
      </c>
      <c r="CBQ208" s="128">
        <f>DATA!CBT35</f>
        <v>0</v>
      </c>
      <c r="CBR208" s="128">
        <f>DATA!CBU35</f>
        <v>0</v>
      </c>
      <c r="CBS208" s="128">
        <f>DATA!CBV35</f>
        <v>0</v>
      </c>
      <c r="CBT208" s="128">
        <f>DATA!CBW35</f>
        <v>0</v>
      </c>
      <c r="CBU208" s="128">
        <f>DATA!CBX35</f>
        <v>0</v>
      </c>
      <c r="CBV208" s="128">
        <f>DATA!CBY35</f>
        <v>0</v>
      </c>
      <c r="CBW208" s="128">
        <f>DATA!CBZ35</f>
        <v>0</v>
      </c>
      <c r="CBX208" s="128">
        <f>DATA!CCA35</f>
        <v>0</v>
      </c>
      <c r="CBY208" s="128">
        <f>DATA!CCB35</f>
        <v>0</v>
      </c>
      <c r="CBZ208" s="128">
        <f>DATA!CCC35</f>
        <v>0</v>
      </c>
      <c r="CCA208" s="128">
        <f>DATA!CCD35</f>
        <v>0</v>
      </c>
      <c r="CCB208" s="128">
        <f>DATA!CCE35</f>
        <v>0</v>
      </c>
      <c r="CCC208" s="128">
        <f>DATA!CCF35</f>
        <v>0</v>
      </c>
      <c r="CCD208" s="128">
        <f>DATA!CCG35</f>
        <v>0</v>
      </c>
      <c r="CCE208" s="128">
        <f>DATA!CCH35</f>
        <v>0</v>
      </c>
      <c r="CCF208" s="128">
        <f>DATA!CCI35</f>
        <v>0</v>
      </c>
      <c r="CCG208" s="128">
        <f>DATA!CCJ35</f>
        <v>0</v>
      </c>
      <c r="CCH208" s="128">
        <f>DATA!CCK35</f>
        <v>0</v>
      </c>
      <c r="CCI208" s="128">
        <f>DATA!CCL35</f>
        <v>0</v>
      </c>
      <c r="CCJ208" s="128">
        <f>DATA!CCM35</f>
        <v>0</v>
      </c>
      <c r="CCK208" s="128">
        <f>DATA!CCN35</f>
        <v>0</v>
      </c>
      <c r="CCL208" s="128">
        <f>DATA!CCO35</f>
        <v>0</v>
      </c>
      <c r="CCM208" s="128">
        <f>DATA!CCP35</f>
        <v>0</v>
      </c>
      <c r="CCN208" s="128">
        <f>DATA!CCQ35</f>
        <v>0</v>
      </c>
      <c r="CCO208" s="128">
        <f>DATA!CCR35</f>
        <v>0</v>
      </c>
      <c r="CCP208" s="128">
        <f>DATA!CCS35</f>
        <v>0</v>
      </c>
      <c r="CCQ208" s="128">
        <f>DATA!CCT35</f>
        <v>0</v>
      </c>
      <c r="CCR208" s="128">
        <f>DATA!CCU35</f>
        <v>0</v>
      </c>
      <c r="CCS208" s="128">
        <f>DATA!CCV35</f>
        <v>0</v>
      </c>
      <c r="CCT208" s="128">
        <f>DATA!CCW35</f>
        <v>0</v>
      </c>
      <c r="CCU208" s="128">
        <f>DATA!CCX35</f>
        <v>0</v>
      </c>
      <c r="CCV208" s="128">
        <f>DATA!CCY35</f>
        <v>0</v>
      </c>
      <c r="CCW208" s="128">
        <f>DATA!CCZ35</f>
        <v>0</v>
      </c>
      <c r="CCX208" s="128">
        <f>DATA!CDA35</f>
        <v>0</v>
      </c>
      <c r="CCY208" s="128">
        <f>DATA!CDB35</f>
        <v>0</v>
      </c>
      <c r="CCZ208" s="128">
        <f>DATA!CDC35</f>
        <v>0</v>
      </c>
      <c r="CDA208" s="128">
        <f>DATA!CDD35</f>
        <v>0</v>
      </c>
      <c r="CDB208" s="128">
        <f>DATA!CDE35</f>
        <v>0</v>
      </c>
      <c r="CDC208" s="128">
        <f>DATA!CDF35</f>
        <v>0</v>
      </c>
      <c r="CDD208" s="128">
        <f>DATA!CDG35</f>
        <v>0</v>
      </c>
      <c r="CDE208" s="128">
        <f>DATA!CDH35</f>
        <v>0</v>
      </c>
      <c r="CDF208" s="128">
        <f>DATA!CDI35</f>
        <v>0</v>
      </c>
      <c r="CDG208" s="128">
        <f>DATA!CDJ35</f>
        <v>0</v>
      </c>
      <c r="CDH208" s="128">
        <f>DATA!CDK35</f>
        <v>0</v>
      </c>
      <c r="CDI208" s="128">
        <f>DATA!CDL35</f>
        <v>0</v>
      </c>
      <c r="CDJ208" s="128">
        <f>DATA!CDM35</f>
        <v>0</v>
      </c>
      <c r="CDK208" s="128">
        <f>DATA!CDN35</f>
        <v>0</v>
      </c>
      <c r="CDL208" s="128">
        <f>DATA!CDO35</f>
        <v>0</v>
      </c>
      <c r="CDM208" s="128">
        <f>DATA!CDP35</f>
        <v>0</v>
      </c>
      <c r="CDN208" s="128">
        <f>DATA!CDQ35</f>
        <v>0</v>
      </c>
      <c r="CDO208" s="128">
        <f>DATA!CDR35</f>
        <v>0</v>
      </c>
      <c r="CDP208" s="128">
        <f>DATA!CDS35</f>
        <v>0</v>
      </c>
      <c r="CDQ208" s="128">
        <f>DATA!CDT35</f>
        <v>0</v>
      </c>
      <c r="CDR208" s="128">
        <f>DATA!CDU35</f>
        <v>0</v>
      </c>
      <c r="CDS208" s="128">
        <f>DATA!CDV35</f>
        <v>0</v>
      </c>
      <c r="CDT208" s="128">
        <f>DATA!CDW35</f>
        <v>0</v>
      </c>
      <c r="CDU208" s="128">
        <f>DATA!CDX35</f>
        <v>0</v>
      </c>
      <c r="CDV208" s="128">
        <f>DATA!CDY35</f>
        <v>0</v>
      </c>
      <c r="CDW208" s="128">
        <f>DATA!CDZ35</f>
        <v>0</v>
      </c>
      <c r="CDX208" s="128">
        <f>DATA!CEA35</f>
        <v>0</v>
      </c>
      <c r="CDY208" s="128">
        <f>DATA!CEB35</f>
        <v>0</v>
      </c>
      <c r="CDZ208" s="128">
        <f>DATA!CEC35</f>
        <v>0</v>
      </c>
      <c r="CEA208" s="128">
        <f>DATA!CED35</f>
        <v>0</v>
      </c>
      <c r="CEB208" s="128">
        <f>DATA!CEE35</f>
        <v>0</v>
      </c>
      <c r="CEC208" s="128">
        <f>DATA!CEF35</f>
        <v>0</v>
      </c>
      <c r="CED208" s="128">
        <f>DATA!CEG35</f>
        <v>0</v>
      </c>
      <c r="CEE208" s="128">
        <f>DATA!CEH35</f>
        <v>0</v>
      </c>
      <c r="CEF208" s="128">
        <f>DATA!CEI35</f>
        <v>0</v>
      </c>
      <c r="CEG208" s="128">
        <f>DATA!CEJ35</f>
        <v>0</v>
      </c>
      <c r="CEH208" s="128">
        <f>DATA!CEK35</f>
        <v>0</v>
      </c>
      <c r="CEI208" s="128">
        <f>DATA!CEL35</f>
        <v>0</v>
      </c>
      <c r="CEJ208" s="128">
        <f>DATA!CEM35</f>
        <v>0</v>
      </c>
      <c r="CEK208" s="128">
        <f>DATA!CEN35</f>
        <v>0</v>
      </c>
      <c r="CEL208" s="128">
        <f>DATA!CEO35</f>
        <v>0</v>
      </c>
      <c r="CEM208" s="128">
        <f>DATA!CEP35</f>
        <v>0</v>
      </c>
      <c r="CEN208" s="128">
        <f>DATA!CEQ35</f>
        <v>0</v>
      </c>
      <c r="CEO208" s="128">
        <f>DATA!CER35</f>
        <v>0</v>
      </c>
      <c r="CEP208" s="128">
        <f>DATA!CES35</f>
        <v>0</v>
      </c>
      <c r="CEQ208" s="128">
        <f>DATA!CET35</f>
        <v>0</v>
      </c>
      <c r="CER208" s="128">
        <f>DATA!CEU35</f>
        <v>0</v>
      </c>
      <c r="CES208" s="128">
        <f>DATA!CEV35</f>
        <v>0</v>
      </c>
      <c r="CET208" s="128">
        <f>DATA!CEW35</f>
        <v>0</v>
      </c>
      <c r="CEU208" s="128">
        <f>DATA!CEX35</f>
        <v>0</v>
      </c>
      <c r="CEV208" s="128">
        <f>DATA!CEY35</f>
        <v>0</v>
      </c>
      <c r="CEW208" s="128">
        <f>DATA!CEZ35</f>
        <v>0</v>
      </c>
      <c r="CEX208" s="128">
        <f>DATA!CFA35</f>
        <v>0</v>
      </c>
      <c r="CEY208" s="128">
        <f>DATA!CFB35</f>
        <v>0</v>
      </c>
      <c r="CEZ208" s="128">
        <f>DATA!CFC35</f>
        <v>0</v>
      </c>
      <c r="CFA208" s="128">
        <f>DATA!CFD35</f>
        <v>0</v>
      </c>
      <c r="CFB208" s="128">
        <f>DATA!CFE35</f>
        <v>0</v>
      </c>
      <c r="CFC208" s="128">
        <f>DATA!CFF35</f>
        <v>0</v>
      </c>
      <c r="CFD208" s="128">
        <f>DATA!CFG35</f>
        <v>0</v>
      </c>
      <c r="CFE208" s="128">
        <f>DATA!CFH35</f>
        <v>0</v>
      </c>
      <c r="CFF208" s="128">
        <f>DATA!CFI35</f>
        <v>0</v>
      </c>
      <c r="CFG208" s="128">
        <f>DATA!CFJ35</f>
        <v>0</v>
      </c>
      <c r="CFH208" s="128">
        <f>DATA!CFK35</f>
        <v>0</v>
      </c>
      <c r="CFI208" s="128">
        <f>DATA!CFL35</f>
        <v>0</v>
      </c>
      <c r="CFJ208" s="128">
        <f>DATA!CFM35</f>
        <v>0</v>
      </c>
      <c r="CFK208" s="128">
        <f>DATA!CFN35</f>
        <v>0</v>
      </c>
      <c r="CFL208" s="128">
        <f>DATA!CFO35</f>
        <v>0</v>
      </c>
      <c r="CFM208" s="128">
        <f>DATA!CFP35</f>
        <v>0</v>
      </c>
      <c r="CFN208" s="128">
        <f>DATA!CFQ35</f>
        <v>0</v>
      </c>
      <c r="CFO208" s="128">
        <f>DATA!CFR35</f>
        <v>0</v>
      </c>
      <c r="CFP208" s="128">
        <f>DATA!CFS35</f>
        <v>0</v>
      </c>
      <c r="CFQ208" s="128">
        <f>DATA!CFT35</f>
        <v>0</v>
      </c>
      <c r="CFR208" s="128">
        <f>DATA!CFU35</f>
        <v>0</v>
      </c>
      <c r="CFS208" s="128">
        <f>DATA!CFV35</f>
        <v>0</v>
      </c>
      <c r="CFT208" s="128">
        <f>DATA!CFW35</f>
        <v>0</v>
      </c>
      <c r="CFU208" s="128">
        <f>DATA!CFX35</f>
        <v>0</v>
      </c>
      <c r="CFV208" s="128">
        <f>DATA!CFY35</f>
        <v>0</v>
      </c>
      <c r="CFW208" s="128">
        <f>DATA!CFZ35</f>
        <v>0</v>
      </c>
      <c r="CFX208" s="128">
        <f>DATA!CGA35</f>
        <v>0</v>
      </c>
      <c r="CFY208" s="128">
        <f>DATA!CGB35</f>
        <v>0</v>
      </c>
      <c r="CFZ208" s="128">
        <f>DATA!CGC35</f>
        <v>0</v>
      </c>
      <c r="CGA208" s="128">
        <f>DATA!CGD35</f>
        <v>0</v>
      </c>
      <c r="CGB208" s="128">
        <f>DATA!CGE35</f>
        <v>0</v>
      </c>
      <c r="CGC208" s="128">
        <f>DATA!CGF35</f>
        <v>0</v>
      </c>
      <c r="CGD208" s="128">
        <f>DATA!CGG35</f>
        <v>0</v>
      </c>
      <c r="CGE208" s="128">
        <f>DATA!CGH35</f>
        <v>0</v>
      </c>
      <c r="CGF208" s="128">
        <f>DATA!CGI35</f>
        <v>0</v>
      </c>
      <c r="CGG208" s="128">
        <f>DATA!CGJ35</f>
        <v>0</v>
      </c>
      <c r="CGH208" s="128">
        <f>DATA!CGK35</f>
        <v>0</v>
      </c>
      <c r="CGI208" s="128">
        <f>DATA!CGL35</f>
        <v>0</v>
      </c>
      <c r="CGJ208" s="128">
        <f>DATA!CGM35</f>
        <v>0</v>
      </c>
      <c r="CGK208" s="128">
        <f>DATA!CGN35</f>
        <v>0</v>
      </c>
      <c r="CGL208" s="128">
        <f>DATA!CGO35</f>
        <v>0</v>
      </c>
      <c r="CGM208" s="128">
        <f>DATA!CGP35</f>
        <v>0</v>
      </c>
      <c r="CGN208" s="128">
        <f>DATA!CGQ35</f>
        <v>0</v>
      </c>
      <c r="CGO208" s="128">
        <f>DATA!CGR35</f>
        <v>0</v>
      </c>
      <c r="CGP208" s="128">
        <f>DATA!CGS35</f>
        <v>0</v>
      </c>
      <c r="CGQ208" s="128">
        <f>DATA!CGT35</f>
        <v>0</v>
      </c>
      <c r="CGR208" s="128">
        <f>DATA!CGU35</f>
        <v>0</v>
      </c>
      <c r="CGS208" s="128">
        <f>DATA!CGV35</f>
        <v>0</v>
      </c>
      <c r="CGT208" s="128">
        <f>DATA!CGW35</f>
        <v>0</v>
      </c>
      <c r="CGU208" s="128">
        <f>DATA!CGX35</f>
        <v>0</v>
      </c>
      <c r="CGV208" s="128">
        <f>DATA!CGY35</f>
        <v>0</v>
      </c>
      <c r="CGW208" s="128">
        <f>DATA!CGZ35</f>
        <v>0</v>
      </c>
      <c r="CGX208" s="128">
        <f>DATA!CHA35</f>
        <v>0</v>
      </c>
      <c r="CGY208" s="128">
        <f>DATA!CHB35</f>
        <v>0</v>
      </c>
      <c r="CGZ208" s="128">
        <f>DATA!CHC35</f>
        <v>0</v>
      </c>
      <c r="CHA208" s="128">
        <f>DATA!CHD35</f>
        <v>0</v>
      </c>
      <c r="CHB208" s="128">
        <f>DATA!CHE35</f>
        <v>0</v>
      </c>
      <c r="CHC208" s="128">
        <f>DATA!CHF35</f>
        <v>0</v>
      </c>
      <c r="CHD208" s="128">
        <f>DATA!CHG35</f>
        <v>0</v>
      </c>
      <c r="CHE208" s="128">
        <f>DATA!CHH35</f>
        <v>0</v>
      </c>
      <c r="CHF208" s="128">
        <f>DATA!CHI35</f>
        <v>0</v>
      </c>
      <c r="CHG208" s="128">
        <f>DATA!CHJ35</f>
        <v>0</v>
      </c>
      <c r="CHH208" s="128">
        <f>DATA!CHK35</f>
        <v>0</v>
      </c>
      <c r="CHI208" s="128">
        <f>DATA!CHL35</f>
        <v>0</v>
      </c>
      <c r="CHJ208" s="128">
        <f>DATA!CHM35</f>
        <v>0</v>
      </c>
      <c r="CHK208" s="128">
        <f>DATA!CHN35</f>
        <v>0</v>
      </c>
      <c r="CHL208" s="128">
        <f>DATA!CHO35</f>
        <v>0</v>
      </c>
      <c r="CHM208" s="128">
        <f>DATA!CHP35</f>
        <v>0</v>
      </c>
      <c r="CHN208" s="128">
        <f>DATA!CHQ35</f>
        <v>0</v>
      </c>
      <c r="CHO208" s="128">
        <f>DATA!CHR35</f>
        <v>0</v>
      </c>
      <c r="CHP208" s="128">
        <f>DATA!CHS35</f>
        <v>0</v>
      </c>
      <c r="CHQ208" s="128">
        <f>DATA!CHT35</f>
        <v>0</v>
      </c>
      <c r="CHR208" s="128">
        <f>DATA!CHU35</f>
        <v>0</v>
      </c>
      <c r="CHS208" s="128">
        <f>DATA!CHV35</f>
        <v>0</v>
      </c>
      <c r="CHT208" s="128">
        <f>DATA!CHW35</f>
        <v>0</v>
      </c>
      <c r="CHU208" s="128">
        <f>DATA!CHX35</f>
        <v>0</v>
      </c>
      <c r="CHV208" s="128">
        <f>DATA!CHY35</f>
        <v>0</v>
      </c>
      <c r="CHW208" s="128">
        <f>DATA!CHZ35</f>
        <v>0</v>
      </c>
      <c r="CHX208" s="128">
        <f>DATA!CIA35</f>
        <v>0</v>
      </c>
      <c r="CHY208" s="128">
        <f>DATA!CIB35</f>
        <v>0</v>
      </c>
      <c r="CHZ208" s="128">
        <f>DATA!CIC35</f>
        <v>0</v>
      </c>
      <c r="CIA208" s="128">
        <f>DATA!CID35</f>
        <v>0</v>
      </c>
      <c r="CIB208" s="128">
        <f>DATA!CIE35</f>
        <v>0</v>
      </c>
      <c r="CIC208" s="128">
        <f>DATA!CIF35</f>
        <v>0</v>
      </c>
      <c r="CID208" s="128">
        <f>DATA!CIG35</f>
        <v>0</v>
      </c>
      <c r="CIE208" s="128">
        <f>DATA!CIH35</f>
        <v>0</v>
      </c>
      <c r="CIF208" s="128">
        <f>DATA!CII35</f>
        <v>0</v>
      </c>
      <c r="CIG208" s="128">
        <f>DATA!CIJ35</f>
        <v>0</v>
      </c>
      <c r="CIH208" s="128">
        <f>DATA!CIK35</f>
        <v>0</v>
      </c>
      <c r="CII208" s="128">
        <f>DATA!CIL35</f>
        <v>0</v>
      </c>
      <c r="CIJ208" s="128">
        <f>DATA!CIM35</f>
        <v>0</v>
      </c>
      <c r="CIK208" s="128">
        <f>DATA!CIN35</f>
        <v>0</v>
      </c>
      <c r="CIL208" s="128">
        <f>DATA!CIO35</f>
        <v>0</v>
      </c>
      <c r="CIM208" s="128">
        <f>DATA!CIP35</f>
        <v>0</v>
      </c>
      <c r="CIN208" s="128">
        <f>DATA!CIQ35</f>
        <v>0</v>
      </c>
      <c r="CIO208" s="128">
        <f>DATA!CIR35</f>
        <v>0</v>
      </c>
      <c r="CIP208" s="128">
        <f>DATA!CIS35</f>
        <v>0</v>
      </c>
      <c r="CIQ208" s="128">
        <f>DATA!CIT35</f>
        <v>0</v>
      </c>
      <c r="CIR208" s="128">
        <f>DATA!CIU35</f>
        <v>0</v>
      </c>
      <c r="CIS208" s="128">
        <f>DATA!CIV35</f>
        <v>0</v>
      </c>
      <c r="CIT208" s="128">
        <f>DATA!CIW35</f>
        <v>0</v>
      </c>
      <c r="CIU208" s="128">
        <f>DATA!CIX35</f>
        <v>0</v>
      </c>
      <c r="CIV208" s="128">
        <f>DATA!CIY35</f>
        <v>0</v>
      </c>
      <c r="CIW208" s="128">
        <f>DATA!CIZ35</f>
        <v>0</v>
      </c>
      <c r="CIX208" s="128">
        <f>DATA!CJA35</f>
        <v>0</v>
      </c>
      <c r="CIY208" s="128">
        <f>DATA!CJB35</f>
        <v>0</v>
      </c>
      <c r="CIZ208" s="128">
        <f>DATA!CJC35</f>
        <v>0</v>
      </c>
      <c r="CJA208" s="128">
        <f>DATA!CJD35</f>
        <v>0</v>
      </c>
      <c r="CJB208" s="128">
        <f>DATA!CJE35</f>
        <v>0</v>
      </c>
      <c r="CJC208" s="128">
        <f>DATA!CJF35</f>
        <v>0</v>
      </c>
      <c r="CJD208" s="128">
        <f>DATA!CJG35</f>
        <v>0</v>
      </c>
      <c r="CJE208" s="128">
        <f>DATA!CJH35</f>
        <v>0</v>
      </c>
      <c r="CJF208" s="128">
        <f>DATA!CJI35</f>
        <v>0</v>
      </c>
      <c r="CJG208" s="128">
        <f>DATA!CJJ35</f>
        <v>0</v>
      </c>
      <c r="CJH208" s="128">
        <f>DATA!CJK35</f>
        <v>0</v>
      </c>
      <c r="CJI208" s="128">
        <f>DATA!CJL35</f>
        <v>0</v>
      </c>
      <c r="CJJ208" s="128">
        <f>DATA!CJM35</f>
        <v>0</v>
      </c>
      <c r="CJK208" s="128">
        <f>DATA!CJN35</f>
        <v>0</v>
      </c>
      <c r="CJL208" s="128">
        <f>DATA!CJO35</f>
        <v>0</v>
      </c>
      <c r="CJM208" s="128">
        <f>DATA!CJP35</f>
        <v>0</v>
      </c>
      <c r="CJN208" s="128">
        <f>DATA!CJQ35</f>
        <v>0</v>
      </c>
      <c r="CJO208" s="128">
        <f>DATA!CJR35</f>
        <v>0</v>
      </c>
      <c r="CJP208" s="128">
        <f>DATA!CJS35</f>
        <v>0</v>
      </c>
      <c r="CJQ208" s="128">
        <f>DATA!CJT35</f>
        <v>0</v>
      </c>
      <c r="CJR208" s="128">
        <f>DATA!CJU35</f>
        <v>0</v>
      </c>
      <c r="CJS208" s="128">
        <f>DATA!CJV35</f>
        <v>0</v>
      </c>
      <c r="CJT208" s="128">
        <f>DATA!CJW35</f>
        <v>0</v>
      </c>
      <c r="CJU208" s="128">
        <f>DATA!CJX35</f>
        <v>0</v>
      </c>
      <c r="CJV208" s="128">
        <f>DATA!CJY35</f>
        <v>0</v>
      </c>
      <c r="CJW208" s="128">
        <f>DATA!CJZ35</f>
        <v>0</v>
      </c>
      <c r="CJX208" s="128">
        <f>DATA!CKA35</f>
        <v>0</v>
      </c>
      <c r="CJY208" s="128">
        <f>DATA!CKB35</f>
        <v>0</v>
      </c>
      <c r="CJZ208" s="128">
        <f>DATA!CKC35</f>
        <v>0</v>
      </c>
      <c r="CKA208" s="128">
        <f>DATA!CKD35</f>
        <v>0</v>
      </c>
      <c r="CKB208" s="128">
        <f>DATA!CKE35</f>
        <v>0</v>
      </c>
      <c r="CKC208" s="128">
        <f>DATA!CKF35</f>
        <v>0</v>
      </c>
      <c r="CKD208" s="128">
        <f>DATA!CKG35</f>
        <v>0</v>
      </c>
      <c r="CKE208" s="128">
        <f>DATA!CKH35</f>
        <v>0</v>
      </c>
      <c r="CKF208" s="128">
        <f>DATA!CKI35</f>
        <v>0</v>
      </c>
      <c r="CKG208" s="128">
        <f>DATA!CKJ35</f>
        <v>0</v>
      </c>
      <c r="CKH208" s="128">
        <f>DATA!CKK35</f>
        <v>0</v>
      </c>
      <c r="CKI208" s="128">
        <f>DATA!CKL35</f>
        <v>0</v>
      </c>
      <c r="CKJ208" s="128">
        <f>DATA!CKM35</f>
        <v>0</v>
      </c>
      <c r="CKK208" s="128">
        <f>DATA!CKN35</f>
        <v>0</v>
      </c>
      <c r="CKL208" s="128">
        <f>DATA!CKO35</f>
        <v>0</v>
      </c>
      <c r="CKM208" s="128">
        <f>DATA!CKP35</f>
        <v>0</v>
      </c>
      <c r="CKN208" s="128">
        <f>DATA!CKQ35</f>
        <v>0</v>
      </c>
      <c r="CKO208" s="128">
        <f>DATA!CKR35</f>
        <v>0</v>
      </c>
      <c r="CKP208" s="128">
        <f>DATA!CKS35</f>
        <v>0</v>
      </c>
      <c r="CKQ208" s="128">
        <f>DATA!CKT35</f>
        <v>0</v>
      </c>
      <c r="CKR208" s="128">
        <f>DATA!CKU35</f>
        <v>0</v>
      </c>
      <c r="CKS208" s="128">
        <f>DATA!CKV35</f>
        <v>0</v>
      </c>
      <c r="CKT208" s="128">
        <f>DATA!CKW35</f>
        <v>0</v>
      </c>
      <c r="CKU208" s="128">
        <f>DATA!CKX35</f>
        <v>0</v>
      </c>
      <c r="CKV208" s="128">
        <f>DATA!CKY35</f>
        <v>0</v>
      </c>
      <c r="CKW208" s="128">
        <f>DATA!CKZ35</f>
        <v>0</v>
      </c>
      <c r="CKX208" s="128">
        <f>DATA!CLA35</f>
        <v>0</v>
      </c>
      <c r="CKY208" s="128">
        <f>DATA!CLB35</f>
        <v>0</v>
      </c>
      <c r="CKZ208" s="128">
        <f>DATA!CLC35</f>
        <v>0</v>
      </c>
      <c r="CLA208" s="128">
        <f>DATA!CLD35</f>
        <v>0</v>
      </c>
      <c r="CLB208" s="128">
        <f>DATA!CLE35</f>
        <v>0</v>
      </c>
      <c r="CLC208" s="128">
        <f>DATA!CLF35</f>
        <v>0</v>
      </c>
      <c r="CLD208" s="128">
        <f>DATA!CLG35</f>
        <v>0</v>
      </c>
      <c r="CLE208" s="128">
        <f>DATA!CLH35</f>
        <v>0</v>
      </c>
      <c r="CLF208" s="128">
        <f>DATA!CLI35</f>
        <v>0</v>
      </c>
      <c r="CLG208" s="128">
        <f>DATA!CLJ35</f>
        <v>0</v>
      </c>
      <c r="CLH208" s="128">
        <f>DATA!CLK35</f>
        <v>0</v>
      </c>
      <c r="CLI208" s="128">
        <f>DATA!CLL35</f>
        <v>0</v>
      </c>
      <c r="CLJ208" s="128">
        <f>DATA!CLM35</f>
        <v>0</v>
      </c>
      <c r="CLK208" s="128">
        <f>DATA!CLN35</f>
        <v>0</v>
      </c>
      <c r="CLL208" s="128">
        <f>DATA!CLO35</f>
        <v>0</v>
      </c>
      <c r="CLM208" s="128">
        <f>DATA!CLP35</f>
        <v>0</v>
      </c>
      <c r="CLN208" s="128">
        <f>DATA!CLQ35</f>
        <v>0</v>
      </c>
      <c r="CLO208" s="128">
        <f>DATA!CLR35</f>
        <v>0</v>
      </c>
      <c r="CLP208" s="128">
        <f>DATA!CLS35</f>
        <v>0</v>
      </c>
      <c r="CLQ208" s="128">
        <f>DATA!CLT35</f>
        <v>0</v>
      </c>
      <c r="CLR208" s="128">
        <f>DATA!CLU35</f>
        <v>0</v>
      </c>
      <c r="CLS208" s="128">
        <f>DATA!CLV35</f>
        <v>0</v>
      </c>
      <c r="CLT208" s="128">
        <f>DATA!CLW35</f>
        <v>0</v>
      </c>
      <c r="CLU208" s="128">
        <f>DATA!CLX35</f>
        <v>0</v>
      </c>
      <c r="CLV208" s="128">
        <f>DATA!CLY35</f>
        <v>0</v>
      </c>
      <c r="CLW208" s="128">
        <f>DATA!CLZ35</f>
        <v>0</v>
      </c>
      <c r="CLX208" s="128">
        <f>DATA!CMA35</f>
        <v>0</v>
      </c>
      <c r="CLY208" s="128">
        <f>DATA!CMB35</f>
        <v>0</v>
      </c>
      <c r="CLZ208" s="128">
        <f>DATA!CMC35</f>
        <v>0</v>
      </c>
      <c r="CMA208" s="128">
        <f>DATA!CMD35</f>
        <v>0</v>
      </c>
      <c r="CMB208" s="128">
        <f>DATA!CME35</f>
        <v>0</v>
      </c>
      <c r="CMC208" s="128">
        <f>DATA!CMF35</f>
        <v>0</v>
      </c>
      <c r="CMD208" s="128">
        <f>DATA!CMG35</f>
        <v>0</v>
      </c>
      <c r="CME208" s="128">
        <f>DATA!CMH35</f>
        <v>0</v>
      </c>
      <c r="CMF208" s="128">
        <f>DATA!CMI35</f>
        <v>0</v>
      </c>
      <c r="CMG208" s="128">
        <f>DATA!CMJ35</f>
        <v>0</v>
      </c>
      <c r="CMH208" s="128">
        <f>DATA!CMK35</f>
        <v>0</v>
      </c>
      <c r="CMI208" s="128">
        <f>DATA!CML35</f>
        <v>0</v>
      </c>
      <c r="CMJ208" s="128">
        <f>DATA!CMM35</f>
        <v>0</v>
      </c>
      <c r="CMK208" s="128">
        <f>DATA!CMN35</f>
        <v>0</v>
      </c>
      <c r="CML208" s="128">
        <f>DATA!CMO35</f>
        <v>0</v>
      </c>
      <c r="CMM208" s="128">
        <f>DATA!CMP35</f>
        <v>0</v>
      </c>
      <c r="CMN208" s="128">
        <f>DATA!CMQ35</f>
        <v>0</v>
      </c>
      <c r="CMO208" s="128">
        <f>DATA!CMR35</f>
        <v>0</v>
      </c>
      <c r="CMP208" s="128">
        <f>DATA!CMS35</f>
        <v>0</v>
      </c>
      <c r="CMQ208" s="128">
        <f>DATA!CMT35</f>
        <v>0</v>
      </c>
      <c r="CMR208" s="128">
        <f>DATA!CMU35</f>
        <v>0</v>
      </c>
      <c r="CMS208" s="128">
        <f>DATA!CMV35</f>
        <v>0</v>
      </c>
      <c r="CMT208" s="128">
        <f>DATA!CMW35</f>
        <v>0</v>
      </c>
      <c r="CMU208" s="128">
        <f>DATA!CMX35</f>
        <v>0</v>
      </c>
      <c r="CMV208" s="128">
        <f>DATA!CMY35</f>
        <v>0</v>
      </c>
      <c r="CMW208" s="128">
        <f>DATA!CMZ35</f>
        <v>0</v>
      </c>
      <c r="CMX208" s="128">
        <f>DATA!CNA35</f>
        <v>0</v>
      </c>
      <c r="CMY208" s="128">
        <f>DATA!CNB35</f>
        <v>0</v>
      </c>
      <c r="CMZ208" s="128">
        <f>DATA!CNC35</f>
        <v>0</v>
      </c>
      <c r="CNA208" s="128">
        <f>DATA!CND35</f>
        <v>0</v>
      </c>
      <c r="CNB208" s="128">
        <f>DATA!CNE35</f>
        <v>0</v>
      </c>
      <c r="CNC208" s="128">
        <f>DATA!CNF35</f>
        <v>0</v>
      </c>
      <c r="CND208" s="128">
        <f>DATA!CNG35</f>
        <v>0</v>
      </c>
      <c r="CNE208" s="128">
        <f>DATA!CNH35</f>
        <v>0</v>
      </c>
      <c r="CNF208" s="128">
        <f>DATA!CNI35</f>
        <v>0</v>
      </c>
      <c r="CNG208" s="128">
        <f>DATA!CNJ35</f>
        <v>0</v>
      </c>
      <c r="CNH208" s="128">
        <f>DATA!CNK35</f>
        <v>0</v>
      </c>
      <c r="CNI208" s="128">
        <f>DATA!CNL35</f>
        <v>0</v>
      </c>
      <c r="CNJ208" s="128">
        <f>DATA!CNM35</f>
        <v>0</v>
      </c>
      <c r="CNK208" s="128">
        <f>DATA!CNN35</f>
        <v>0</v>
      </c>
      <c r="CNL208" s="128">
        <f>DATA!CNO35</f>
        <v>0</v>
      </c>
      <c r="CNM208" s="128">
        <f>DATA!CNP35</f>
        <v>0</v>
      </c>
      <c r="CNN208" s="128">
        <f>DATA!CNQ35</f>
        <v>0</v>
      </c>
      <c r="CNO208" s="128">
        <f>DATA!CNR35</f>
        <v>0</v>
      </c>
      <c r="CNP208" s="128">
        <f>DATA!CNS35</f>
        <v>0</v>
      </c>
      <c r="CNQ208" s="128">
        <f>DATA!CNT35</f>
        <v>0</v>
      </c>
      <c r="CNR208" s="128">
        <f>DATA!CNU35</f>
        <v>0</v>
      </c>
      <c r="CNS208" s="128">
        <f>DATA!CNV35</f>
        <v>0</v>
      </c>
      <c r="CNT208" s="128">
        <f>DATA!CNW35</f>
        <v>0</v>
      </c>
      <c r="CNU208" s="128">
        <f>DATA!CNX35</f>
        <v>0</v>
      </c>
      <c r="CNV208" s="128">
        <f>DATA!CNY35</f>
        <v>0</v>
      </c>
      <c r="CNW208" s="128">
        <f>DATA!CNZ35</f>
        <v>0</v>
      </c>
      <c r="CNX208" s="128">
        <f>DATA!COA35</f>
        <v>0</v>
      </c>
      <c r="CNY208" s="128">
        <f>DATA!COB35</f>
        <v>0</v>
      </c>
      <c r="CNZ208" s="128">
        <f>DATA!COC35</f>
        <v>0</v>
      </c>
      <c r="COA208" s="128">
        <f>DATA!COD35</f>
        <v>0</v>
      </c>
      <c r="COB208" s="128">
        <f>DATA!COE35</f>
        <v>0</v>
      </c>
      <c r="COC208" s="128">
        <f>DATA!COF35</f>
        <v>0</v>
      </c>
      <c r="COD208" s="128">
        <f>DATA!COG35</f>
        <v>0</v>
      </c>
      <c r="COE208" s="128">
        <f>DATA!COH35</f>
        <v>0</v>
      </c>
      <c r="COF208" s="128">
        <f>DATA!COI35</f>
        <v>0</v>
      </c>
      <c r="COG208" s="128">
        <f>DATA!COJ35</f>
        <v>0</v>
      </c>
      <c r="COH208" s="128">
        <f>DATA!COK35</f>
        <v>0</v>
      </c>
      <c r="COI208" s="128">
        <f>DATA!COL35</f>
        <v>0</v>
      </c>
      <c r="COJ208" s="128">
        <f>DATA!COM35</f>
        <v>0</v>
      </c>
      <c r="COK208" s="128">
        <f>DATA!CON35</f>
        <v>0</v>
      </c>
      <c r="COL208" s="128">
        <f>DATA!COO35</f>
        <v>0</v>
      </c>
      <c r="COM208" s="128">
        <f>DATA!COP35</f>
        <v>0</v>
      </c>
      <c r="CON208" s="128">
        <f>DATA!COQ35</f>
        <v>0</v>
      </c>
      <c r="COO208" s="128">
        <f>DATA!COR35</f>
        <v>0</v>
      </c>
      <c r="COP208" s="128">
        <f>DATA!COS35</f>
        <v>0</v>
      </c>
      <c r="COQ208" s="128">
        <f>DATA!COT35</f>
        <v>0</v>
      </c>
      <c r="COR208" s="128">
        <f>DATA!COU35</f>
        <v>0</v>
      </c>
      <c r="COS208" s="128">
        <f>DATA!COV35</f>
        <v>0</v>
      </c>
      <c r="COT208" s="128">
        <f>DATA!COW35</f>
        <v>0</v>
      </c>
      <c r="COU208" s="128">
        <f>DATA!COX35</f>
        <v>0</v>
      </c>
      <c r="COV208" s="128">
        <f>DATA!COY35</f>
        <v>0</v>
      </c>
      <c r="COW208" s="128">
        <f>DATA!COZ35</f>
        <v>0</v>
      </c>
      <c r="COX208" s="128">
        <f>DATA!CPA35</f>
        <v>0</v>
      </c>
      <c r="COY208" s="128">
        <f>DATA!CPB35</f>
        <v>0</v>
      </c>
      <c r="COZ208" s="128">
        <f>DATA!CPC35</f>
        <v>0</v>
      </c>
      <c r="CPA208" s="128">
        <f>DATA!CPD35</f>
        <v>0</v>
      </c>
      <c r="CPB208" s="128">
        <f>DATA!CPE35</f>
        <v>0</v>
      </c>
      <c r="CPC208" s="128">
        <f>DATA!CPF35</f>
        <v>0</v>
      </c>
      <c r="CPD208" s="128">
        <f>DATA!CPG35</f>
        <v>0</v>
      </c>
      <c r="CPE208" s="128">
        <f>DATA!CPH35</f>
        <v>0</v>
      </c>
      <c r="CPF208" s="128">
        <f>DATA!CPI35</f>
        <v>0</v>
      </c>
      <c r="CPG208" s="128">
        <f>DATA!CPJ35</f>
        <v>0</v>
      </c>
      <c r="CPH208" s="128">
        <f>DATA!CPK35</f>
        <v>0</v>
      </c>
      <c r="CPI208" s="128">
        <f>DATA!CPL35</f>
        <v>0</v>
      </c>
      <c r="CPJ208" s="128">
        <f>DATA!CPM35</f>
        <v>0</v>
      </c>
      <c r="CPK208" s="128">
        <f>DATA!CPN35</f>
        <v>0</v>
      </c>
      <c r="CPL208" s="128">
        <f>DATA!CPO35</f>
        <v>0</v>
      </c>
      <c r="CPM208" s="128">
        <f>DATA!CPP35</f>
        <v>0</v>
      </c>
      <c r="CPN208" s="128">
        <f>DATA!CPQ35</f>
        <v>0</v>
      </c>
      <c r="CPO208" s="128">
        <f>DATA!CPR35</f>
        <v>0</v>
      </c>
      <c r="CPP208" s="128">
        <f>DATA!CPS35</f>
        <v>0</v>
      </c>
      <c r="CPQ208" s="128">
        <f>DATA!CPT35</f>
        <v>0</v>
      </c>
      <c r="CPR208" s="128">
        <f>DATA!CPU35</f>
        <v>0</v>
      </c>
      <c r="CPS208" s="128">
        <f>DATA!CPV35</f>
        <v>0</v>
      </c>
      <c r="CPT208" s="128">
        <f>DATA!CPW35</f>
        <v>0</v>
      </c>
      <c r="CPU208" s="128">
        <f>DATA!CPX35</f>
        <v>0</v>
      </c>
      <c r="CPV208" s="128">
        <f>DATA!CPY35</f>
        <v>0</v>
      </c>
      <c r="CPW208" s="128">
        <f>DATA!CPZ35</f>
        <v>0</v>
      </c>
      <c r="CPX208" s="128">
        <f>DATA!CQA35</f>
        <v>0</v>
      </c>
      <c r="CPY208" s="128">
        <f>DATA!CQB35</f>
        <v>0</v>
      </c>
      <c r="CPZ208" s="128">
        <f>DATA!CQC35</f>
        <v>0</v>
      </c>
      <c r="CQA208" s="128">
        <f>DATA!CQD35</f>
        <v>0</v>
      </c>
      <c r="CQB208" s="128">
        <f>DATA!CQE35</f>
        <v>0</v>
      </c>
      <c r="CQC208" s="128">
        <f>DATA!CQF35</f>
        <v>0</v>
      </c>
      <c r="CQD208" s="128">
        <f>DATA!CQG35</f>
        <v>0</v>
      </c>
      <c r="CQE208" s="128">
        <f>DATA!CQH35</f>
        <v>0</v>
      </c>
      <c r="CQF208" s="128">
        <f>DATA!CQI35</f>
        <v>0</v>
      </c>
      <c r="CQG208" s="128">
        <f>DATA!CQJ35</f>
        <v>0</v>
      </c>
      <c r="CQH208" s="128">
        <f>DATA!CQK35</f>
        <v>0</v>
      </c>
      <c r="CQI208" s="128">
        <f>DATA!CQL35</f>
        <v>0</v>
      </c>
      <c r="CQJ208" s="128">
        <f>DATA!CQM35</f>
        <v>0</v>
      </c>
      <c r="CQK208" s="128">
        <f>DATA!CQN35</f>
        <v>0</v>
      </c>
      <c r="CQL208" s="128">
        <f>DATA!CQO35</f>
        <v>0</v>
      </c>
      <c r="CQM208" s="128">
        <f>DATA!CQP35</f>
        <v>0</v>
      </c>
      <c r="CQN208" s="128">
        <f>DATA!CQQ35</f>
        <v>0</v>
      </c>
      <c r="CQO208" s="128">
        <f>DATA!CQR35</f>
        <v>0</v>
      </c>
      <c r="CQP208" s="128">
        <f>DATA!CQS35</f>
        <v>0</v>
      </c>
      <c r="CQQ208" s="128">
        <f>DATA!CQT35</f>
        <v>0</v>
      </c>
      <c r="CQR208" s="128">
        <f>DATA!CQU35</f>
        <v>0</v>
      </c>
      <c r="CQS208" s="128">
        <f>DATA!CQV35</f>
        <v>0</v>
      </c>
      <c r="CQT208" s="128">
        <f>DATA!CQW35</f>
        <v>0</v>
      </c>
      <c r="CQU208" s="128">
        <f>DATA!CQX35</f>
        <v>0</v>
      </c>
      <c r="CQV208" s="128">
        <f>DATA!CQY35</f>
        <v>0</v>
      </c>
      <c r="CQW208" s="128">
        <f>DATA!CQZ35</f>
        <v>0</v>
      </c>
      <c r="CQX208" s="128">
        <f>DATA!CRA35</f>
        <v>0</v>
      </c>
      <c r="CQY208" s="128">
        <f>DATA!CRB35</f>
        <v>0</v>
      </c>
      <c r="CQZ208" s="128">
        <f>DATA!CRC35</f>
        <v>0</v>
      </c>
      <c r="CRA208" s="128">
        <f>DATA!CRD35</f>
        <v>0</v>
      </c>
      <c r="CRB208" s="128">
        <f>DATA!CRE35</f>
        <v>0</v>
      </c>
      <c r="CRC208" s="128">
        <f>DATA!CRF35</f>
        <v>0</v>
      </c>
      <c r="CRD208" s="128">
        <f>DATA!CRG35</f>
        <v>0</v>
      </c>
      <c r="CRE208" s="128">
        <f>DATA!CRH35</f>
        <v>0</v>
      </c>
      <c r="CRF208" s="128">
        <f>DATA!CRI35</f>
        <v>0</v>
      </c>
      <c r="CRG208" s="128">
        <f>DATA!CRJ35</f>
        <v>0</v>
      </c>
      <c r="CRH208" s="128">
        <f>DATA!CRK35</f>
        <v>0</v>
      </c>
      <c r="CRI208" s="128">
        <f>DATA!CRL35</f>
        <v>0</v>
      </c>
      <c r="CRJ208" s="128">
        <f>DATA!CRM35</f>
        <v>0</v>
      </c>
      <c r="CRK208" s="128">
        <f>DATA!CRN35</f>
        <v>0</v>
      </c>
      <c r="CRL208" s="128">
        <f>DATA!CRO35</f>
        <v>0</v>
      </c>
      <c r="CRM208" s="128">
        <f>DATA!CRP35</f>
        <v>0</v>
      </c>
      <c r="CRN208" s="128">
        <f>DATA!CRQ35</f>
        <v>0</v>
      </c>
      <c r="CRO208" s="128">
        <f>DATA!CRR35</f>
        <v>0</v>
      </c>
      <c r="CRP208" s="128">
        <f>DATA!CRS35</f>
        <v>0</v>
      </c>
      <c r="CRQ208" s="128">
        <f>DATA!CRT35</f>
        <v>0</v>
      </c>
      <c r="CRR208" s="128">
        <f>DATA!CRU35</f>
        <v>0</v>
      </c>
      <c r="CRS208" s="128">
        <f>DATA!CRV35</f>
        <v>0</v>
      </c>
      <c r="CRT208" s="128">
        <f>DATA!CRW35</f>
        <v>0</v>
      </c>
      <c r="CRU208" s="128">
        <f>DATA!CRX35</f>
        <v>0</v>
      </c>
      <c r="CRV208" s="128">
        <f>DATA!CRY35</f>
        <v>0</v>
      </c>
      <c r="CRW208" s="128">
        <f>DATA!CRZ35</f>
        <v>0</v>
      </c>
      <c r="CRX208" s="128">
        <f>DATA!CSA35</f>
        <v>0</v>
      </c>
      <c r="CRY208" s="128">
        <f>DATA!CSB35</f>
        <v>0</v>
      </c>
      <c r="CRZ208" s="128">
        <f>DATA!CSC35</f>
        <v>0</v>
      </c>
      <c r="CSA208" s="128">
        <f>DATA!CSD35</f>
        <v>0</v>
      </c>
      <c r="CSB208" s="128">
        <f>DATA!CSE35</f>
        <v>0</v>
      </c>
      <c r="CSC208" s="128">
        <f>DATA!CSF35</f>
        <v>0</v>
      </c>
      <c r="CSD208" s="128">
        <f>DATA!CSG35</f>
        <v>0</v>
      </c>
      <c r="CSE208" s="128">
        <f>DATA!CSH35</f>
        <v>0</v>
      </c>
      <c r="CSF208" s="128">
        <f>DATA!CSI35</f>
        <v>0</v>
      </c>
      <c r="CSG208" s="128">
        <f>DATA!CSJ35</f>
        <v>0</v>
      </c>
      <c r="CSH208" s="128">
        <f>DATA!CSK35</f>
        <v>0</v>
      </c>
      <c r="CSI208" s="128">
        <f>DATA!CSL35</f>
        <v>0</v>
      </c>
      <c r="CSJ208" s="128">
        <f>DATA!CSM35</f>
        <v>0</v>
      </c>
      <c r="CSK208" s="128">
        <f>DATA!CSN35</f>
        <v>0</v>
      </c>
      <c r="CSL208" s="128">
        <f>DATA!CSO35</f>
        <v>0</v>
      </c>
      <c r="CSM208" s="128">
        <f>DATA!CSP35</f>
        <v>0</v>
      </c>
      <c r="CSN208" s="128">
        <f>DATA!CSQ35</f>
        <v>0</v>
      </c>
      <c r="CSO208" s="128">
        <f>DATA!CSR35</f>
        <v>0</v>
      </c>
      <c r="CSP208" s="128">
        <f>DATA!CSS35</f>
        <v>0</v>
      </c>
      <c r="CSQ208" s="128">
        <f>DATA!CST35</f>
        <v>0</v>
      </c>
      <c r="CSR208" s="128">
        <f>DATA!CSU35</f>
        <v>0</v>
      </c>
      <c r="CSS208" s="128">
        <f>DATA!CSV35</f>
        <v>0</v>
      </c>
      <c r="CST208" s="128">
        <f>DATA!CSW35</f>
        <v>0</v>
      </c>
      <c r="CSU208" s="128">
        <f>DATA!CSX35</f>
        <v>0</v>
      </c>
      <c r="CSV208" s="128">
        <f>DATA!CSY35</f>
        <v>0</v>
      </c>
      <c r="CSW208" s="128">
        <f>DATA!CSZ35</f>
        <v>0</v>
      </c>
      <c r="CSX208" s="128">
        <f>DATA!CTA35</f>
        <v>0</v>
      </c>
      <c r="CSY208" s="128">
        <f>DATA!CTB35</f>
        <v>0</v>
      </c>
      <c r="CSZ208" s="128">
        <f>DATA!CTC35</f>
        <v>0</v>
      </c>
      <c r="CTA208" s="128">
        <f>DATA!CTD35</f>
        <v>0</v>
      </c>
      <c r="CTB208" s="128">
        <f>DATA!CTE35</f>
        <v>0</v>
      </c>
      <c r="CTC208" s="128">
        <f>DATA!CTF35</f>
        <v>0</v>
      </c>
      <c r="CTD208" s="128">
        <f>DATA!CTG35</f>
        <v>0</v>
      </c>
      <c r="CTE208" s="128">
        <f>DATA!CTH35</f>
        <v>0</v>
      </c>
      <c r="CTF208" s="128">
        <f>DATA!CTI35</f>
        <v>0</v>
      </c>
      <c r="CTG208" s="128">
        <f>DATA!CTJ35</f>
        <v>0</v>
      </c>
      <c r="CTH208" s="128">
        <f>DATA!CTK35</f>
        <v>0</v>
      </c>
      <c r="CTI208" s="128">
        <f>DATA!CTL35</f>
        <v>0</v>
      </c>
      <c r="CTJ208" s="128">
        <f>DATA!CTM35</f>
        <v>0</v>
      </c>
      <c r="CTK208" s="128">
        <f>DATA!CTN35</f>
        <v>0</v>
      </c>
      <c r="CTL208" s="128">
        <f>DATA!CTO35</f>
        <v>0</v>
      </c>
      <c r="CTM208" s="128">
        <f>DATA!CTP35</f>
        <v>0</v>
      </c>
      <c r="CTN208" s="128">
        <f>DATA!CTQ35</f>
        <v>0</v>
      </c>
      <c r="CTO208" s="128">
        <f>DATA!CTR35</f>
        <v>0</v>
      </c>
      <c r="CTP208" s="128">
        <f>DATA!CTS35</f>
        <v>0</v>
      </c>
      <c r="CTQ208" s="128">
        <f>DATA!CTT35</f>
        <v>0</v>
      </c>
      <c r="CTR208" s="128">
        <f>DATA!CTU35</f>
        <v>0</v>
      </c>
      <c r="CTS208" s="128">
        <f>DATA!CTV35</f>
        <v>0</v>
      </c>
      <c r="CTT208" s="128">
        <f>DATA!CTW35</f>
        <v>0</v>
      </c>
      <c r="CTU208" s="128">
        <f>DATA!CTX35</f>
        <v>0</v>
      </c>
      <c r="CTV208" s="128">
        <f>DATA!CTY35</f>
        <v>0</v>
      </c>
      <c r="CTW208" s="128">
        <f>DATA!CTZ35</f>
        <v>0</v>
      </c>
      <c r="CTX208" s="128">
        <f>DATA!CUA35</f>
        <v>0</v>
      </c>
      <c r="CTY208" s="128">
        <f>DATA!CUB35</f>
        <v>0</v>
      </c>
      <c r="CTZ208" s="128">
        <f>DATA!CUC35</f>
        <v>0</v>
      </c>
      <c r="CUA208" s="128">
        <f>DATA!CUD35</f>
        <v>0</v>
      </c>
      <c r="CUB208" s="128">
        <f>DATA!CUE35</f>
        <v>0</v>
      </c>
      <c r="CUC208" s="128">
        <f>DATA!CUF35</f>
        <v>0</v>
      </c>
      <c r="CUD208" s="128">
        <f>DATA!CUG35</f>
        <v>0</v>
      </c>
      <c r="CUE208" s="128">
        <f>DATA!CUH35</f>
        <v>0</v>
      </c>
      <c r="CUF208" s="128">
        <f>DATA!CUI35</f>
        <v>0</v>
      </c>
      <c r="CUG208" s="128">
        <f>DATA!CUJ35</f>
        <v>0</v>
      </c>
      <c r="CUH208" s="128">
        <f>DATA!CUK35</f>
        <v>0</v>
      </c>
      <c r="CUI208" s="128">
        <f>DATA!CUL35</f>
        <v>0</v>
      </c>
      <c r="CUJ208" s="128">
        <f>DATA!CUM35</f>
        <v>0</v>
      </c>
      <c r="CUK208" s="128">
        <f>DATA!CUN35</f>
        <v>0</v>
      </c>
      <c r="CUL208" s="128">
        <f>DATA!CUO35</f>
        <v>0</v>
      </c>
      <c r="CUM208" s="128">
        <f>DATA!CUP35</f>
        <v>0</v>
      </c>
      <c r="CUN208" s="128">
        <f>DATA!CUQ35</f>
        <v>0</v>
      </c>
      <c r="CUO208" s="128">
        <f>DATA!CUR35</f>
        <v>0</v>
      </c>
      <c r="CUP208" s="128">
        <f>DATA!CUS35</f>
        <v>0</v>
      </c>
      <c r="CUQ208" s="128">
        <f>DATA!CUT35</f>
        <v>0</v>
      </c>
      <c r="CUR208" s="128">
        <f>DATA!CUU35</f>
        <v>0</v>
      </c>
      <c r="CUS208" s="128">
        <f>DATA!CUV35</f>
        <v>0</v>
      </c>
      <c r="CUT208" s="128">
        <f>DATA!CUW35</f>
        <v>0</v>
      </c>
      <c r="CUU208" s="128">
        <f>DATA!CUX35</f>
        <v>0</v>
      </c>
      <c r="CUV208" s="128">
        <f>DATA!CUY35</f>
        <v>0</v>
      </c>
      <c r="CUW208" s="128">
        <f>DATA!CUZ35</f>
        <v>0</v>
      </c>
      <c r="CUX208" s="128">
        <f>DATA!CVA35</f>
        <v>0</v>
      </c>
      <c r="CUY208" s="128">
        <f>DATA!CVB35</f>
        <v>0</v>
      </c>
      <c r="CUZ208" s="128">
        <f>DATA!CVC35</f>
        <v>0</v>
      </c>
      <c r="CVA208" s="128">
        <f>DATA!CVD35</f>
        <v>0</v>
      </c>
      <c r="CVB208" s="128">
        <f>DATA!CVE35</f>
        <v>0</v>
      </c>
      <c r="CVC208" s="128">
        <f>DATA!CVF35</f>
        <v>0</v>
      </c>
      <c r="CVD208" s="128">
        <f>DATA!CVG35</f>
        <v>0</v>
      </c>
      <c r="CVE208" s="128">
        <f>DATA!CVH35</f>
        <v>0</v>
      </c>
      <c r="CVF208" s="128">
        <f>DATA!CVI35</f>
        <v>0</v>
      </c>
      <c r="CVG208" s="128">
        <f>DATA!CVJ35</f>
        <v>0</v>
      </c>
      <c r="CVH208" s="128">
        <f>DATA!CVK35</f>
        <v>0</v>
      </c>
      <c r="CVI208" s="128">
        <f>DATA!CVL35</f>
        <v>0</v>
      </c>
      <c r="CVJ208" s="128">
        <f>DATA!CVM35</f>
        <v>0</v>
      </c>
      <c r="CVK208" s="128">
        <f>DATA!CVN35</f>
        <v>0</v>
      </c>
      <c r="CVL208" s="128">
        <f>DATA!CVO35</f>
        <v>0</v>
      </c>
      <c r="CVM208" s="128">
        <f>DATA!CVP35</f>
        <v>0</v>
      </c>
      <c r="CVN208" s="128">
        <f>DATA!CVQ35</f>
        <v>0</v>
      </c>
      <c r="CVO208" s="128">
        <f>DATA!CVR35</f>
        <v>0</v>
      </c>
      <c r="CVP208" s="128">
        <f>DATA!CVS35</f>
        <v>0</v>
      </c>
      <c r="CVQ208" s="128">
        <f>DATA!CVT35</f>
        <v>0</v>
      </c>
      <c r="CVR208" s="128">
        <f>DATA!CVU35</f>
        <v>0</v>
      </c>
      <c r="CVS208" s="128">
        <f>DATA!CVV35</f>
        <v>0</v>
      </c>
      <c r="CVT208" s="128">
        <f>DATA!CVW35</f>
        <v>0</v>
      </c>
      <c r="CVU208" s="128">
        <f>DATA!CVX35</f>
        <v>0</v>
      </c>
      <c r="CVV208" s="128">
        <f>DATA!CVY35</f>
        <v>0</v>
      </c>
      <c r="CVW208" s="128">
        <f>DATA!CVZ35</f>
        <v>0</v>
      </c>
      <c r="CVX208" s="128">
        <f>DATA!CWA35</f>
        <v>0</v>
      </c>
      <c r="CVY208" s="128">
        <f>DATA!CWB35</f>
        <v>0</v>
      </c>
      <c r="CVZ208" s="128">
        <f>DATA!CWC35</f>
        <v>0</v>
      </c>
      <c r="CWA208" s="128">
        <f>DATA!CWD35</f>
        <v>0</v>
      </c>
      <c r="CWB208" s="128">
        <f>DATA!CWE35</f>
        <v>0</v>
      </c>
      <c r="CWC208" s="128">
        <f>DATA!CWF35</f>
        <v>0</v>
      </c>
      <c r="CWD208" s="128">
        <f>DATA!CWG35</f>
        <v>0</v>
      </c>
      <c r="CWE208" s="128">
        <f>DATA!CWH35</f>
        <v>0</v>
      </c>
      <c r="CWF208" s="128">
        <f>DATA!CWI35</f>
        <v>0</v>
      </c>
      <c r="CWG208" s="128">
        <f>DATA!CWJ35</f>
        <v>0</v>
      </c>
      <c r="CWH208" s="128">
        <f>DATA!CWK35</f>
        <v>0</v>
      </c>
      <c r="CWI208" s="128">
        <f>DATA!CWL35</f>
        <v>0</v>
      </c>
      <c r="CWJ208" s="128">
        <f>DATA!CWM35</f>
        <v>0</v>
      </c>
      <c r="CWK208" s="128">
        <f>DATA!CWN35</f>
        <v>0</v>
      </c>
      <c r="CWL208" s="128">
        <f>DATA!CWO35</f>
        <v>0</v>
      </c>
      <c r="CWM208" s="128">
        <f>DATA!CWP35</f>
        <v>0</v>
      </c>
      <c r="CWN208" s="128">
        <f>DATA!CWQ35</f>
        <v>0</v>
      </c>
      <c r="CWO208" s="128">
        <f>DATA!CWR35</f>
        <v>0</v>
      </c>
      <c r="CWP208" s="128">
        <f>DATA!CWS35</f>
        <v>0</v>
      </c>
      <c r="CWQ208" s="128">
        <f>DATA!CWT35</f>
        <v>0</v>
      </c>
      <c r="CWR208" s="128">
        <f>DATA!CWU35</f>
        <v>0</v>
      </c>
      <c r="CWS208" s="128">
        <f>DATA!CWV35</f>
        <v>0</v>
      </c>
      <c r="CWT208" s="128">
        <f>DATA!CWW35</f>
        <v>0</v>
      </c>
      <c r="CWU208" s="128">
        <f>DATA!CWX35</f>
        <v>0</v>
      </c>
      <c r="CWV208" s="128">
        <f>DATA!CWY35</f>
        <v>0</v>
      </c>
      <c r="CWW208" s="128">
        <f>DATA!CWZ35</f>
        <v>0</v>
      </c>
      <c r="CWX208" s="128">
        <f>DATA!CXA35</f>
        <v>0</v>
      </c>
      <c r="CWY208" s="128">
        <f>DATA!CXB35</f>
        <v>0</v>
      </c>
      <c r="CWZ208" s="128">
        <f>DATA!CXC35</f>
        <v>0</v>
      </c>
      <c r="CXA208" s="128">
        <f>DATA!CXD35</f>
        <v>0</v>
      </c>
      <c r="CXB208" s="128">
        <f>DATA!CXE35</f>
        <v>0</v>
      </c>
      <c r="CXC208" s="128">
        <f>DATA!CXF35</f>
        <v>0</v>
      </c>
      <c r="CXD208" s="128">
        <f>DATA!CXG35</f>
        <v>0</v>
      </c>
      <c r="CXE208" s="128">
        <f>DATA!CXH35</f>
        <v>0</v>
      </c>
      <c r="CXF208" s="128">
        <f>DATA!CXI35</f>
        <v>0</v>
      </c>
      <c r="CXG208" s="128">
        <f>DATA!CXJ35</f>
        <v>0</v>
      </c>
      <c r="CXH208" s="128">
        <f>DATA!CXK35</f>
        <v>0</v>
      </c>
      <c r="CXI208" s="128">
        <f>DATA!CXL35</f>
        <v>0</v>
      </c>
      <c r="CXJ208" s="128">
        <f>DATA!CXM35</f>
        <v>0</v>
      </c>
      <c r="CXK208" s="128">
        <f>DATA!CXN35</f>
        <v>0</v>
      </c>
      <c r="CXL208" s="128">
        <f>DATA!CXO35</f>
        <v>0</v>
      </c>
      <c r="CXM208" s="128">
        <f>DATA!CXP35</f>
        <v>0</v>
      </c>
      <c r="CXN208" s="128">
        <f>DATA!CXQ35</f>
        <v>0</v>
      </c>
      <c r="CXO208" s="128">
        <f>DATA!CXR35</f>
        <v>0</v>
      </c>
      <c r="CXP208" s="128">
        <f>DATA!CXS35</f>
        <v>0</v>
      </c>
      <c r="CXQ208" s="128">
        <f>DATA!CXT35</f>
        <v>0</v>
      </c>
      <c r="CXR208" s="128">
        <f>DATA!CXU35</f>
        <v>0</v>
      </c>
      <c r="CXS208" s="128">
        <f>DATA!CXV35</f>
        <v>0</v>
      </c>
      <c r="CXT208" s="128">
        <f>DATA!CXW35</f>
        <v>0</v>
      </c>
      <c r="CXU208" s="128">
        <f>DATA!CXX35</f>
        <v>0</v>
      </c>
      <c r="CXV208" s="128">
        <f>DATA!CXY35</f>
        <v>0</v>
      </c>
      <c r="CXW208" s="128">
        <f>DATA!CXZ35</f>
        <v>0</v>
      </c>
      <c r="CXX208" s="128">
        <f>DATA!CYA35</f>
        <v>0</v>
      </c>
      <c r="CXY208" s="128">
        <f>DATA!CYB35</f>
        <v>0</v>
      </c>
      <c r="CXZ208" s="128">
        <f>DATA!CYC35</f>
        <v>0</v>
      </c>
      <c r="CYA208" s="128">
        <f>DATA!CYD35</f>
        <v>0</v>
      </c>
      <c r="CYB208" s="128">
        <f>DATA!CYE35</f>
        <v>0</v>
      </c>
      <c r="CYC208" s="128">
        <f>DATA!CYF35</f>
        <v>0</v>
      </c>
      <c r="CYD208" s="128">
        <f>DATA!CYG35</f>
        <v>0</v>
      </c>
      <c r="CYE208" s="128">
        <f>DATA!CYH35</f>
        <v>0</v>
      </c>
      <c r="CYF208" s="128">
        <f>DATA!CYI35</f>
        <v>0</v>
      </c>
      <c r="CYG208" s="128">
        <f>DATA!CYJ35</f>
        <v>0</v>
      </c>
      <c r="CYH208" s="128">
        <f>DATA!CYK35</f>
        <v>0</v>
      </c>
      <c r="CYI208" s="128">
        <f>DATA!CYL35</f>
        <v>0</v>
      </c>
      <c r="CYJ208" s="128">
        <f>DATA!CYM35</f>
        <v>0</v>
      </c>
      <c r="CYK208" s="128">
        <f>DATA!CYN35</f>
        <v>0</v>
      </c>
      <c r="CYL208" s="128">
        <f>DATA!CYO35</f>
        <v>0</v>
      </c>
      <c r="CYM208" s="128">
        <f>DATA!CYP35</f>
        <v>0</v>
      </c>
      <c r="CYN208" s="128">
        <f>DATA!CYQ35</f>
        <v>0</v>
      </c>
      <c r="CYO208" s="128">
        <f>DATA!CYR35</f>
        <v>0</v>
      </c>
      <c r="CYP208" s="128">
        <f>DATA!CYS35</f>
        <v>0</v>
      </c>
      <c r="CYQ208" s="128">
        <f>DATA!CYT35</f>
        <v>0</v>
      </c>
      <c r="CYR208" s="128">
        <f>DATA!CYU35</f>
        <v>0</v>
      </c>
      <c r="CYS208" s="128">
        <f>DATA!CYV35</f>
        <v>0</v>
      </c>
      <c r="CYT208" s="128">
        <f>DATA!CYW35</f>
        <v>0</v>
      </c>
      <c r="CYU208" s="128">
        <f>DATA!CYX35</f>
        <v>0</v>
      </c>
      <c r="CYV208" s="128">
        <f>DATA!CYY35</f>
        <v>0</v>
      </c>
      <c r="CYW208" s="128">
        <f>DATA!CYZ35</f>
        <v>0</v>
      </c>
      <c r="CYX208" s="128">
        <f>DATA!CZA35</f>
        <v>0</v>
      </c>
      <c r="CYY208" s="128">
        <f>DATA!CZB35</f>
        <v>0</v>
      </c>
      <c r="CYZ208" s="128">
        <f>DATA!CZC35</f>
        <v>0</v>
      </c>
      <c r="CZA208" s="128">
        <f>DATA!CZD35</f>
        <v>0</v>
      </c>
      <c r="CZB208" s="128">
        <f>DATA!CZE35</f>
        <v>0</v>
      </c>
      <c r="CZC208" s="128">
        <f>DATA!CZF35</f>
        <v>0</v>
      </c>
      <c r="CZD208" s="128">
        <f>DATA!CZG35</f>
        <v>0</v>
      </c>
      <c r="CZE208" s="128">
        <f>DATA!CZH35</f>
        <v>0</v>
      </c>
      <c r="CZF208" s="128">
        <f>DATA!CZI35</f>
        <v>0</v>
      </c>
      <c r="CZG208" s="128">
        <f>DATA!CZJ35</f>
        <v>0</v>
      </c>
      <c r="CZH208" s="128">
        <f>DATA!CZK35</f>
        <v>0</v>
      </c>
      <c r="CZI208" s="128">
        <f>DATA!CZL35</f>
        <v>0</v>
      </c>
      <c r="CZJ208" s="128">
        <f>DATA!CZM35</f>
        <v>0</v>
      </c>
      <c r="CZK208" s="128">
        <f>DATA!CZN35</f>
        <v>0</v>
      </c>
      <c r="CZL208" s="128">
        <f>DATA!CZO35</f>
        <v>0</v>
      </c>
      <c r="CZM208" s="128">
        <f>DATA!CZP35</f>
        <v>0</v>
      </c>
      <c r="CZN208" s="128">
        <f>DATA!CZQ35</f>
        <v>0</v>
      </c>
      <c r="CZO208" s="128">
        <f>DATA!CZR35</f>
        <v>0</v>
      </c>
      <c r="CZP208" s="128">
        <f>DATA!CZS35</f>
        <v>0</v>
      </c>
      <c r="CZQ208" s="128">
        <f>DATA!CZT35</f>
        <v>0</v>
      </c>
      <c r="CZR208" s="128">
        <f>DATA!CZU35</f>
        <v>0</v>
      </c>
      <c r="CZS208" s="128">
        <f>DATA!CZV35</f>
        <v>0</v>
      </c>
      <c r="CZT208" s="128">
        <f>DATA!CZW35</f>
        <v>0</v>
      </c>
      <c r="CZU208" s="128">
        <f>DATA!CZX35</f>
        <v>0</v>
      </c>
      <c r="CZV208" s="128">
        <f>DATA!CZY35</f>
        <v>0</v>
      </c>
      <c r="CZW208" s="128">
        <f>DATA!CZZ35</f>
        <v>0</v>
      </c>
      <c r="CZX208" s="128">
        <f>DATA!DAA35</f>
        <v>0</v>
      </c>
      <c r="CZY208" s="128">
        <f>DATA!DAB35</f>
        <v>0</v>
      </c>
      <c r="CZZ208" s="128">
        <f>DATA!DAC35</f>
        <v>0</v>
      </c>
      <c r="DAA208" s="128">
        <f>DATA!DAD35</f>
        <v>0</v>
      </c>
      <c r="DAB208" s="128">
        <f>DATA!DAE35</f>
        <v>0</v>
      </c>
      <c r="DAC208" s="128">
        <f>DATA!DAF35</f>
        <v>0</v>
      </c>
      <c r="DAD208" s="128">
        <f>DATA!DAG35</f>
        <v>0</v>
      </c>
      <c r="DAE208" s="128">
        <f>DATA!DAH35</f>
        <v>0</v>
      </c>
      <c r="DAF208" s="128">
        <f>DATA!DAI35</f>
        <v>0</v>
      </c>
      <c r="DAG208" s="128">
        <f>DATA!DAJ35</f>
        <v>0</v>
      </c>
      <c r="DAH208" s="128">
        <f>DATA!DAK35</f>
        <v>0</v>
      </c>
      <c r="DAI208" s="128">
        <f>DATA!DAL35</f>
        <v>0</v>
      </c>
      <c r="DAJ208" s="128">
        <f>DATA!DAM35</f>
        <v>0</v>
      </c>
      <c r="DAK208" s="128">
        <f>DATA!DAN35</f>
        <v>0</v>
      </c>
      <c r="DAL208" s="128">
        <f>DATA!DAO35</f>
        <v>0</v>
      </c>
      <c r="DAM208" s="128">
        <f>DATA!DAP35</f>
        <v>0</v>
      </c>
      <c r="DAN208" s="128">
        <f>DATA!DAQ35</f>
        <v>0</v>
      </c>
      <c r="DAO208" s="128">
        <f>DATA!DAR35</f>
        <v>0</v>
      </c>
      <c r="DAP208" s="128">
        <f>DATA!DAS35</f>
        <v>0</v>
      </c>
      <c r="DAQ208" s="128">
        <f>DATA!DAT35</f>
        <v>0</v>
      </c>
      <c r="DAR208" s="128">
        <f>DATA!DAU35</f>
        <v>0</v>
      </c>
      <c r="DAS208" s="128">
        <f>DATA!DAV35</f>
        <v>0</v>
      </c>
      <c r="DAT208" s="128">
        <f>DATA!DAW35</f>
        <v>0</v>
      </c>
      <c r="DAU208" s="128">
        <f>DATA!DAX35</f>
        <v>0</v>
      </c>
      <c r="DAV208" s="128">
        <f>DATA!DAY35</f>
        <v>0</v>
      </c>
      <c r="DAW208" s="128">
        <f>DATA!DAZ35</f>
        <v>0</v>
      </c>
      <c r="DAX208" s="128">
        <f>DATA!DBA35</f>
        <v>0</v>
      </c>
      <c r="DAY208" s="128">
        <f>DATA!DBB35</f>
        <v>0</v>
      </c>
      <c r="DAZ208" s="128">
        <f>DATA!DBC35</f>
        <v>0</v>
      </c>
      <c r="DBA208" s="128">
        <f>DATA!DBD35</f>
        <v>0</v>
      </c>
      <c r="DBB208" s="128">
        <f>DATA!DBE35</f>
        <v>0</v>
      </c>
      <c r="DBC208" s="128">
        <f>DATA!DBF35</f>
        <v>0</v>
      </c>
      <c r="DBD208" s="128">
        <f>DATA!DBG35</f>
        <v>0</v>
      </c>
      <c r="DBE208" s="128">
        <f>DATA!DBH35</f>
        <v>0</v>
      </c>
      <c r="DBF208" s="128">
        <f>DATA!DBI35</f>
        <v>0</v>
      </c>
      <c r="DBG208" s="128">
        <f>DATA!DBJ35</f>
        <v>0</v>
      </c>
      <c r="DBH208" s="128">
        <f>DATA!DBK35</f>
        <v>0</v>
      </c>
      <c r="DBI208" s="128">
        <f>DATA!DBL35</f>
        <v>0</v>
      </c>
      <c r="DBJ208" s="128">
        <f>DATA!DBM35</f>
        <v>0</v>
      </c>
      <c r="DBK208" s="128">
        <f>DATA!DBN35</f>
        <v>0</v>
      </c>
      <c r="DBL208" s="128">
        <f>DATA!DBO35</f>
        <v>0</v>
      </c>
      <c r="DBM208" s="128">
        <f>DATA!DBP35</f>
        <v>0</v>
      </c>
      <c r="DBN208" s="128">
        <f>DATA!DBQ35</f>
        <v>0</v>
      </c>
      <c r="DBO208" s="128">
        <f>DATA!DBR35</f>
        <v>0</v>
      </c>
      <c r="DBP208" s="128">
        <f>DATA!DBS35</f>
        <v>0</v>
      </c>
      <c r="DBQ208" s="128">
        <f>DATA!DBT35</f>
        <v>0</v>
      </c>
      <c r="DBR208" s="128">
        <f>DATA!DBU35</f>
        <v>0</v>
      </c>
      <c r="DBS208" s="128">
        <f>DATA!DBV35</f>
        <v>0</v>
      </c>
      <c r="DBT208" s="128">
        <f>DATA!DBW35</f>
        <v>0</v>
      </c>
      <c r="DBU208" s="128">
        <f>DATA!DBX35</f>
        <v>0</v>
      </c>
      <c r="DBV208" s="128">
        <f>DATA!DBY35</f>
        <v>0</v>
      </c>
      <c r="DBW208" s="128">
        <f>DATA!DBZ35</f>
        <v>0</v>
      </c>
      <c r="DBX208" s="128">
        <f>DATA!DCA35</f>
        <v>0</v>
      </c>
      <c r="DBY208" s="128">
        <f>DATA!DCB35</f>
        <v>0</v>
      </c>
      <c r="DBZ208" s="128">
        <f>DATA!DCC35</f>
        <v>0</v>
      </c>
      <c r="DCA208" s="128">
        <f>DATA!DCD35</f>
        <v>0</v>
      </c>
      <c r="DCB208" s="128">
        <f>DATA!DCE35</f>
        <v>0</v>
      </c>
      <c r="DCC208" s="128">
        <f>DATA!DCF35</f>
        <v>0</v>
      </c>
      <c r="DCD208" s="128">
        <f>DATA!DCG35</f>
        <v>0</v>
      </c>
      <c r="DCE208" s="128">
        <f>DATA!DCH35</f>
        <v>0</v>
      </c>
      <c r="DCF208" s="128">
        <f>DATA!DCI35</f>
        <v>0</v>
      </c>
      <c r="DCG208" s="128">
        <f>DATA!DCJ35</f>
        <v>0</v>
      </c>
      <c r="DCH208" s="128">
        <f>DATA!DCK35</f>
        <v>0</v>
      </c>
      <c r="DCI208" s="128">
        <f>DATA!DCL35</f>
        <v>0</v>
      </c>
      <c r="DCJ208" s="128">
        <f>DATA!DCM35</f>
        <v>0</v>
      </c>
      <c r="DCK208" s="128">
        <f>DATA!DCN35</f>
        <v>0</v>
      </c>
      <c r="DCL208" s="128">
        <f>DATA!DCO35</f>
        <v>0</v>
      </c>
      <c r="DCM208" s="128">
        <f>DATA!DCP35</f>
        <v>0</v>
      </c>
      <c r="DCN208" s="128">
        <f>DATA!DCQ35</f>
        <v>0</v>
      </c>
      <c r="DCO208" s="128">
        <f>DATA!DCR35</f>
        <v>0</v>
      </c>
      <c r="DCP208" s="128">
        <f>DATA!DCS35</f>
        <v>0</v>
      </c>
      <c r="DCQ208" s="128">
        <f>DATA!DCT35</f>
        <v>0</v>
      </c>
      <c r="DCR208" s="128">
        <f>DATA!DCU35</f>
        <v>0</v>
      </c>
      <c r="DCS208" s="128">
        <f>DATA!DCV35</f>
        <v>0</v>
      </c>
      <c r="DCT208" s="128">
        <f>DATA!DCW35</f>
        <v>0</v>
      </c>
      <c r="DCU208" s="128">
        <f>DATA!DCX35</f>
        <v>0</v>
      </c>
      <c r="DCV208" s="128">
        <f>DATA!DCY35</f>
        <v>0</v>
      </c>
      <c r="DCW208" s="128">
        <f>DATA!DCZ35</f>
        <v>0</v>
      </c>
      <c r="DCX208" s="128">
        <f>DATA!DDA35</f>
        <v>0</v>
      </c>
      <c r="DCY208" s="128">
        <f>DATA!DDB35</f>
        <v>0</v>
      </c>
      <c r="DCZ208" s="128">
        <f>DATA!DDC35</f>
        <v>0</v>
      </c>
      <c r="DDA208" s="128">
        <f>DATA!DDD35</f>
        <v>0</v>
      </c>
      <c r="DDB208" s="128">
        <f>DATA!DDE35</f>
        <v>0</v>
      </c>
      <c r="DDC208" s="128">
        <f>DATA!DDF35</f>
        <v>0</v>
      </c>
      <c r="DDD208" s="128">
        <f>DATA!DDG35</f>
        <v>0</v>
      </c>
      <c r="DDE208" s="128">
        <f>DATA!DDH35</f>
        <v>0</v>
      </c>
      <c r="DDF208" s="128">
        <f>DATA!DDI35</f>
        <v>0</v>
      </c>
      <c r="DDG208" s="128">
        <f>DATA!DDJ35</f>
        <v>0</v>
      </c>
      <c r="DDH208" s="128">
        <f>DATA!DDK35</f>
        <v>0</v>
      </c>
      <c r="DDI208" s="128">
        <f>DATA!DDL35</f>
        <v>0</v>
      </c>
      <c r="DDJ208" s="128">
        <f>DATA!DDM35</f>
        <v>0</v>
      </c>
      <c r="DDK208" s="128">
        <f>DATA!DDN35</f>
        <v>0</v>
      </c>
      <c r="DDL208" s="128">
        <f>DATA!DDO35</f>
        <v>0</v>
      </c>
      <c r="DDM208" s="128">
        <f>DATA!DDP35</f>
        <v>0</v>
      </c>
      <c r="DDN208" s="128">
        <f>DATA!DDQ35</f>
        <v>0</v>
      </c>
      <c r="DDO208" s="128">
        <f>DATA!DDR35</f>
        <v>0</v>
      </c>
      <c r="DDP208" s="128">
        <f>DATA!DDS35</f>
        <v>0</v>
      </c>
      <c r="DDQ208" s="128">
        <f>DATA!DDT35</f>
        <v>0</v>
      </c>
      <c r="DDR208" s="128">
        <f>DATA!DDU35</f>
        <v>0</v>
      </c>
      <c r="DDS208" s="128">
        <f>DATA!DDV35</f>
        <v>0</v>
      </c>
      <c r="DDT208" s="128">
        <f>DATA!DDW35</f>
        <v>0</v>
      </c>
      <c r="DDU208" s="128">
        <f>DATA!DDX35</f>
        <v>0</v>
      </c>
      <c r="DDV208" s="128">
        <f>DATA!DDY35</f>
        <v>0</v>
      </c>
      <c r="DDW208" s="128">
        <f>DATA!DDZ35</f>
        <v>0</v>
      </c>
      <c r="DDX208" s="128">
        <f>DATA!DEA35</f>
        <v>0</v>
      </c>
      <c r="DDY208" s="128">
        <f>DATA!DEB35</f>
        <v>0</v>
      </c>
      <c r="DDZ208" s="128">
        <f>DATA!DEC35</f>
        <v>0</v>
      </c>
      <c r="DEA208" s="128">
        <f>DATA!DED35</f>
        <v>0</v>
      </c>
      <c r="DEB208" s="128">
        <f>DATA!DEE35</f>
        <v>0</v>
      </c>
      <c r="DEC208" s="128">
        <f>DATA!DEF35</f>
        <v>0</v>
      </c>
      <c r="DED208" s="128">
        <f>DATA!DEG35</f>
        <v>0</v>
      </c>
      <c r="DEE208" s="128">
        <f>DATA!DEH35</f>
        <v>0</v>
      </c>
      <c r="DEF208" s="128">
        <f>DATA!DEI35</f>
        <v>0</v>
      </c>
      <c r="DEG208" s="128">
        <f>DATA!DEJ35</f>
        <v>0</v>
      </c>
      <c r="DEH208" s="128">
        <f>DATA!DEK35</f>
        <v>0</v>
      </c>
      <c r="DEI208" s="128">
        <f>DATA!DEL35</f>
        <v>0</v>
      </c>
      <c r="DEJ208" s="128">
        <f>DATA!DEM35</f>
        <v>0</v>
      </c>
      <c r="DEK208" s="128">
        <f>DATA!DEN35</f>
        <v>0</v>
      </c>
      <c r="DEL208" s="128">
        <f>DATA!DEO35</f>
        <v>0</v>
      </c>
      <c r="DEM208" s="128">
        <f>DATA!DEP35</f>
        <v>0</v>
      </c>
      <c r="DEN208" s="128">
        <f>DATA!DEQ35</f>
        <v>0</v>
      </c>
      <c r="DEO208" s="128">
        <f>DATA!DER35</f>
        <v>0</v>
      </c>
      <c r="DEP208" s="128">
        <f>DATA!DES35</f>
        <v>0</v>
      </c>
      <c r="DEQ208" s="128">
        <f>DATA!DET35</f>
        <v>0</v>
      </c>
      <c r="DER208" s="128">
        <f>DATA!DEU35</f>
        <v>0</v>
      </c>
      <c r="DES208" s="128">
        <f>DATA!DEV35</f>
        <v>0</v>
      </c>
      <c r="DET208" s="128">
        <f>DATA!DEW35</f>
        <v>0</v>
      </c>
      <c r="DEU208" s="128">
        <f>DATA!DEX35</f>
        <v>0</v>
      </c>
      <c r="DEV208" s="128">
        <f>DATA!DEY35</f>
        <v>0</v>
      </c>
      <c r="DEW208" s="128">
        <f>DATA!DEZ35</f>
        <v>0</v>
      </c>
      <c r="DEX208" s="128">
        <f>DATA!DFA35</f>
        <v>0</v>
      </c>
      <c r="DEY208" s="128">
        <f>DATA!DFB35</f>
        <v>0</v>
      </c>
      <c r="DEZ208" s="128">
        <f>DATA!DFC35</f>
        <v>0</v>
      </c>
      <c r="DFA208" s="128">
        <f>DATA!DFD35</f>
        <v>0</v>
      </c>
      <c r="DFB208" s="128">
        <f>DATA!DFE35</f>
        <v>0</v>
      </c>
      <c r="DFC208" s="128">
        <f>DATA!DFF35</f>
        <v>0</v>
      </c>
      <c r="DFD208" s="128">
        <f>DATA!DFG35</f>
        <v>0</v>
      </c>
      <c r="DFE208" s="128">
        <f>DATA!DFH35</f>
        <v>0</v>
      </c>
      <c r="DFF208" s="128">
        <f>DATA!DFI35</f>
        <v>0</v>
      </c>
      <c r="DFG208" s="128">
        <f>DATA!DFJ35</f>
        <v>0</v>
      </c>
      <c r="DFH208" s="128">
        <f>DATA!DFK35</f>
        <v>0</v>
      </c>
      <c r="DFI208" s="128">
        <f>DATA!DFL35</f>
        <v>0</v>
      </c>
      <c r="DFJ208" s="128">
        <f>DATA!DFM35</f>
        <v>0</v>
      </c>
      <c r="DFK208" s="128">
        <f>DATA!DFN35</f>
        <v>0</v>
      </c>
      <c r="DFL208" s="128">
        <f>DATA!DFO35</f>
        <v>0</v>
      </c>
      <c r="DFM208" s="128">
        <f>DATA!DFP35</f>
        <v>0</v>
      </c>
      <c r="DFN208" s="128">
        <f>DATA!DFQ35</f>
        <v>0</v>
      </c>
      <c r="DFO208" s="128">
        <f>DATA!DFR35</f>
        <v>0</v>
      </c>
      <c r="DFP208" s="128">
        <f>DATA!DFS35</f>
        <v>0</v>
      </c>
      <c r="DFQ208" s="128">
        <f>DATA!DFT35</f>
        <v>0</v>
      </c>
      <c r="DFR208" s="128">
        <f>DATA!DFU35</f>
        <v>0</v>
      </c>
      <c r="DFS208" s="128">
        <f>DATA!DFV35</f>
        <v>0</v>
      </c>
      <c r="DFT208" s="128">
        <f>DATA!DFW35</f>
        <v>0</v>
      </c>
      <c r="DFU208" s="128">
        <f>DATA!DFX35</f>
        <v>0</v>
      </c>
      <c r="DFV208" s="128">
        <f>DATA!DFY35</f>
        <v>0</v>
      </c>
      <c r="DFW208" s="128">
        <f>DATA!DFZ35</f>
        <v>0</v>
      </c>
      <c r="DFX208" s="128">
        <f>DATA!DGA35</f>
        <v>0</v>
      </c>
      <c r="DFY208" s="128">
        <f>DATA!DGB35</f>
        <v>0</v>
      </c>
      <c r="DFZ208" s="128">
        <f>DATA!DGC35</f>
        <v>0</v>
      </c>
      <c r="DGA208" s="128">
        <f>DATA!DGD35</f>
        <v>0</v>
      </c>
      <c r="DGB208" s="128">
        <f>DATA!DGE35</f>
        <v>0</v>
      </c>
      <c r="DGC208" s="128">
        <f>DATA!DGF35</f>
        <v>0</v>
      </c>
      <c r="DGD208" s="128">
        <f>DATA!DGG35</f>
        <v>0</v>
      </c>
      <c r="DGE208" s="128">
        <f>DATA!DGH35</f>
        <v>0</v>
      </c>
      <c r="DGF208" s="128">
        <f>DATA!DGI35</f>
        <v>0</v>
      </c>
      <c r="DGG208" s="128">
        <f>DATA!DGJ35</f>
        <v>0</v>
      </c>
      <c r="DGH208" s="128">
        <f>DATA!DGK35</f>
        <v>0</v>
      </c>
      <c r="DGI208" s="128">
        <f>DATA!DGL35</f>
        <v>0</v>
      </c>
      <c r="DGJ208" s="128">
        <f>DATA!DGM35</f>
        <v>0</v>
      </c>
      <c r="DGK208" s="128">
        <f>DATA!DGN35</f>
        <v>0</v>
      </c>
      <c r="DGL208" s="128">
        <f>DATA!DGO35</f>
        <v>0</v>
      </c>
      <c r="DGM208" s="128">
        <f>DATA!DGP35</f>
        <v>0</v>
      </c>
      <c r="DGN208" s="128">
        <f>DATA!DGQ35</f>
        <v>0</v>
      </c>
      <c r="DGO208" s="128">
        <f>DATA!DGR35</f>
        <v>0</v>
      </c>
      <c r="DGP208" s="128">
        <f>DATA!DGS35</f>
        <v>0</v>
      </c>
      <c r="DGQ208" s="128">
        <f>DATA!DGT35</f>
        <v>0</v>
      </c>
      <c r="DGR208" s="128">
        <f>DATA!DGU35</f>
        <v>0</v>
      </c>
      <c r="DGS208" s="128">
        <f>DATA!DGV35</f>
        <v>0</v>
      </c>
      <c r="DGT208" s="128">
        <f>DATA!DGW35</f>
        <v>0</v>
      </c>
      <c r="DGU208" s="128">
        <f>DATA!DGX35</f>
        <v>0</v>
      </c>
      <c r="DGV208" s="128">
        <f>DATA!DGY35</f>
        <v>0</v>
      </c>
      <c r="DGW208" s="128">
        <f>DATA!DGZ35</f>
        <v>0</v>
      </c>
      <c r="DGX208" s="128">
        <f>DATA!DHA35</f>
        <v>0</v>
      </c>
      <c r="DGY208" s="128">
        <f>DATA!DHB35</f>
        <v>0</v>
      </c>
      <c r="DGZ208" s="128">
        <f>DATA!DHC35</f>
        <v>0</v>
      </c>
      <c r="DHA208" s="128">
        <f>DATA!DHD35</f>
        <v>0</v>
      </c>
      <c r="DHB208" s="128">
        <f>DATA!DHE35</f>
        <v>0</v>
      </c>
      <c r="DHC208" s="128">
        <f>DATA!DHF35</f>
        <v>0</v>
      </c>
      <c r="DHD208" s="128">
        <f>DATA!DHG35</f>
        <v>0</v>
      </c>
      <c r="DHE208" s="128">
        <f>DATA!DHH35</f>
        <v>0</v>
      </c>
      <c r="DHF208" s="128">
        <f>DATA!DHI35</f>
        <v>0</v>
      </c>
      <c r="DHG208" s="128">
        <f>DATA!DHJ35</f>
        <v>0</v>
      </c>
      <c r="DHH208" s="128">
        <f>DATA!DHK35</f>
        <v>0</v>
      </c>
      <c r="DHI208" s="128">
        <f>DATA!DHL35</f>
        <v>0</v>
      </c>
      <c r="DHJ208" s="128">
        <f>DATA!DHM35</f>
        <v>0</v>
      </c>
      <c r="DHK208" s="128">
        <f>DATA!DHN35</f>
        <v>0</v>
      </c>
      <c r="DHL208" s="128">
        <f>DATA!DHO35</f>
        <v>0</v>
      </c>
      <c r="DHM208" s="128">
        <f>DATA!DHP35</f>
        <v>0</v>
      </c>
      <c r="DHN208" s="128">
        <f>DATA!DHQ35</f>
        <v>0</v>
      </c>
      <c r="DHO208" s="128">
        <f>DATA!DHR35</f>
        <v>0</v>
      </c>
      <c r="DHP208" s="128">
        <f>DATA!DHS35</f>
        <v>0</v>
      </c>
      <c r="DHQ208" s="128">
        <f>DATA!DHT35</f>
        <v>0</v>
      </c>
      <c r="DHR208" s="128">
        <f>DATA!DHU35</f>
        <v>0</v>
      </c>
      <c r="DHS208" s="128">
        <f>DATA!DHV35</f>
        <v>0</v>
      </c>
      <c r="DHT208" s="128">
        <f>DATA!DHW35</f>
        <v>0</v>
      </c>
      <c r="DHU208" s="128">
        <f>DATA!DHX35</f>
        <v>0</v>
      </c>
      <c r="DHV208" s="128">
        <f>DATA!DHY35</f>
        <v>0</v>
      </c>
      <c r="DHW208" s="128">
        <f>DATA!DHZ35</f>
        <v>0</v>
      </c>
      <c r="DHX208" s="128">
        <f>DATA!DIA35</f>
        <v>0</v>
      </c>
      <c r="DHY208" s="128">
        <f>DATA!DIB35</f>
        <v>0</v>
      </c>
      <c r="DHZ208" s="128">
        <f>DATA!DIC35</f>
        <v>0</v>
      </c>
      <c r="DIA208" s="128">
        <f>DATA!DID35</f>
        <v>0</v>
      </c>
      <c r="DIB208" s="128">
        <f>DATA!DIE35</f>
        <v>0</v>
      </c>
      <c r="DIC208" s="128">
        <f>DATA!DIF35</f>
        <v>0</v>
      </c>
      <c r="DID208" s="128">
        <f>DATA!DIG35</f>
        <v>0</v>
      </c>
      <c r="DIE208" s="128">
        <f>DATA!DIH35</f>
        <v>0</v>
      </c>
      <c r="DIF208" s="128">
        <f>DATA!DII35</f>
        <v>0</v>
      </c>
      <c r="DIG208" s="128">
        <f>DATA!DIJ35</f>
        <v>0</v>
      </c>
      <c r="DIH208" s="128">
        <f>DATA!DIK35</f>
        <v>0</v>
      </c>
      <c r="DII208" s="128">
        <f>DATA!DIL35</f>
        <v>0</v>
      </c>
      <c r="DIJ208" s="128">
        <f>DATA!DIM35</f>
        <v>0</v>
      </c>
      <c r="DIK208" s="128">
        <f>DATA!DIN35</f>
        <v>0</v>
      </c>
      <c r="DIL208" s="128">
        <f>DATA!DIO35</f>
        <v>0</v>
      </c>
      <c r="DIM208" s="128">
        <f>DATA!DIP35</f>
        <v>0</v>
      </c>
      <c r="DIN208" s="128">
        <f>DATA!DIQ35</f>
        <v>0</v>
      </c>
      <c r="DIO208" s="128">
        <f>DATA!DIR35</f>
        <v>0</v>
      </c>
      <c r="DIP208" s="128">
        <f>DATA!DIS35</f>
        <v>0</v>
      </c>
      <c r="DIQ208" s="128">
        <f>DATA!DIT35</f>
        <v>0</v>
      </c>
      <c r="DIR208" s="128">
        <f>DATA!DIU35</f>
        <v>0</v>
      </c>
      <c r="DIS208" s="128">
        <f>DATA!DIV35</f>
        <v>0</v>
      </c>
      <c r="DIT208" s="128">
        <f>DATA!DIW35</f>
        <v>0</v>
      </c>
      <c r="DIU208" s="128">
        <f>DATA!DIX35</f>
        <v>0</v>
      </c>
      <c r="DIV208" s="128">
        <f>DATA!DIY35</f>
        <v>0</v>
      </c>
      <c r="DIW208" s="128">
        <f>DATA!DIZ35</f>
        <v>0</v>
      </c>
      <c r="DIX208" s="128">
        <f>DATA!DJA35</f>
        <v>0</v>
      </c>
      <c r="DIY208" s="128">
        <f>DATA!DJB35</f>
        <v>0</v>
      </c>
      <c r="DIZ208" s="128">
        <f>DATA!DJC35</f>
        <v>0</v>
      </c>
      <c r="DJA208" s="128">
        <f>DATA!DJD35</f>
        <v>0</v>
      </c>
      <c r="DJB208" s="128">
        <f>DATA!DJE35</f>
        <v>0</v>
      </c>
      <c r="DJC208" s="128">
        <f>DATA!DJF35</f>
        <v>0</v>
      </c>
      <c r="DJD208" s="128">
        <f>DATA!DJG35</f>
        <v>0</v>
      </c>
      <c r="DJE208" s="128">
        <f>DATA!DJH35</f>
        <v>0</v>
      </c>
      <c r="DJF208" s="128">
        <f>DATA!DJI35</f>
        <v>0</v>
      </c>
      <c r="DJG208" s="128">
        <f>DATA!DJJ35</f>
        <v>0</v>
      </c>
      <c r="DJH208" s="128">
        <f>DATA!DJK35</f>
        <v>0</v>
      </c>
      <c r="DJI208" s="128">
        <f>DATA!DJL35</f>
        <v>0</v>
      </c>
      <c r="DJJ208" s="128">
        <f>DATA!DJM35</f>
        <v>0</v>
      </c>
      <c r="DJK208" s="128">
        <f>DATA!DJN35</f>
        <v>0</v>
      </c>
      <c r="DJL208" s="128">
        <f>DATA!DJO35</f>
        <v>0</v>
      </c>
      <c r="DJM208" s="128">
        <f>DATA!DJP35</f>
        <v>0</v>
      </c>
      <c r="DJN208" s="128">
        <f>DATA!DJQ35</f>
        <v>0</v>
      </c>
      <c r="DJO208" s="128">
        <f>DATA!DJR35</f>
        <v>0</v>
      </c>
      <c r="DJP208" s="128">
        <f>DATA!DJS35</f>
        <v>0</v>
      </c>
      <c r="DJQ208" s="128">
        <f>DATA!DJT35</f>
        <v>0</v>
      </c>
      <c r="DJR208" s="128">
        <f>DATA!DJU35</f>
        <v>0</v>
      </c>
      <c r="DJS208" s="128">
        <f>DATA!DJV35</f>
        <v>0</v>
      </c>
      <c r="DJT208" s="128">
        <f>DATA!DJW35</f>
        <v>0</v>
      </c>
      <c r="DJU208" s="128">
        <f>DATA!DJX35</f>
        <v>0</v>
      </c>
      <c r="DJV208" s="128">
        <f>DATA!DJY35</f>
        <v>0</v>
      </c>
      <c r="DJW208" s="128">
        <f>DATA!DJZ35</f>
        <v>0</v>
      </c>
      <c r="DJX208" s="128">
        <f>DATA!DKA35</f>
        <v>0</v>
      </c>
      <c r="DJY208" s="128">
        <f>DATA!DKB35</f>
        <v>0</v>
      </c>
      <c r="DJZ208" s="128">
        <f>DATA!DKC35</f>
        <v>0</v>
      </c>
      <c r="DKA208" s="128">
        <f>DATA!DKD35</f>
        <v>0</v>
      </c>
      <c r="DKB208" s="128">
        <f>DATA!DKE35</f>
        <v>0</v>
      </c>
      <c r="DKC208" s="128">
        <f>DATA!DKF35</f>
        <v>0</v>
      </c>
      <c r="DKD208" s="128">
        <f>DATA!DKG35</f>
        <v>0</v>
      </c>
      <c r="DKE208" s="128">
        <f>DATA!DKH35</f>
        <v>0</v>
      </c>
      <c r="DKF208" s="128">
        <f>DATA!DKI35</f>
        <v>0</v>
      </c>
      <c r="DKG208" s="128">
        <f>DATA!DKJ35</f>
        <v>0</v>
      </c>
      <c r="DKH208" s="128">
        <f>DATA!DKK35</f>
        <v>0</v>
      </c>
      <c r="DKI208" s="128">
        <f>DATA!DKL35</f>
        <v>0</v>
      </c>
      <c r="DKJ208" s="128">
        <f>DATA!DKM35</f>
        <v>0</v>
      </c>
      <c r="DKK208" s="128">
        <f>DATA!DKN35</f>
        <v>0</v>
      </c>
      <c r="DKL208" s="128">
        <f>DATA!DKO35</f>
        <v>0</v>
      </c>
      <c r="DKM208" s="128">
        <f>DATA!DKP35</f>
        <v>0</v>
      </c>
      <c r="DKN208" s="128">
        <f>DATA!DKQ35</f>
        <v>0</v>
      </c>
      <c r="DKO208" s="128">
        <f>DATA!DKR35</f>
        <v>0</v>
      </c>
      <c r="DKP208" s="128">
        <f>DATA!DKS35</f>
        <v>0</v>
      </c>
      <c r="DKQ208" s="128">
        <f>DATA!DKT35</f>
        <v>0</v>
      </c>
      <c r="DKR208" s="128">
        <f>DATA!DKU35</f>
        <v>0</v>
      </c>
      <c r="DKS208" s="128">
        <f>DATA!DKV35</f>
        <v>0</v>
      </c>
      <c r="DKT208" s="128">
        <f>DATA!DKW35</f>
        <v>0</v>
      </c>
      <c r="DKU208" s="128">
        <f>DATA!DKX35</f>
        <v>0</v>
      </c>
      <c r="DKV208" s="128">
        <f>DATA!DKY35</f>
        <v>0</v>
      </c>
      <c r="DKW208" s="128">
        <f>DATA!DKZ35</f>
        <v>0</v>
      </c>
      <c r="DKX208" s="128">
        <f>DATA!DLA35</f>
        <v>0</v>
      </c>
      <c r="DKY208" s="128">
        <f>DATA!DLB35</f>
        <v>0</v>
      </c>
      <c r="DKZ208" s="128">
        <f>DATA!DLC35</f>
        <v>0</v>
      </c>
      <c r="DLA208" s="128">
        <f>DATA!DLD35</f>
        <v>0</v>
      </c>
      <c r="DLB208" s="128">
        <f>DATA!DLE35</f>
        <v>0</v>
      </c>
      <c r="DLC208" s="128">
        <f>DATA!DLF35</f>
        <v>0</v>
      </c>
      <c r="DLD208" s="128">
        <f>DATA!DLG35</f>
        <v>0</v>
      </c>
      <c r="DLE208" s="128">
        <f>DATA!DLH35</f>
        <v>0</v>
      </c>
      <c r="DLF208" s="128">
        <f>DATA!DLI35</f>
        <v>0</v>
      </c>
      <c r="DLG208" s="128">
        <f>DATA!DLJ35</f>
        <v>0</v>
      </c>
      <c r="DLH208" s="128">
        <f>DATA!DLK35</f>
        <v>0</v>
      </c>
      <c r="DLI208" s="128">
        <f>DATA!DLL35</f>
        <v>0</v>
      </c>
      <c r="DLJ208" s="128">
        <f>DATA!DLM35</f>
        <v>0</v>
      </c>
      <c r="DLK208" s="128">
        <f>DATA!DLN35</f>
        <v>0</v>
      </c>
      <c r="DLL208" s="128">
        <f>DATA!DLO35</f>
        <v>0</v>
      </c>
      <c r="DLM208" s="128">
        <f>DATA!DLP35</f>
        <v>0</v>
      </c>
      <c r="DLN208" s="128">
        <f>DATA!DLQ35</f>
        <v>0</v>
      </c>
      <c r="DLO208" s="128">
        <f>DATA!DLR35</f>
        <v>0</v>
      </c>
      <c r="DLP208" s="128">
        <f>DATA!DLS35</f>
        <v>0</v>
      </c>
      <c r="DLQ208" s="128">
        <f>DATA!DLT35</f>
        <v>0</v>
      </c>
      <c r="DLR208" s="128">
        <f>DATA!DLU35</f>
        <v>0</v>
      </c>
      <c r="DLS208" s="128">
        <f>DATA!DLV35</f>
        <v>0</v>
      </c>
      <c r="DLT208" s="128">
        <f>DATA!DLW35</f>
        <v>0</v>
      </c>
      <c r="DLU208" s="128">
        <f>DATA!DLX35</f>
        <v>0</v>
      </c>
      <c r="DLV208" s="128">
        <f>DATA!DLY35</f>
        <v>0</v>
      </c>
      <c r="DLW208" s="128">
        <f>DATA!DLZ35</f>
        <v>0</v>
      </c>
      <c r="DLX208" s="128">
        <f>DATA!DMA35</f>
        <v>0</v>
      </c>
      <c r="DLY208" s="128">
        <f>DATA!DMB35</f>
        <v>0</v>
      </c>
      <c r="DLZ208" s="128">
        <f>DATA!DMC35</f>
        <v>0</v>
      </c>
      <c r="DMA208" s="128">
        <f>DATA!DMD35</f>
        <v>0</v>
      </c>
      <c r="DMB208" s="128">
        <f>DATA!DME35</f>
        <v>0</v>
      </c>
      <c r="DMC208" s="128">
        <f>DATA!DMF35</f>
        <v>0</v>
      </c>
      <c r="DMD208" s="128">
        <f>DATA!DMG35</f>
        <v>0</v>
      </c>
      <c r="DME208" s="128">
        <f>DATA!DMH35</f>
        <v>0</v>
      </c>
      <c r="DMF208" s="128">
        <f>DATA!DMI35</f>
        <v>0</v>
      </c>
      <c r="DMG208" s="128">
        <f>DATA!DMJ35</f>
        <v>0</v>
      </c>
      <c r="DMH208" s="128">
        <f>DATA!DMK35</f>
        <v>0</v>
      </c>
      <c r="DMI208" s="128">
        <f>DATA!DML35</f>
        <v>0</v>
      </c>
      <c r="DMJ208" s="128">
        <f>DATA!DMM35</f>
        <v>0</v>
      </c>
      <c r="DMK208" s="128">
        <f>DATA!DMN35</f>
        <v>0</v>
      </c>
      <c r="DML208" s="128">
        <f>DATA!DMO35</f>
        <v>0</v>
      </c>
      <c r="DMM208" s="128">
        <f>DATA!DMP35</f>
        <v>0</v>
      </c>
      <c r="DMN208" s="128">
        <f>DATA!DMQ35</f>
        <v>0</v>
      </c>
      <c r="DMO208" s="128">
        <f>DATA!DMR35</f>
        <v>0</v>
      </c>
      <c r="DMP208" s="128">
        <f>DATA!DMS35</f>
        <v>0</v>
      </c>
      <c r="DMQ208" s="128">
        <f>DATA!DMT35</f>
        <v>0</v>
      </c>
      <c r="DMR208" s="128">
        <f>DATA!DMU35</f>
        <v>0</v>
      </c>
      <c r="DMS208" s="128">
        <f>DATA!DMV35</f>
        <v>0</v>
      </c>
      <c r="DMT208" s="128">
        <f>DATA!DMW35</f>
        <v>0</v>
      </c>
      <c r="DMU208" s="128">
        <f>DATA!DMX35</f>
        <v>0</v>
      </c>
      <c r="DMV208" s="128">
        <f>DATA!DMY35</f>
        <v>0</v>
      </c>
      <c r="DMW208" s="128">
        <f>DATA!DMZ35</f>
        <v>0</v>
      </c>
      <c r="DMX208" s="128">
        <f>DATA!DNA35</f>
        <v>0</v>
      </c>
      <c r="DMY208" s="128">
        <f>DATA!DNB35</f>
        <v>0</v>
      </c>
      <c r="DMZ208" s="128">
        <f>DATA!DNC35</f>
        <v>0</v>
      </c>
      <c r="DNA208" s="128">
        <f>DATA!DND35</f>
        <v>0</v>
      </c>
      <c r="DNB208" s="128">
        <f>DATA!DNE35</f>
        <v>0</v>
      </c>
      <c r="DNC208" s="128">
        <f>DATA!DNF35</f>
        <v>0</v>
      </c>
      <c r="DND208" s="128">
        <f>DATA!DNG35</f>
        <v>0</v>
      </c>
      <c r="DNE208" s="128">
        <f>DATA!DNH35</f>
        <v>0</v>
      </c>
      <c r="DNF208" s="128">
        <f>DATA!DNI35</f>
        <v>0</v>
      </c>
      <c r="DNG208" s="128">
        <f>DATA!DNJ35</f>
        <v>0</v>
      </c>
      <c r="DNH208" s="128">
        <f>DATA!DNK35</f>
        <v>0</v>
      </c>
      <c r="DNI208" s="128">
        <f>DATA!DNL35</f>
        <v>0</v>
      </c>
      <c r="DNJ208" s="128">
        <f>DATA!DNM35</f>
        <v>0</v>
      </c>
      <c r="DNK208" s="128">
        <f>DATA!DNN35</f>
        <v>0</v>
      </c>
      <c r="DNL208" s="128">
        <f>DATA!DNO35</f>
        <v>0</v>
      </c>
      <c r="DNM208" s="128">
        <f>DATA!DNP35</f>
        <v>0</v>
      </c>
      <c r="DNN208" s="128">
        <f>DATA!DNQ35</f>
        <v>0</v>
      </c>
      <c r="DNO208" s="128">
        <f>DATA!DNR35</f>
        <v>0</v>
      </c>
      <c r="DNP208" s="128">
        <f>DATA!DNS35</f>
        <v>0</v>
      </c>
      <c r="DNQ208" s="128">
        <f>DATA!DNT35</f>
        <v>0</v>
      </c>
      <c r="DNR208" s="128">
        <f>DATA!DNU35</f>
        <v>0</v>
      </c>
      <c r="DNS208" s="128">
        <f>DATA!DNV35</f>
        <v>0</v>
      </c>
      <c r="DNT208" s="128">
        <f>DATA!DNW35</f>
        <v>0</v>
      </c>
      <c r="DNU208" s="128">
        <f>DATA!DNX35</f>
        <v>0</v>
      </c>
      <c r="DNV208" s="128">
        <f>DATA!DNY35</f>
        <v>0</v>
      </c>
      <c r="DNW208" s="128">
        <f>DATA!DNZ35</f>
        <v>0</v>
      </c>
      <c r="DNX208" s="128">
        <f>DATA!DOA35</f>
        <v>0</v>
      </c>
      <c r="DNY208" s="128">
        <f>DATA!DOB35</f>
        <v>0</v>
      </c>
      <c r="DNZ208" s="128">
        <f>DATA!DOC35</f>
        <v>0</v>
      </c>
      <c r="DOA208" s="128">
        <f>DATA!DOD35</f>
        <v>0</v>
      </c>
      <c r="DOB208" s="128">
        <f>DATA!DOE35</f>
        <v>0</v>
      </c>
      <c r="DOC208" s="128">
        <f>DATA!DOF35</f>
        <v>0</v>
      </c>
      <c r="DOD208" s="128">
        <f>DATA!DOG35</f>
        <v>0</v>
      </c>
      <c r="DOE208" s="128">
        <f>DATA!DOH35</f>
        <v>0</v>
      </c>
      <c r="DOF208" s="128">
        <f>DATA!DOI35</f>
        <v>0</v>
      </c>
      <c r="DOG208" s="128">
        <f>DATA!DOJ35</f>
        <v>0</v>
      </c>
      <c r="DOH208" s="128">
        <f>DATA!DOK35</f>
        <v>0</v>
      </c>
      <c r="DOI208" s="128">
        <f>DATA!DOL35</f>
        <v>0</v>
      </c>
      <c r="DOJ208" s="128">
        <f>DATA!DOM35</f>
        <v>0</v>
      </c>
      <c r="DOK208" s="128">
        <f>DATA!DON35</f>
        <v>0</v>
      </c>
      <c r="DOL208" s="128">
        <f>DATA!DOO35</f>
        <v>0</v>
      </c>
      <c r="DOM208" s="128">
        <f>DATA!DOP35</f>
        <v>0</v>
      </c>
      <c r="DON208" s="128">
        <f>DATA!DOQ35</f>
        <v>0</v>
      </c>
      <c r="DOO208" s="128">
        <f>DATA!DOR35</f>
        <v>0</v>
      </c>
      <c r="DOP208" s="128">
        <f>DATA!DOS35</f>
        <v>0</v>
      </c>
      <c r="DOQ208" s="128">
        <f>DATA!DOT35</f>
        <v>0</v>
      </c>
      <c r="DOR208" s="128">
        <f>DATA!DOU35</f>
        <v>0</v>
      </c>
      <c r="DOS208" s="128">
        <f>DATA!DOV35</f>
        <v>0</v>
      </c>
      <c r="DOT208" s="128">
        <f>DATA!DOW35</f>
        <v>0</v>
      </c>
      <c r="DOU208" s="128">
        <f>DATA!DOX35</f>
        <v>0</v>
      </c>
      <c r="DOV208" s="128">
        <f>DATA!DOY35</f>
        <v>0</v>
      </c>
      <c r="DOW208" s="128">
        <f>DATA!DOZ35</f>
        <v>0</v>
      </c>
      <c r="DOX208" s="128">
        <f>DATA!DPA35</f>
        <v>0</v>
      </c>
      <c r="DOY208" s="128">
        <f>DATA!DPB35</f>
        <v>0</v>
      </c>
      <c r="DOZ208" s="128">
        <f>DATA!DPC35</f>
        <v>0</v>
      </c>
      <c r="DPA208" s="128">
        <f>DATA!DPD35</f>
        <v>0</v>
      </c>
      <c r="DPB208" s="128">
        <f>DATA!DPE35</f>
        <v>0</v>
      </c>
      <c r="DPC208" s="128">
        <f>DATA!DPF35</f>
        <v>0</v>
      </c>
      <c r="DPD208" s="128">
        <f>DATA!DPG35</f>
        <v>0</v>
      </c>
      <c r="DPE208" s="128">
        <f>DATA!DPH35</f>
        <v>0</v>
      </c>
      <c r="DPF208" s="128">
        <f>DATA!DPI35</f>
        <v>0</v>
      </c>
      <c r="DPG208" s="128">
        <f>DATA!DPJ35</f>
        <v>0</v>
      </c>
      <c r="DPH208" s="128">
        <f>DATA!DPK35</f>
        <v>0</v>
      </c>
      <c r="DPI208" s="128">
        <f>DATA!DPL35</f>
        <v>0</v>
      </c>
      <c r="DPJ208" s="128">
        <f>DATA!DPM35</f>
        <v>0</v>
      </c>
      <c r="DPK208" s="128">
        <f>DATA!DPN35</f>
        <v>0</v>
      </c>
      <c r="DPL208" s="128">
        <f>DATA!DPO35</f>
        <v>0</v>
      </c>
      <c r="DPM208" s="128">
        <f>DATA!DPP35</f>
        <v>0</v>
      </c>
      <c r="DPN208" s="128">
        <f>DATA!DPQ35</f>
        <v>0</v>
      </c>
      <c r="DPO208" s="128">
        <f>DATA!DPR35</f>
        <v>0</v>
      </c>
      <c r="DPP208" s="128">
        <f>DATA!DPS35</f>
        <v>0</v>
      </c>
      <c r="DPQ208" s="128">
        <f>DATA!DPT35</f>
        <v>0</v>
      </c>
      <c r="DPR208" s="128">
        <f>DATA!DPU35</f>
        <v>0</v>
      </c>
      <c r="DPS208" s="128">
        <f>DATA!DPV35</f>
        <v>0</v>
      </c>
      <c r="DPT208" s="128">
        <f>DATA!DPW35</f>
        <v>0</v>
      </c>
      <c r="DPU208" s="128">
        <f>DATA!DPX35</f>
        <v>0</v>
      </c>
      <c r="DPV208" s="128">
        <f>DATA!DPY35</f>
        <v>0</v>
      </c>
      <c r="DPW208" s="128">
        <f>DATA!DPZ35</f>
        <v>0</v>
      </c>
      <c r="DPX208" s="128">
        <f>DATA!DQA35</f>
        <v>0</v>
      </c>
      <c r="DPY208" s="128">
        <f>DATA!DQB35</f>
        <v>0</v>
      </c>
      <c r="DPZ208" s="128">
        <f>DATA!DQC35</f>
        <v>0</v>
      </c>
      <c r="DQA208" s="128">
        <f>DATA!DQD35</f>
        <v>0</v>
      </c>
      <c r="DQB208" s="128">
        <f>DATA!DQE35</f>
        <v>0</v>
      </c>
      <c r="DQC208" s="128">
        <f>DATA!DQF35</f>
        <v>0</v>
      </c>
      <c r="DQD208" s="128">
        <f>DATA!DQG35</f>
        <v>0</v>
      </c>
      <c r="DQE208" s="128">
        <f>DATA!DQH35</f>
        <v>0</v>
      </c>
      <c r="DQF208" s="128">
        <f>DATA!DQI35</f>
        <v>0</v>
      </c>
      <c r="DQG208" s="128">
        <f>DATA!DQJ35</f>
        <v>0</v>
      </c>
      <c r="DQH208" s="128">
        <f>DATA!DQK35</f>
        <v>0</v>
      </c>
      <c r="DQI208" s="128">
        <f>DATA!DQL35</f>
        <v>0</v>
      </c>
      <c r="DQJ208" s="128">
        <f>DATA!DQM35</f>
        <v>0</v>
      </c>
      <c r="DQK208" s="128">
        <f>DATA!DQN35</f>
        <v>0</v>
      </c>
      <c r="DQL208" s="128">
        <f>DATA!DQO35</f>
        <v>0</v>
      </c>
      <c r="DQM208" s="128">
        <f>DATA!DQP35</f>
        <v>0</v>
      </c>
      <c r="DQN208" s="128">
        <f>DATA!DQQ35</f>
        <v>0</v>
      </c>
      <c r="DQO208" s="128">
        <f>DATA!DQR35</f>
        <v>0</v>
      </c>
      <c r="DQP208" s="128">
        <f>DATA!DQS35</f>
        <v>0</v>
      </c>
      <c r="DQQ208" s="128">
        <f>DATA!DQT35</f>
        <v>0</v>
      </c>
      <c r="DQR208" s="128">
        <f>DATA!DQU35</f>
        <v>0</v>
      </c>
      <c r="DQS208" s="128">
        <f>DATA!DQV35</f>
        <v>0</v>
      </c>
      <c r="DQT208" s="128">
        <f>DATA!DQW35</f>
        <v>0</v>
      </c>
      <c r="DQU208" s="128">
        <f>DATA!DQX35</f>
        <v>0</v>
      </c>
      <c r="DQV208" s="128">
        <f>DATA!DQY35</f>
        <v>0</v>
      </c>
      <c r="DQW208" s="128">
        <f>DATA!DQZ35</f>
        <v>0</v>
      </c>
      <c r="DQX208" s="128">
        <f>DATA!DRA35</f>
        <v>0</v>
      </c>
      <c r="DQY208" s="128">
        <f>DATA!DRB35</f>
        <v>0</v>
      </c>
      <c r="DQZ208" s="128">
        <f>DATA!DRC35</f>
        <v>0</v>
      </c>
      <c r="DRA208" s="128">
        <f>DATA!DRD35</f>
        <v>0</v>
      </c>
      <c r="DRB208" s="128">
        <f>DATA!DRE35</f>
        <v>0</v>
      </c>
      <c r="DRC208" s="128">
        <f>DATA!DRF35</f>
        <v>0</v>
      </c>
      <c r="DRD208" s="128">
        <f>DATA!DRG35</f>
        <v>0</v>
      </c>
      <c r="DRE208" s="128">
        <f>DATA!DRH35</f>
        <v>0</v>
      </c>
      <c r="DRF208" s="128">
        <f>DATA!DRI35</f>
        <v>0</v>
      </c>
      <c r="DRG208" s="128">
        <f>DATA!DRJ35</f>
        <v>0</v>
      </c>
      <c r="DRH208" s="128">
        <f>DATA!DRK35</f>
        <v>0</v>
      </c>
      <c r="DRI208" s="128">
        <f>DATA!DRL35</f>
        <v>0</v>
      </c>
      <c r="DRJ208" s="128">
        <f>DATA!DRM35</f>
        <v>0</v>
      </c>
      <c r="DRK208" s="128">
        <f>DATA!DRN35</f>
        <v>0</v>
      </c>
      <c r="DRL208" s="128">
        <f>DATA!DRO35</f>
        <v>0</v>
      </c>
      <c r="DRM208" s="128">
        <f>DATA!DRP35</f>
        <v>0</v>
      </c>
      <c r="DRN208" s="128">
        <f>DATA!DRQ35</f>
        <v>0</v>
      </c>
      <c r="DRO208" s="128">
        <f>DATA!DRR35</f>
        <v>0</v>
      </c>
      <c r="DRP208" s="128">
        <f>DATA!DRS35</f>
        <v>0</v>
      </c>
      <c r="DRQ208" s="128">
        <f>DATA!DRT35</f>
        <v>0</v>
      </c>
      <c r="DRR208" s="128">
        <f>DATA!DRU35</f>
        <v>0</v>
      </c>
      <c r="DRS208" s="128">
        <f>DATA!DRV35</f>
        <v>0</v>
      </c>
      <c r="DRT208" s="128">
        <f>DATA!DRW35</f>
        <v>0</v>
      </c>
      <c r="DRU208" s="128">
        <f>DATA!DRX35</f>
        <v>0</v>
      </c>
      <c r="DRV208" s="128">
        <f>DATA!DRY35</f>
        <v>0</v>
      </c>
      <c r="DRW208" s="128">
        <f>DATA!DRZ35</f>
        <v>0</v>
      </c>
      <c r="DRX208" s="128">
        <f>DATA!DSA35</f>
        <v>0</v>
      </c>
      <c r="DRY208" s="128">
        <f>DATA!DSB35</f>
        <v>0</v>
      </c>
      <c r="DRZ208" s="128">
        <f>DATA!DSC35</f>
        <v>0</v>
      </c>
      <c r="DSA208" s="128">
        <f>DATA!DSD35</f>
        <v>0</v>
      </c>
      <c r="DSB208" s="128">
        <f>DATA!DSE35</f>
        <v>0</v>
      </c>
      <c r="DSC208" s="128">
        <f>DATA!DSF35</f>
        <v>0</v>
      </c>
      <c r="DSD208" s="128">
        <f>DATA!DSG35</f>
        <v>0</v>
      </c>
      <c r="DSE208" s="128">
        <f>DATA!DSH35</f>
        <v>0</v>
      </c>
      <c r="DSF208" s="128">
        <f>DATA!DSI35</f>
        <v>0</v>
      </c>
      <c r="DSG208" s="128">
        <f>DATA!DSJ35</f>
        <v>0</v>
      </c>
      <c r="DSH208" s="128">
        <f>DATA!DSK35</f>
        <v>0</v>
      </c>
      <c r="DSI208" s="128">
        <f>DATA!DSL35</f>
        <v>0</v>
      </c>
      <c r="DSJ208" s="128">
        <f>DATA!DSM35</f>
        <v>0</v>
      </c>
      <c r="DSK208" s="128">
        <f>DATA!DSN35</f>
        <v>0</v>
      </c>
      <c r="DSL208" s="128">
        <f>DATA!DSO35</f>
        <v>0</v>
      </c>
      <c r="DSM208" s="128">
        <f>DATA!DSP35</f>
        <v>0</v>
      </c>
      <c r="DSN208" s="128">
        <f>DATA!DSQ35</f>
        <v>0</v>
      </c>
      <c r="DSO208" s="128">
        <f>DATA!DSR35</f>
        <v>0</v>
      </c>
      <c r="DSP208" s="128">
        <f>DATA!DSS35</f>
        <v>0</v>
      </c>
      <c r="DSQ208" s="128">
        <f>DATA!DST35</f>
        <v>0</v>
      </c>
      <c r="DSR208" s="128">
        <f>DATA!DSU35</f>
        <v>0</v>
      </c>
      <c r="DSS208" s="128">
        <f>DATA!DSV35</f>
        <v>0</v>
      </c>
      <c r="DST208" s="128">
        <f>DATA!DSW35</f>
        <v>0</v>
      </c>
      <c r="DSU208" s="128">
        <f>DATA!DSX35</f>
        <v>0</v>
      </c>
      <c r="DSV208" s="128">
        <f>DATA!DSY35</f>
        <v>0</v>
      </c>
      <c r="DSW208" s="128">
        <f>DATA!DSZ35</f>
        <v>0</v>
      </c>
      <c r="DSX208" s="128">
        <f>DATA!DTA35</f>
        <v>0</v>
      </c>
      <c r="DSY208" s="128">
        <f>DATA!DTB35</f>
        <v>0</v>
      </c>
      <c r="DSZ208" s="128">
        <f>DATA!DTC35</f>
        <v>0</v>
      </c>
      <c r="DTA208" s="128">
        <f>DATA!DTD35</f>
        <v>0</v>
      </c>
      <c r="DTB208" s="128">
        <f>DATA!DTE35</f>
        <v>0</v>
      </c>
      <c r="DTC208" s="128">
        <f>DATA!DTF35</f>
        <v>0</v>
      </c>
      <c r="DTD208" s="128">
        <f>DATA!DTG35</f>
        <v>0</v>
      </c>
      <c r="DTE208" s="128">
        <f>DATA!DTH35</f>
        <v>0</v>
      </c>
      <c r="DTF208" s="128">
        <f>DATA!DTI35</f>
        <v>0</v>
      </c>
      <c r="DTG208" s="128">
        <f>DATA!DTJ35</f>
        <v>0</v>
      </c>
      <c r="DTH208" s="128">
        <f>DATA!DTK35</f>
        <v>0</v>
      </c>
      <c r="DTI208" s="128">
        <f>DATA!DTL35</f>
        <v>0</v>
      </c>
      <c r="DTJ208" s="128">
        <f>DATA!DTM35</f>
        <v>0</v>
      </c>
      <c r="DTK208" s="128">
        <f>DATA!DTN35</f>
        <v>0</v>
      </c>
      <c r="DTL208" s="128">
        <f>DATA!DTO35</f>
        <v>0</v>
      </c>
      <c r="DTM208" s="128">
        <f>DATA!DTP35</f>
        <v>0</v>
      </c>
      <c r="DTN208" s="128">
        <f>DATA!DTQ35</f>
        <v>0</v>
      </c>
      <c r="DTO208" s="128">
        <f>DATA!DTR35</f>
        <v>0</v>
      </c>
      <c r="DTP208" s="128">
        <f>DATA!DTS35</f>
        <v>0</v>
      </c>
      <c r="DTQ208" s="128">
        <f>DATA!DTT35</f>
        <v>0</v>
      </c>
      <c r="DTR208" s="128">
        <f>DATA!DTU35</f>
        <v>0</v>
      </c>
      <c r="DTS208" s="128">
        <f>DATA!DTV35</f>
        <v>0</v>
      </c>
      <c r="DTT208" s="128">
        <f>DATA!DTW35</f>
        <v>0</v>
      </c>
      <c r="DTU208" s="128">
        <f>DATA!DTX35</f>
        <v>0</v>
      </c>
      <c r="DTV208" s="128">
        <f>DATA!DTY35</f>
        <v>0</v>
      </c>
      <c r="DTW208" s="128">
        <f>DATA!DTZ35</f>
        <v>0</v>
      </c>
      <c r="DTX208" s="128">
        <f>DATA!DUA35</f>
        <v>0</v>
      </c>
      <c r="DTY208" s="128">
        <f>DATA!DUB35</f>
        <v>0</v>
      </c>
      <c r="DTZ208" s="128">
        <f>DATA!DUC35</f>
        <v>0</v>
      </c>
      <c r="DUA208" s="128">
        <f>DATA!DUD35</f>
        <v>0</v>
      </c>
      <c r="DUB208" s="128">
        <f>DATA!DUE35</f>
        <v>0</v>
      </c>
      <c r="DUC208" s="128">
        <f>DATA!DUF35</f>
        <v>0</v>
      </c>
      <c r="DUD208" s="128">
        <f>DATA!DUG35</f>
        <v>0</v>
      </c>
      <c r="DUE208" s="128">
        <f>DATA!DUH35</f>
        <v>0</v>
      </c>
      <c r="DUF208" s="128">
        <f>DATA!DUI35</f>
        <v>0</v>
      </c>
      <c r="DUG208" s="128">
        <f>DATA!DUJ35</f>
        <v>0</v>
      </c>
      <c r="DUH208" s="128">
        <f>DATA!DUK35</f>
        <v>0</v>
      </c>
      <c r="DUI208" s="128">
        <f>DATA!DUL35</f>
        <v>0</v>
      </c>
      <c r="DUJ208" s="128">
        <f>DATA!DUM35</f>
        <v>0</v>
      </c>
      <c r="DUK208" s="128">
        <f>DATA!DUN35</f>
        <v>0</v>
      </c>
      <c r="DUL208" s="128">
        <f>DATA!DUO35</f>
        <v>0</v>
      </c>
      <c r="DUM208" s="128">
        <f>DATA!DUP35</f>
        <v>0</v>
      </c>
      <c r="DUN208" s="128">
        <f>DATA!DUQ35</f>
        <v>0</v>
      </c>
      <c r="DUO208" s="128">
        <f>DATA!DUR35</f>
        <v>0</v>
      </c>
      <c r="DUP208" s="128">
        <f>DATA!DUS35</f>
        <v>0</v>
      </c>
      <c r="DUQ208" s="128">
        <f>DATA!DUT35</f>
        <v>0</v>
      </c>
      <c r="DUR208" s="128">
        <f>DATA!DUU35</f>
        <v>0</v>
      </c>
      <c r="DUS208" s="128">
        <f>DATA!DUV35</f>
        <v>0</v>
      </c>
      <c r="DUT208" s="128">
        <f>DATA!DUW35</f>
        <v>0</v>
      </c>
      <c r="DUU208" s="128">
        <f>DATA!DUX35</f>
        <v>0</v>
      </c>
      <c r="DUV208" s="128">
        <f>DATA!DUY35</f>
        <v>0</v>
      </c>
      <c r="DUW208" s="128">
        <f>DATA!DUZ35</f>
        <v>0</v>
      </c>
      <c r="DUX208" s="128">
        <f>DATA!DVA35</f>
        <v>0</v>
      </c>
      <c r="DUY208" s="128">
        <f>DATA!DVB35</f>
        <v>0</v>
      </c>
      <c r="DUZ208" s="128">
        <f>DATA!DVC35</f>
        <v>0</v>
      </c>
      <c r="DVA208" s="128">
        <f>DATA!DVD35</f>
        <v>0</v>
      </c>
      <c r="DVB208" s="128">
        <f>DATA!DVE35</f>
        <v>0</v>
      </c>
      <c r="DVC208" s="128">
        <f>DATA!DVF35</f>
        <v>0</v>
      </c>
      <c r="DVD208" s="128">
        <f>DATA!DVG35</f>
        <v>0</v>
      </c>
      <c r="DVE208" s="128">
        <f>DATA!DVH35</f>
        <v>0</v>
      </c>
      <c r="DVF208" s="128">
        <f>DATA!DVI35</f>
        <v>0</v>
      </c>
      <c r="DVG208" s="128">
        <f>DATA!DVJ35</f>
        <v>0</v>
      </c>
      <c r="DVH208" s="128">
        <f>DATA!DVK35</f>
        <v>0</v>
      </c>
      <c r="DVI208" s="128">
        <f>DATA!DVL35</f>
        <v>0</v>
      </c>
      <c r="DVJ208" s="128">
        <f>DATA!DVM35</f>
        <v>0</v>
      </c>
      <c r="DVK208" s="128">
        <f>DATA!DVN35</f>
        <v>0</v>
      </c>
      <c r="DVL208" s="128">
        <f>DATA!DVO35</f>
        <v>0</v>
      </c>
      <c r="DVM208" s="128">
        <f>DATA!DVP35</f>
        <v>0</v>
      </c>
      <c r="DVN208" s="128">
        <f>DATA!DVQ35</f>
        <v>0</v>
      </c>
      <c r="DVO208" s="128">
        <f>DATA!DVR35</f>
        <v>0</v>
      </c>
      <c r="DVP208" s="128">
        <f>DATA!DVS35</f>
        <v>0</v>
      </c>
      <c r="DVQ208" s="128">
        <f>DATA!DVT35</f>
        <v>0</v>
      </c>
      <c r="DVR208" s="128">
        <f>DATA!DVU35</f>
        <v>0</v>
      </c>
      <c r="DVS208" s="128">
        <f>DATA!DVV35</f>
        <v>0</v>
      </c>
      <c r="DVT208" s="128">
        <f>DATA!DVW35</f>
        <v>0</v>
      </c>
      <c r="DVU208" s="128">
        <f>DATA!DVX35</f>
        <v>0</v>
      </c>
      <c r="DVV208" s="128">
        <f>DATA!DVY35</f>
        <v>0</v>
      </c>
      <c r="DVW208" s="128">
        <f>DATA!DVZ35</f>
        <v>0</v>
      </c>
      <c r="DVX208" s="128">
        <f>DATA!DWA35</f>
        <v>0</v>
      </c>
      <c r="DVY208" s="128">
        <f>DATA!DWB35</f>
        <v>0</v>
      </c>
      <c r="DVZ208" s="128">
        <f>DATA!DWC35</f>
        <v>0</v>
      </c>
      <c r="DWA208" s="128">
        <f>DATA!DWD35</f>
        <v>0</v>
      </c>
      <c r="DWB208" s="128">
        <f>DATA!DWE35</f>
        <v>0</v>
      </c>
      <c r="DWC208" s="128">
        <f>DATA!DWF35</f>
        <v>0</v>
      </c>
      <c r="DWD208" s="128">
        <f>DATA!DWG35</f>
        <v>0</v>
      </c>
      <c r="DWE208" s="128">
        <f>DATA!DWH35</f>
        <v>0</v>
      </c>
      <c r="DWF208" s="128">
        <f>DATA!DWI35</f>
        <v>0</v>
      </c>
      <c r="DWG208" s="128">
        <f>DATA!DWJ35</f>
        <v>0</v>
      </c>
      <c r="DWH208" s="128">
        <f>DATA!DWK35</f>
        <v>0</v>
      </c>
      <c r="DWI208" s="128">
        <f>DATA!DWL35</f>
        <v>0</v>
      </c>
      <c r="DWJ208" s="128">
        <f>DATA!DWM35</f>
        <v>0</v>
      </c>
      <c r="DWK208" s="128">
        <f>DATA!DWN35</f>
        <v>0</v>
      </c>
      <c r="DWL208" s="128">
        <f>DATA!DWO35</f>
        <v>0</v>
      </c>
      <c r="DWM208" s="128">
        <f>DATA!DWP35</f>
        <v>0</v>
      </c>
      <c r="DWN208" s="128">
        <f>DATA!DWQ35</f>
        <v>0</v>
      </c>
      <c r="DWO208" s="128">
        <f>DATA!DWR35</f>
        <v>0</v>
      </c>
      <c r="DWP208" s="128">
        <f>DATA!DWS35</f>
        <v>0</v>
      </c>
      <c r="DWQ208" s="128">
        <f>DATA!DWT35</f>
        <v>0</v>
      </c>
      <c r="DWR208" s="128">
        <f>DATA!DWU35</f>
        <v>0</v>
      </c>
      <c r="DWS208" s="128">
        <f>DATA!DWV35</f>
        <v>0</v>
      </c>
      <c r="DWT208" s="128">
        <f>DATA!DWW35</f>
        <v>0</v>
      </c>
      <c r="DWU208" s="128">
        <f>DATA!DWX35</f>
        <v>0</v>
      </c>
      <c r="DWV208" s="128">
        <f>DATA!DWY35</f>
        <v>0</v>
      </c>
      <c r="DWW208" s="128">
        <f>DATA!DWZ35</f>
        <v>0</v>
      </c>
      <c r="DWX208" s="128">
        <f>DATA!DXA35</f>
        <v>0</v>
      </c>
      <c r="DWY208" s="128">
        <f>DATA!DXB35</f>
        <v>0</v>
      </c>
      <c r="DWZ208" s="128">
        <f>DATA!DXC35</f>
        <v>0</v>
      </c>
      <c r="DXA208" s="128">
        <f>DATA!DXD35</f>
        <v>0</v>
      </c>
      <c r="DXB208" s="128">
        <f>DATA!DXE35</f>
        <v>0</v>
      </c>
      <c r="DXC208" s="128">
        <f>DATA!DXF35</f>
        <v>0</v>
      </c>
      <c r="DXD208" s="128">
        <f>DATA!DXG35</f>
        <v>0</v>
      </c>
      <c r="DXE208" s="128">
        <f>DATA!DXH35</f>
        <v>0</v>
      </c>
      <c r="DXF208" s="128">
        <f>DATA!DXI35</f>
        <v>0</v>
      </c>
      <c r="DXG208" s="128">
        <f>DATA!DXJ35</f>
        <v>0</v>
      </c>
      <c r="DXH208" s="128">
        <f>DATA!DXK35</f>
        <v>0</v>
      </c>
      <c r="DXI208" s="128">
        <f>DATA!DXL35</f>
        <v>0</v>
      </c>
      <c r="DXJ208" s="128">
        <f>DATA!DXM35</f>
        <v>0</v>
      </c>
      <c r="DXK208" s="128">
        <f>DATA!DXN35</f>
        <v>0</v>
      </c>
      <c r="DXL208" s="128">
        <f>DATA!DXO35</f>
        <v>0</v>
      </c>
      <c r="DXM208" s="128">
        <f>DATA!DXP35</f>
        <v>0</v>
      </c>
      <c r="DXN208" s="128">
        <f>DATA!DXQ35</f>
        <v>0</v>
      </c>
      <c r="DXO208" s="128">
        <f>DATA!DXR35</f>
        <v>0</v>
      </c>
      <c r="DXP208" s="128">
        <f>DATA!DXS35</f>
        <v>0</v>
      </c>
      <c r="DXQ208" s="128">
        <f>DATA!DXT35</f>
        <v>0</v>
      </c>
      <c r="DXR208" s="128">
        <f>DATA!DXU35</f>
        <v>0</v>
      </c>
      <c r="DXS208" s="128">
        <f>DATA!DXV35</f>
        <v>0</v>
      </c>
      <c r="DXT208" s="128">
        <f>DATA!DXW35</f>
        <v>0</v>
      </c>
      <c r="DXU208" s="128">
        <f>DATA!DXX35</f>
        <v>0</v>
      </c>
      <c r="DXV208" s="128">
        <f>DATA!DXY35</f>
        <v>0</v>
      </c>
      <c r="DXW208" s="128">
        <f>DATA!DXZ35</f>
        <v>0</v>
      </c>
      <c r="DXX208" s="128">
        <f>DATA!DYA35</f>
        <v>0</v>
      </c>
      <c r="DXY208" s="128">
        <f>DATA!DYB35</f>
        <v>0</v>
      </c>
      <c r="DXZ208" s="128">
        <f>DATA!DYC35</f>
        <v>0</v>
      </c>
      <c r="DYA208" s="128">
        <f>DATA!DYD35</f>
        <v>0</v>
      </c>
      <c r="DYB208" s="128">
        <f>DATA!DYE35</f>
        <v>0</v>
      </c>
      <c r="DYC208" s="128">
        <f>DATA!DYF35</f>
        <v>0</v>
      </c>
      <c r="DYD208" s="128">
        <f>DATA!DYG35</f>
        <v>0</v>
      </c>
      <c r="DYE208" s="128">
        <f>DATA!DYH35</f>
        <v>0</v>
      </c>
      <c r="DYF208" s="128">
        <f>DATA!DYI35</f>
        <v>0</v>
      </c>
      <c r="DYG208" s="128">
        <f>DATA!DYJ35</f>
        <v>0</v>
      </c>
      <c r="DYH208" s="128">
        <f>DATA!DYK35</f>
        <v>0</v>
      </c>
      <c r="DYI208" s="128">
        <f>DATA!DYL35</f>
        <v>0</v>
      </c>
      <c r="DYJ208" s="128">
        <f>DATA!DYM35</f>
        <v>0</v>
      </c>
      <c r="DYK208" s="128">
        <f>DATA!DYN35</f>
        <v>0</v>
      </c>
      <c r="DYL208" s="128">
        <f>DATA!DYO35</f>
        <v>0</v>
      </c>
      <c r="DYM208" s="128">
        <f>DATA!DYP35</f>
        <v>0</v>
      </c>
      <c r="DYN208" s="128">
        <f>DATA!DYQ35</f>
        <v>0</v>
      </c>
      <c r="DYO208" s="128">
        <f>DATA!DYR35</f>
        <v>0</v>
      </c>
      <c r="DYP208" s="128">
        <f>DATA!DYS35</f>
        <v>0</v>
      </c>
      <c r="DYQ208" s="128">
        <f>DATA!DYT35</f>
        <v>0</v>
      </c>
      <c r="DYR208" s="128">
        <f>DATA!DYU35</f>
        <v>0</v>
      </c>
      <c r="DYS208" s="128">
        <f>DATA!DYV35</f>
        <v>0</v>
      </c>
      <c r="DYT208" s="128">
        <f>DATA!DYW35</f>
        <v>0</v>
      </c>
      <c r="DYU208" s="128">
        <f>DATA!DYX35</f>
        <v>0</v>
      </c>
      <c r="DYV208" s="128">
        <f>DATA!DYY35</f>
        <v>0</v>
      </c>
      <c r="DYW208" s="128">
        <f>DATA!DYZ35</f>
        <v>0</v>
      </c>
      <c r="DYX208" s="128">
        <f>DATA!DZA35</f>
        <v>0</v>
      </c>
      <c r="DYY208" s="128">
        <f>DATA!DZB35</f>
        <v>0</v>
      </c>
      <c r="DYZ208" s="128">
        <f>DATA!DZC35</f>
        <v>0</v>
      </c>
      <c r="DZA208" s="128">
        <f>DATA!DZD35</f>
        <v>0</v>
      </c>
      <c r="DZB208" s="128">
        <f>DATA!DZE35</f>
        <v>0</v>
      </c>
      <c r="DZC208" s="128">
        <f>DATA!DZF35</f>
        <v>0</v>
      </c>
      <c r="DZD208" s="128">
        <f>DATA!DZG35</f>
        <v>0</v>
      </c>
      <c r="DZE208" s="128">
        <f>DATA!DZH35</f>
        <v>0</v>
      </c>
      <c r="DZF208" s="128">
        <f>DATA!DZI35</f>
        <v>0</v>
      </c>
      <c r="DZG208" s="128">
        <f>DATA!DZJ35</f>
        <v>0</v>
      </c>
      <c r="DZH208" s="128">
        <f>DATA!DZK35</f>
        <v>0</v>
      </c>
      <c r="DZI208" s="128">
        <f>DATA!DZL35</f>
        <v>0</v>
      </c>
      <c r="DZJ208" s="128">
        <f>DATA!DZM35</f>
        <v>0</v>
      </c>
      <c r="DZK208" s="128">
        <f>DATA!DZN35</f>
        <v>0</v>
      </c>
      <c r="DZL208" s="128">
        <f>DATA!DZO35</f>
        <v>0</v>
      </c>
      <c r="DZM208" s="128">
        <f>DATA!DZP35</f>
        <v>0</v>
      </c>
      <c r="DZN208" s="128">
        <f>DATA!DZQ35</f>
        <v>0</v>
      </c>
      <c r="DZO208" s="128">
        <f>DATA!DZR35</f>
        <v>0</v>
      </c>
      <c r="DZP208" s="128">
        <f>DATA!DZS35</f>
        <v>0</v>
      </c>
      <c r="DZQ208" s="128">
        <f>DATA!DZT35</f>
        <v>0</v>
      </c>
      <c r="DZR208" s="128">
        <f>DATA!DZU35</f>
        <v>0</v>
      </c>
      <c r="DZS208" s="128">
        <f>DATA!DZV35</f>
        <v>0</v>
      </c>
      <c r="DZT208" s="128">
        <f>DATA!DZW35</f>
        <v>0</v>
      </c>
      <c r="DZU208" s="128">
        <f>DATA!DZX35</f>
        <v>0</v>
      </c>
      <c r="DZV208" s="128">
        <f>DATA!DZY35</f>
        <v>0</v>
      </c>
      <c r="DZW208" s="128">
        <f>DATA!DZZ35</f>
        <v>0</v>
      </c>
      <c r="DZX208" s="128">
        <f>DATA!EAA35</f>
        <v>0</v>
      </c>
      <c r="DZY208" s="128">
        <f>DATA!EAB35</f>
        <v>0</v>
      </c>
      <c r="DZZ208" s="128">
        <f>DATA!EAC35</f>
        <v>0</v>
      </c>
      <c r="EAA208" s="128">
        <f>DATA!EAD35</f>
        <v>0</v>
      </c>
      <c r="EAB208" s="128">
        <f>DATA!EAE35</f>
        <v>0</v>
      </c>
      <c r="EAC208" s="128">
        <f>DATA!EAF35</f>
        <v>0</v>
      </c>
      <c r="EAD208" s="128">
        <f>DATA!EAG35</f>
        <v>0</v>
      </c>
      <c r="EAE208" s="128">
        <f>DATA!EAH35</f>
        <v>0</v>
      </c>
      <c r="EAF208" s="128">
        <f>DATA!EAI35</f>
        <v>0</v>
      </c>
      <c r="EAG208" s="128">
        <f>DATA!EAJ35</f>
        <v>0</v>
      </c>
      <c r="EAH208" s="128">
        <f>DATA!EAK35</f>
        <v>0</v>
      </c>
      <c r="EAI208" s="128">
        <f>DATA!EAL35</f>
        <v>0</v>
      </c>
      <c r="EAJ208" s="128">
        <f>DATA!EAM35</f>
        <v>0</v>
      </c>
      <c r="EAK208" s="128">
        <f>DATA!EAN35</f>
        <v>0</v>
      </c>
      <c r="EAL208" s="128">
        <f>DATA!EAO35</f>
        <v>0</v>
      </c>
      <c r="EAM208" s="128">
        <f>DATA!EAP35</f>
        <v>0</v>
      </c>
      <c r="EAN208" s="128">
        <f>DATA!EAQ35</f>
        <v>0</v>
      </c>
      <c r="EAO208" s="128">
        <f>DATA!EAR35</f>
        <v>0</v>
      </c>
      <c r="EAP208" s="128">
        <f>DATA!EAS35</f>
        <v>0</v>
      </c>
      <c r="EAQ208" s="128">
        <f>DATA!EAT35</f>
        <v>0</v>
      </c>
      <c r="EAR208" s="128">
        <f>DATA!EAU35</f>
        <v>0</v>
      </c>
      <c r="EAS208" s="128">
        <f>DATA!EAV35</f>
        <v>0</v>
      </c>
      <c r="EAT208" s="128">
        <f>DATA!EAW35</f>
        <v>0</v>
      </c>
      <c r="EAU208" s="128">
        <f>DATA!EAX35</f>
        <v>0</v>
      </c>
      <c r="EAV208" s="128">
        <f>DATA!EAY35</f>
        <v>0</v>
      </c>
      <c r="EAW208" s="128">
        <f>DATA!EAZ35</f>
        <v>0</v>
      </c>
      <c r="EAX208" s="128">
        <f>DATA!EBA35</f>
        <v>0</v>
      </c>
      <c r="EAY208" s="128">
        <f>DATA!EBB35</f>
        <v>0</v>
      </c>
      <c r="EAZ208" s="128">
        <f>DATA!EBC35</f>
        <v>0</v>
      </c>
      <c r="EBA208" s="128">
        <f>DATA!EBD35</f>
        <v>0</v>
      </c>
      <c r="EBB208" s="128">
        <f>DATA!EBE35</f>
        <v>0</v>
      </c>
      <c r="EBC208" s="128">
        <f>DATA!EBF35</f>
        <v>0</v>
      </c>
      <c r="EBD208" s="128">
        <f>DATA!EBG35</f>
        <v>0</v>
      </c>
      <c r="EBE208" s="128">
        <f>DATA!EBH35</f>
        <v>0</v>
      </c>
      <c r="EBF208" s="128">
        <f>DATA!EBI35</f>
        <v>0</v>
      </c>
      <c r="EBG208" s="128">
        <f>DATA!EBJ35</f>
        <v>0</v>
      </c>
      <c r="EBH208" s="128">
        <f>DATA!EBK35</f>
        <v>0</v>
      </c>
      <c r="EBI208" s="128">
        <f>DATA!EBL35</f>
        <v>0</v>
      </c>
      <c r="EBJ208" s="128">
        <f>DATA!EBM35</f>
        <v>0</v>
      </c>
      <c r="EBK208" s="128">
        <f>DATA!EBN35</f>
        <v>0</v>
      </c>
      <c r="EBL208" s="128">
        <f>DATA!EBO35</f>
        <v>0</v>
      </c>
      <c r="EBM208" s="128">
        <f>DATA!EBP35</f>
        <v>0</v>
      </c>
      <c r="EBN208" s="128">
        <f>DATA!EBQ35</f>
        <v>0</v>
      </c>
      <c r="EBO208" s="128">
        <f>DATA!EBR35</f>
        <v>0</v>
      </c>
      <c r="EBP208" s="128">
        <f>DATA!EBS35</f>
        <v>0</v>
      </c>
      <c r="EBQ208" s="128">
        <f>DATA!EBT35</f>
        <v>0</v>
      </c>
      <c r="EBR208" s="128">
        <f>DATA!EBU35</f>
        <v>0</v>
      </c>
      <c r="EBS208" s="128">
        <f>DATA!EBV35</f>
        <v>0</v>
      </c>
      <c r="EBT208" s="128">
        <f>DATA!EBW35</f>
        <v>0</v>
      </c>
      <c r="EBU208" s="128">
        <f>DATA!EBX35</f>
        <v>0</v>
      </c>
      <c r="EBV208" s="128">
        <f>DATA!EBY35</f>
        <v>0</v>
      </c>
      <c r="EBW208" s="128">
        <f>DATA!EBZ35</f>
        <v>0</v>
      </c>
      <c r="EBX208" s="128">
        <f>DATA!ECA35</f>
        <v>0</v>
      </c>
      <c r="EBY208" s="128">
        <f>DATA!ECB35</f>
        <v>0</v>
      </c>
      <c r="EBZ208" s="128">
        <f>DATA!ECC35</f>
        <v>0</v>
      </c>
      <c r="ECA208" s="128">
        <f>DATA!ECD35</f>
        <v>0</v>
      </c>
      <c r="ECB208" s="128">
        <f>DATA!ECE35</f>
        <v>0</v>
      </c>
      <c r="ECC208" s="128">
        <f>DATA!ECF35</f>
        <v>0</v>
      </c>
      <c r="ECD208" s="128">
        <f>DATA!ECG35</f>
        <v>0</v>
      </c>
      <c r="ECE208" s="128">
        <f>DATA!ECH35</f>
        <v>0</v>
      </c>
      <c r="ECF208" s="128">
        <f>DATA!ECI35</f>
        <v>0</v>
      </c>
      <c r="ECG208" s="128">
        <f>DATA!ECJ35</f>
        <v>0</v>
      </c>
      <c r="ECH208" s="128">
        <f>DATA!ECK35</f>
        <v>0</v>
      </c>
      <c r="ECI208" s="128">
        <f>DATA!ECL35</f>
        <v>0</v>
      </c>
      <c r="ECJ208" s="128">
        <f>DATA!ECM35</f>
        <v>0</v>
      </c>
      <c r="ECK208" s="128">
        <f>DATA!ECN35</f>
        <v>0</v>
      </c>
      <c r="ECL208" s="128">
        <f>DATA!ECO35</f>
        <v>0</v>
      </c>
      <c r="ECM208" s="128">
        <f>DATA!ECP35</f>
        <v>0</v>
      </c>
      <c r="ECN208" s="128">
        <f>DATA!ECQ35</f>
        <v>0</v>
      </c>
      <c r="ECO208" s="128">
        <f>DATA!ECR35</f>
        <v>0</v>
      </c>
      <c r="ECP208" s="128">
        <f>DATA!ECS35</f>
        <v>0</v>
      </c>
      <c r="ECQ208" s="128">
        <f>DATA!ECT35</f>
        <v>0</v>
      </c>
      <c r="ECR208" s="128">
        <f>DATA!ECU35</f>
        <v>0</v>
      </c>
      <c r="ECS208" s="128">
        <f>DATA!ECV35</f>
        <v>0</v>
      </c>
      <c r="ECT208" s="128">
        <f>DATA!ECW35</f>
        <v>0</v>
      </c>
      <c r="ECU208" s="128">
        <f>DATA!ECX35</f>
        <v>0</v>
      </c>
      <c r="ECV208" s="128">
        <f>DATA!ECY35</f>
        <v>0</v>
      </c>
      <c r="ECW208" s="128">
        <f>DATA!ECZ35</f>
        <v>0</v>
      </c>
      <c r="ECX208" s="128">
        <f>DATA!EDA35</f>
        <v>0</v>
      </c>
      <c r="ECY208" s="128">
        <f>DATA!EDB35</f>
        <v>0</v>
      </c>
      <c r="ECZ208" s="128">
        <f>DATA!EDC35</f>
        <v>0</v>
      </c>
      <c r="EDA208" s="128">
        <f>DATA!EDD35</f>
        <v>0</v>
      </c>
      <c r="EDB208" s="128">
        <f>DATA!EDE35</f>
        <v>0</v>
      </c>
      <c r="EDC208" s="128">
        <f>DATA!EDF35</f>
        <v>0</v>
      </c>
      <c r="EDD208" s="128">
        <f>DATA!EDG35</f>
        <v>0</v>
      </c>
      <c r="EDE208" s="128">
        <f>DATA!EDH35</f>
        <v>0</v>
      </c>
      <c r="EDF208" s="128">
        <f>DATA!EDI35</f>
        <v>0</v>
      </c>
      <c r="EDG208" s="128">
        <f>DATA!EDJ35</f>
        <v>0</v>
      </c>
      <c r="EDH208" s="128">
        <f>DATA!EDK35</f>
        <v>0</v>
      </c>
      <c r="EDI208" s="128">
        <f>DATA!EDL35</f>
        <v>0</v>
      </c>
      <c r="EDJ208" s="128">
        <f>DATA!EDM35</f>
        <v>0</v>
      </c>
      <c r="EDK208" s="128">
        <f>DATA!EDN35</f>
        <v>0</v>
      </c>
      <c r="EDL208" s="128">
        <f>DATA!EDO35</f>
        <v>0</v>
      </c>
      <c r="EDM208" s="128">
        <f>DATA!EDP35</f>
        <v>0</v>
      </c>
      <c r="EDN208" s="128">
        <f>DATA!EDQ35</f>
        <v>0</v>
      </c>
      <c r="EDO208" s="128">
        <f>DATA!EDR35</f>
        <v>0</v>
      </c>
      <c r="EDP208" s="128">
        <f>DATA!EDS35</f>
        <v>0</v>
      </c>
      <c r="EDQ208" s="128">
        <f>DATA!EDT35</f>
        <v>0</v>
      </c>
      <c r="EDR208" s="128">
        <f>DATA!EDU35</f>
        <v>0</v>
      </c>
      <c r="EDS208" s="128">
        <f>DATA!EDV35</f>
        <v>0</v>
      </c>
      <c r="EDT208" s="128">
        <f>DATA!EDW35</f>
        <v>0</v>
      </c>
      <c r="EDU208" s="128">
        <f>DATA!EDX35</f>
        <v>0</v>
      </c>
      <c r="EDV208" s="128">
        <f>DATA!EDY35</f>
        <v>0</v>
      </c>
      <c r="EDW208" s="128">
        <f>DATA!EDZ35</f>
        <v>0</v>
      </c>
      <c r="EDX208" s="128">
        <f>DATA!EEA35</f>
        <v>0</v>
      </c>
      <c r="EDY208" s="128">
        <f>DATA!EEB35</f>
        <v>0</v>
      </c>
      <c r="EDZ208" s="128">
        <f>DATA!EEC35</f>
        <v>0</v>
      </c>
      <c r="EEA208" s="128">
        <f>DATA!EED35</f>
        <v>0</v>
      </c>
      <c r="EEB208" s="128">
        <f>DATA!EEE35</f>
        <v>0</v>
      </c>
      <c r="EEC208" s="128">
        <f>DATA!EEF35</f>
        <v>0</v>
      </c>
      <c r="EED208" s="128">
        <f>DATA!EEG35</f>
        <v>0</v>
      </c>
      <c r="EEE208" s="128">
        <f>DATA!EEH35</f>
        <v>0</v>
      </c>
      <c r="EEF208" s="128">
        <f>DATA!EEI35</f>
        <v>0</v>
      </c>
      <c r="EEG208" s="128">
        <f>DATA!EEJ35</f>
        <v>0</v>
      </c>
      <c r="EEH208" s="128">
        <f>DATA!EEK35</f>
        <v>0</v>
      </c>
      <c r="EEI208" s="128">
        <f>DATA!EEL35</f>
        <v>0</v>
      </c>
      <c r="EEJ208" s="128">
        <f>DATA!EEM35</f>
        <v>0</v>
      </c>
      <c r="EEK208" s="128">
        <f>DATA!EEN35</f>
        <v>0</v>
      </c>
      <c r="EEL208" s="128">
        <f>DATA!EEO35</f>
        <v>0</v>
      </c>
      <c r="EEM208" s="128">
        <f>DATA!EEP35</f>
        <v>0</v>
      </c>
      <c r="EEN208" s="128">
        <f>DATA!EEQ35</f>
        <v>0</v>
      </c>
      <c r="EEO208" s="128">
        <f>DATA!EER35</f>
        <v>0</v>
      </c>
      <c r="EEP208" s="128">
        <f>DATA!EES35</f>
        <v>0</v>
      </c>
      <c r="EEQ208" s="128">
        <f>DATA!EET35</f>
        <v>0</v>
      </c>
      <c r="EER208" s="128">
        <f>DATA!EEU35</f>
        <v>0</v>
      </c>
      <c r="EES208" s="128">
        <f>DATA!EEV35</f>
        <v>0</v>
      </c>
      <c r="EET208" s="128">
        <f>DATA!EEW35</f>
        <v>0</v>
      </c>
      <c r="EEU208" s="128">
        <f>DATA!EEX35</f>
        <v>0</v>
      </c>
      <c r="EEV208" s="128">
        <f>DATA!EEY35</f>
        <v>0</v>
      </c>
      <c r="EEW208" s="128">
        <f>DATA!EEZ35</f>
        <v>0</v>
      </c>
      <c r="EEX208" s="128">
        <f>DATA!EFA35</f>
        <v>0</v>
      </c>
      <c r="EEY208" s="128">
        <f>DATA!EFB35</f>
        <v>0</v>
      </c>
      <c r="EEZ208" s="128">
        <f>DATA!EFC35</f>
        <v>0</v>
      </c>
      <c r="EFA208" s="128">
        <f>DATA!EFD35</f>
        <v>0</v>
      </c>
      <c r="EFB208" s="128">
        <f>DATA!EFE35</f>
        <v>0</v>
      </c>
      <c r="EFC208" s="128">
        <f>DATA!EFF35</f>
        <v>0</v>
      </c>
      <c r="EFD208" s="128">
        <f>DATA!EFG35</f>
        <v>0</v>
      </c>
      <c r="EFE208" s="128">
        <f>DATA!EFH35</f>
        <v>0</v>
      </c>
      <c r="EFF208" s="128">
        <f>DATA!EFI35</f>
        <v>0</v>
      </c>
      <c r="EFG208" s="128">
        <f>DATA!EFJ35</f>
        <v>0</v>
      </c>
      <c r="EFH208" s="128">
        <f>DATA!EFK35</f>
        <v>0</v>
      </c>
      <c r="EFI208" s="128">
        <f>DATA!EFL35</f>
        <v>0</v>
      </c>
      <c r="EFJ208" s="128">
        <f>DATA!EFM35</f>
        <v>0</v>
      </c>
      <c r="EFK208" s="128">
        <f>DATA!EFN35</f>
        <v>0</v>
      </c>
      <c r="EFL208" s="128">
        <f>DATA!EFO35</f>
        <v>0</v>
      </c>
      <c r="EFM208" s="128">
        <f>DATA!EFP35</f>
        <v>0</v>
      </c>
      <c r="EFN208" s="128">
        <f>DATA!EFQ35</f>
        <v>0</v>
      </c>
      <c r="EFO208" s="128">
        <f>DATA!EFR35</f>
        <v>0</v>
      </c>
      <c r="EFP208" s="128">
        <f>DATA!EFS35</f>
        <v>0</v>
      </c>
      <c r="EFQ208" s="128">
        <f>DATA!EFT35</f>
        <v>0</v>
      </c>
      <c r="EFR208" s="128">
        <f>DATA!EFU35</f>
        <v>0</v>
      </c>
      <c r="EFS208" s="128">
        <f>DATA!EFV35</f>
        <v>0</v>
      </c>
      <c r="EFT208" s="128">
        <f>DATA!EFW35</f>
        <v>0</v>
      </c>
      <c r="EFU208" s="128">
        <f>DATA!EFX35</f>
        <v>0</v>
      </c>
      <c r="EFV208" s="128">
        <f>DATA!EFY35</f>
        <v>0</v>
      </c>
      <c r="EFW208" s="128">
        <f>DATA!EFZ35</f>
        <v>0</v>
      </c>
      <c r="EFX208" s="128">
        <f>DATA!EGA35</f>
        <v>0</v>
      </c>
      <c r="EFY208" s="128">
        <f>DATA!EGB35</f>
        <v>0</v>
      </c>
      <c r="EFZ208" s="128">
        <f>DATA!EGC35</f>
        <v>0</v>
      </c>
      <c r="EGA208" s="128">
        <f>DATA!EGD35</f>
        <v>0</v>
      </c>
      <c r="EGB208" s="128">
        <f>DATA!EGE35</f>
        <v>0</v>
      </c>
      <c r="EGC208" s="128">
        <f>DATA!EGF35</f>
        <v>0</v>
      </c>
      <c r="EGD208" s="128">
        <f>DATA!EGG35</f>
        <v>0</v>
      </c>
      <c r="EGE208" s="128">
        <f>DATA!EGH35</f>
        <v>0</v>
      </c>
      <c r="EGF208" s="128">
        <f>DATA!EGI35</f>
        <v>0</v>
      </c>
      <c r="EGG208" s="128">
        <f>DATA!EGJ35</f>
        <v>0</v>
      </c>
      <c r="EGH208" s="128">
        <f>DATA!EGK35</f>
        <v>0</v>
      </c>
      <c r="EGI208" s="128">
        <f>DATA!EGL35</f>
        <v>0</v>
      </c>
      <c r="EGJ208" s="128">
        <f>DATA!EGM35</f>
        <v>0</v>
      </c>
      <c r="EGK208" s="128">
        <f>DATA!EGN35</f>
        <v>0</v>
      </c>
      <c r="EGL208" s="128">
        <f>DATA!EGO35</f>
        <v>0</v>
      </c>
      <c r="EGM208" s="128">
        <f>DATA!EGP35</f>
        <v>0</v>
      </c>
      <c r="EGN208" s="128">
        <f>DATA!EGQ35</f>
        <v>0</v>
      </c>
      <c r="EGO208" s="128">
        <f>DATA!EGR35</f>
        <v>0</v>
      </c>
      <c r="EGP208" s="128">
        <f>DATA!EGS35</f>
        <v>0</v>
      </c>
      <c r="EGQ208" s="128">
        <f>DATA!EGT35</f>
        <v>0</v>
      </c>
      <c r="EGR208" s="128">
        <f>DATA!EGU35</f>
        <v>0</v>
      </c>
      <c r="EGS208" s="128">
        <f>DATA!EGV35</f>
        <v>0</v>
      </c>
      <c r="EGT208" s="128">
        <f>DATA!EGW35</f>
        <v>0</v>
      </c>
      <c r="EGU208" s="128">
        <f>DATA!EGX35</f>
        <v>0</v>
      </c>
      <c r="EGV208" s="128">
        <f>DATA!EGY35</f>
        <v>0</v>
      </c>
      <c r="EGW208" s="128">
        <f>DATA!EGZ35</f>
        <v>0</v>
      </c>
      <c r="EGX208" s="128">
        <f>DATA!EHA35</f>
        <v>0</v>
      </c>
      <c r="EGY208" s="128">
        <f>DATA!EHB35</f>
        <v>0</v>
      </c>
      <c r="EGZ208" s="128">
        <f>DATA!EHC35</f>
        <v>0</v>
      </c>
      <c r="EHA208" s="128">
        <f>DATA!EHD35</f>
        <v>0</v>
      </c>
      <c r="EHB208" s="128">
        <f>DATA!EHE35</f>
        <v>0</v>
      </c>
      <c r="EHC208" s="128">
        <f>DATA!EHF35</f>
        <v>0</v>
      </c>
      <c r="EHD208" s="128">
        <f>DATA!EHG35</f>
        <v>0</v>
      </c>
      <c r="EHE208" s="128">
        <f>DATA!EHH35</f>
        <v>0</v>
      </c>
      <c r="EHF208" s="128">
        <f>DATA!EHI35</f>
        <v>0</v>
      </c>
      <c r="EHG208" s="128">
        <f>DATA!EHJ35</f>
        <v>0</v>
      </c>
      <c r="EHH208" s="128">
        <f>DATA!EHK35</f>
        <v>0</v>
      </c>
      <c r="EHI208" s="128">
        <f>DATA!EHL35</f>
        <v>0</v>
      </c>
      <c r="EHJ208" s="128">
        <f>DATA!EHM35</f>
        <v>0</v>
      </c>
      <c r="EHK208" s="128">
        <f>DATA!EHN35</f>
        <v>0</v>
      </c>
      <c r="EHL208" s="128">
        <f>DATA!EHO35</f>
        <v>0</v>
      </c>
      <c r="EHM208" s="128">
        <f>DATA!EHP35</f>
        <v>0</v>
      </c>
      <c r="EHN208" s="128">
        <f>DATA!EHQ35</f>
        <v>0</v>
      </c>
      <c r="EHO208" s="128">
        <f>DATA!EHR35</f>
        <v>0</v>
      </c>
      <c r="EHP208" s="128">
        <f>DATA!EHS35</f>
        <v>0</v>
      </c>
      <c r="EHQ208" s="128">
        <f>DATA!EHT35</f>
        <v>0</v>
      </c>
      <c r="EHR208" s="128">
        <f>DATA!EHU35</f>
        <v>0</v>
      </c>
      <c r="EHS208" s="128">
        <f>DATA!EHV35</f>
        <v>0</v>
      </c>
      <c r="EHT208" s="128">
        <f>DATA!EHW35</f>
        <v>0</v>
      </c>
      <c r="EHU208" s="128">
        <f>DATA!EHX35</f>
        <v>0</v>
      </c>
      <c r="EHV208" s="128">
        <f>DATA!EHY35</f>
        <v>0</v>
      </c>
      <c r="EHW208" s="128">
        <f>DATA!EHZ35</f>
        <v>0</v>
      </c>
      <c r="EHX208" s="128">
        <f>DATA!EIA35</f>
        <v>0</v>
      </c>
      <c r="EHY208" s="128">
        <f>DATA!EIB35</f>
        <v>0</v>
      </c>
      <c r="EHZ208" s="128">
        <f>DATA!EIC35</f>
        <v>0</v>
      </c>
      <c r="EIA208" s="128">
        <f>DATA!EID35</f>
        <v>0</v>
      </c>
      <c r="EIB208" s="128">
        <f>DATA!EIE35</f>
        <v>0</v>
      </c>
      <c r="EIC208" s="128">
        <f>DATA!EIF35</f>
        <v>0</v>
      </c>
      <c r="EID208" s="128">
        <f>DATA!EIG35</f>
        <v>0</v>
      </c>
      <c r="EIE208" s="128">
        <f>DATA!EIH35</f>
        <v>0</v>
      </c>
      <c r="EIF208" s="128">
        <f>DATA!EII35</f>
        <v>0</v>
      </c>
      <c r="EIG208" s="128">
        <f>DATA!EIJ35</f>
        <v>0</v>
      </c>
      <c r="EIH208" s="128">
        <f>DATA!EIK35</f>
        <v>0</v>
      </c>
      <c r="EII208" s="128">
        <f>DATA!EIL35</f>
        <v>0</v>
      </c>
      <c r="EIJ208" s="128">
        <f>DATA!EIM35</f>
        <v>0</v>
      </c>
      <c r="EIK208" s="128">
        <f>DATA!EIN35</f>
        <v>0</v>
      </c>
      <c r="EIL208" s="128">
        <f>DATA!EIO35</f>
        <v>0</v>
      </c>
      <c r="EIM208" s="128">
        <f>DATA!EIP35</f>
        <v>0</v>
      </c>
      <c r="EIN208" s="128">
        <f>DATA!EIQ35</f>
        <v>0</v>
      </c>
      <c r="EIO208" s="128">
        <f>DATA!EIR35</f>
        <v>0</v>
      </c>
      <c r="EIP208" s="128">
        <f>DATA!EIS35</f>
        <v>0</v>
      </c>
      <c r="EIQ208" s="128">
        <f>DATA!EIT35</f>
        <v>0</v>
      </c>
      <c r="EIR208" s="128">
        <f>DATA!EIU35</f>
        <v>0</v>
      </c>
      <c r="EIS208" s="128">
        <f>DATA!EIV35</f>
        <v>0</v>
      </c>
      <c r="EIT208" s="128">
        <f>DATA!EIW35</f>
        <v>0</v>
      </c>
      <c r="EIU208" s="128">
        <f>DATA!EIX35</f>
        <v>0</v>
      </c>
      <c r="EIV208" s="128">
        <f>DATA!EIY35</f>
        <v>0</v>
      </c>
      <c r="EIW208" s="128">
        <f>DATA!EIZ35</f>
        <v>0</v>
      </c>
      <c r="EIX208" s="128">
        <f>DATA!EJA35</f>
        <v>0</v>
      </c>
      <c r="EIY208" s="128">
        <f>DATA!EJB35</f>
        <v>0</v>
      </c>
      <c r="EIZ208" s="128">
        <f>DATA!EJC35</f>
        <v>0</v>
      </c>
      <c r="EJA208" s="128">
        <f>DATA!EJD35</f>
        <v>0</v>
      </c>
      <c r="EJB208" s="128">
        <f>DATA!EJE35</f>
        <v>0</v>
      </c>
      <c r="EJC208" s="128">
        <f>DATA!EJF35</f>
        <v>0</v>
      </c>
      <c r="EJD208" s="128">
        <f>DATA!EJG35</f>
        <v>0</v>
      </c>
      <c r="EJE208" s="128">
        <f>DATA!EJH35</f>
        <v>0</v>
      </c>
      <c r="EJF208" s="128">
        <f>DATA!EJI35</f>
        <v>0</v>
      </c>
      <c r="EJG208" s="128">
        <f>DATA!EJJ35</f>
        <v>0</v>
      </c>
      <c r="EJH208" s="128">
        <f>DATA!EJK35</f>
        <v>0</v>
      </c>
      <c r="EJI208" s="128">
        <f>DATA!EJL35</f>
        <v>0</v>
      </c>
      <c r="EJJ208" s="128">
        <f>DATA!EJM35</f>
        <v>0</v>
      </c>
      <c r="EJK208" s="128">
        <f>DATA!EJN35</f>
        <v>0</v>
      </c>
      <c r="EJL208" s="128">
        <f>DATA!EJO35</f>
        <v>0</v>
      </c>
      <c r="EJM208" s="128">
        <f>DATA!EJP35</f>
        <v>0</v>
      </c>
      <c r="EJN208" s="128">
        <f>DATA!EJQ35</f>
        <v>0</v>
      </c>
      <c r="EJO208" s="128">
        <f>DATA!EJR35</f>
        <v>0</v>
      </c>
      <c r="EJP208" s="128">
        <f>DATA!EJS35</f>
        <v>0</v>
      </c>
      <c r="EJQ208" s="128">
        <f>DATA!EJT35</f>
        <v>0</v>
      </c>
      <c r="EJR208" s="128">
        <f>DATA!EJU35</f>
        <v>0</v>
      </c>
      <c r="EJS208" s="128">
        <f>DATA!EJV35</f>
        <v>0</v>
      </c>
      <c r="EJT208" s="128">
        <f>DATA!EJW35</f>
        <v>0</v>
      </c>
      <c r="EJU208" s="128">
        <f>DATA!EJX35</f>
        <v>0</v>
      </c>
      <c r="EJV208" s="128">
        <f>DATA!EJY35</f>
        <v>0</v>
      </c>
      <c r="EJW208" s="128">
        <f>DATA!EJZ35</f>
        <v>0</v>
      </c>
      <c r="EJX208" s="128">
        <f>DATA!EKA35</f>
        <v>0</v>
      </c>
      <c r="EJY208" s="128">
        <f>DATA!EKB35</f>
        <v>0</v>
      </c>
      <c r="EJZ208" s="128">
        <f>DATA!EKC35</f>
        <v>0</v>
      </c>
      <c r="EKA208" s="128">
        <f>DATA!EKD35</f>
        <v>0</v>
      </c>
      <c r="EKB208" s="128">
        <f>DATA!EKE35</f>
        <v>0</v>
      </c>
      <c r="EKC208" s="128">
        <f>DATA!EKF35</f>
        <v>0</v>
      </c>
      <c r="EKD208" s="128">
        <f>DATA!EKG35</f>
        <v>0</v>
      </c>
      <c r="EKE208" s="128">
        <f>DATA!EKH35</f>
        <v>0</v>
      </c>
      <c r="EKF208" s="128">
        <f>DATA!EKI35</f>
        <v>0</v>
      </c>
      <c r="EKG208" s="128">
        <f>DATA!EKJ35</f>
        <v>0</v>
      </c>
      <c r="EKH208" s="128">
        <f>DATA!EKK35</f>
        <v>0</v>
      </c>
      <c r="EKI208" s="128">
        <f>DATA!EKL35</f>
        <v>0</v>
      </c>
      <c r="EKJ208" s="128">
        <f>DATA!EKM35</f>
        <v>0</v>
      </c>
      <c r="EKK208" s="128">
        <f>DATA!EKN35</f>
        <v>0</v>
      </c>
      <c r="EKL208" s="128">
        <f>DATA!EKO35</f>
        <v>0</v>
      </c>
      <c r="EKM208" s="128">
        <f>DATA!EKP35</f>
        <v>0</v>
      </c>
      <c r="EKN208" s="128">
        <f>DATA!EKQ35</f>
        <v>0</v>
      </c>
      <c r="EKO208" s="128">
        <f>DATA!EKR35</f>
        <v>0</v>
      </c>
      <c r="EKP208" s="128">
        <f>DATA!EKS35</f>
        <v>0</v>
      </c>
      <c r="EKQ208" s="128">
        <f>DATA!EKT35</f>
        <v>0</v>
      </c>
      <c r="EKR208" s="128">
        <f>DATA!EKU35</f>
        <v>0</v>
      </c>
      <c r="EKS208" s="128">
        <f>DATA!EKV35</f>
        <v>0</v>
      </c>
      <c r="EKT208" s="128">
        <f>DATA!EKW35</f>
        <v>0</v>
      </c>
      <c r="EKU208" s="128">
        <f>DATA!EKX35</f>
        <v>0</v>
      </c>
      <c r="EKV208" s="128">
        <f>DATA!EKY35</f>
        <v>0</v>
      </c>
      <c r="EKW208" s="128">
        <f>DATA!EKZ35</f>
        <v>0</v>
      </c>
      <c r="EKX208" s="128">
        <f>DATA!ELA35</f>
        <v>0</v>
      </c>
      <c r="EKY208" s="128">
        <f>DATA!ELB35</f>
        <v>0</v>
      </c>
      <c r="EKZ208" s="128">
        <f>DATA!ELC35</f>
        <v>0</v>
      </c>
      <c r="ELA208" s="128">
        <f>DATA!ELD35</f>
        <v>0</v>
      </c>
      <c r="ELB208" s="128">
        <f>DATA!ELE35</f>
        <v>0</v>
      </c>
      <c r="ELC208" s="128">
        <f>DATA!ELF35</f>
        <v>0</v>
      </c>
      <c r="ELD208" s="128">
        <f>DATA!ELG35</f>
        <v>0</v>
      </c>
      <c r="ELE208" s="128">
        <f>DATA!ELH35</f>
        <v>0</v>
      </c>
      <c r="ELF208" s="128">
        <f>DATA!ELI35</f>
        <v>0</v>
      </c>
      <c r="ELG208" s="128">
        <f>DATA!ELJ35</f>
        <v>0</v>
      </c>
      <c r="ELH208" s="128">
        <f>DATA!ELK35</f>
        <v>0</v>
      </c>
      <c r="ELI208" s="128">
        <f>DATA!ELL35</f>
        <v>0</v>
      </c>
      <c r="ELJ208" s="128">
        <f>DATA!ELM35</f>
        <v>0</v>
      </c>
      <c r="ELK208" s="128">
        <f>DATA!ELN35</f>
        <v>0</v>
      </c>
      <c r="ELL208" s="128">
        <f>DATA!ELO35</f>
        <v>0</v>
      </c>
      <c r="ELM208" s="128">
        <f>DATA!ELP35</f>
        <v>0</v>
      </c>
      <c r="ELN208" s="128">
        <f>DATA!ELQ35</f>
        <v>0</v>
      </c>
      <c r="ELO208" s="128">
        <f>DATA!ELR35</f>
        <v>0</v>
      </c>
      <c r="ELP208" s="128">
        <f>DATA!ELS35</f>
        <v>0</v>
      </c>
      <c r="ELQ208" s="128">
        <f>DATA!ELT35</f>
        <v>0</v>
      </c>
      <c r="ELR208" s="128">
        <f>DATA!ELU35</f>
        <v>0</v>
      </c>
      <c r="ELS208" s="128">
        <f>DATA!ELV35</f>
        <v>0</v>
      </c>
      <c r="ELT208" s="128">
        <f>DATA!ELW35</f>
        <v>0</v>
      </c>
      <c r="ELU208" s="128">
        <f>DATA!ELX35</f>
        <v>0</v>
      </c>
      <c r="ELV208" s="128">
        <f>DATA!ELY35</f>
        <v>0</v>
      </c>
      <c r="ELW208" s="128">
        <f>DATA!ELZ35</f>
        <v>0</v>
      </c>
      <c r="ELX208" s="128">
        <f>DATA!EMA35</f>
        <v>0</v>
      </c>
      <c r="ELY208" s="128">
        <f>DATA!EMB35</f>
        <v>0</v>
      </c>
      <c r="ELZ208" s="128">
        <f>DATA!EMC35</f>
        <v>0</v>
      </c>
      <c r="EMA208" s="128">
        <f>DATA!EMD35</f>
        <v>0</v>
      </c>
      <c r="EMB208" s="128">
        <f>DATA!EME35</f>
        <v>0</v>
      </c>
      <c r="EMC208" s="128">
        <f>DATA!EMF35</f>
        <v>0</v>
      </c>
      <c r="EMD208" s="128">
        <f>DATA!EMG35</f>
        <v>0</v>
      </c>
      <c r="EME208" s="128">
        <f>DATA!EMH35</f>
        <v>0</v>
      </c>
      <c r="EMF208" s="128">
        <f>DATA!EMI35</f>
        <v>0</v>
      </c>
      <c r="EMG208" s="128">
        <f>DATA!EMJ35</f>
        <v>0</v>
      </c>
      <c r="EMH208" s="128">
        <f>DATA!EMK35</f>
        <v>0</v>
      </c>
      <c r="EMI208" s="128">
        <f>DATA!EML35</f>
        <v>0</v>
      </c>
      <c r="EMJ208" s="128">
        <f>DATA!EMM35</f>
        <v>0</v>
      </c>
      <c r="EMK208" s="128">
        <f>DATA!EMN35</f>
        <v>0</v>
      </c>
      <c r="EML208" s="128">
        <f>DATA!EMO35</f>
        <v>0</v>
      </c>
      <c r="EMM208" s="128">
        <f>DATA!EMP35</f>
        <v>0</v>
      </c>
      <c r="EMN208" s="128">
        <f>DATA!EMQ35</f>
        <v>0</v>
      </c>
      <c r="EMO208" s="128">
        <f>DATA!EMR35</f>
        <v>0</v>
      </c>
      <c r="EMP208" s="128">
        <f>DATA!EMS35</f>
        <v>0</v>
      </c>
      <c r="EMQ208" s="128">
        <f>DATA!EMT35</f>
        <v>0</v>
      </c>
      <c r="EMR208" s="128">
        <f>DATA!EMU35</f>
        <v>0</v>
      </c>
      <c r="EMS208" s="128">
        <f>DATA!EMV35</f>
        <v>0</v>
      </c>
      <c r="EMT208" s="128">
        <f>DATA!EMW35</f>
        <v>0</v>
      </c>
      <c r="EMU208" s="128">
        <f>DATA!EMX35</f>
        <v>0</v>
      </c>
      <c r="EMV208" s="128">
        <f>DATA!EMY35</f>
        <v>0</v>
      </c>
      <c r="EMW208" s="128">
        <f>DATA!EMZ35</f>
        <v>0</v>
      </c>
      <c r="EMX208" s="128">
        <f>DATA!ENA35</f>
        <v>0</v>
      </c>
      <c r="EMY208" s="128">
        <f>DATA!ENB35</f>
        <v>0</v>
      </c>
      <c r="EMZ208" s="128">
        <f>DATA!ENC35</f>
        <v>0</v>
      </c>
      <c r="ENA208" s="128">
        <f>DATA!END35</f>
        <v>0</v>
      </c>
      <c r="ENB208" s="128">
        <f>DATA!ENE35</f>
        <v>0</v>
      </c>
      <c r="ENC208" s="128">
        <f>DATA!ENF35</f>
        <v>0</v>
      </c>
      <c r="END208" s="128">
        <f>DATA!ENG35</f>
        <v>0</v>
      </c>
      <c r="ENE208" s="128">
        <f>DATA!ENH35</f>
        <v>0</v>
      </c>
      <c r="ENF208" s="128">
        <f>DATA!ENI35</f>
        <v>0</v>
      </c>
      <c r="ENG208" s="128">
        <f>DATA!ENJ35</f>
        <v>0</v>
      </c>
      <c r="ENH208" s="128">
        <f>DATA!ENK35</f>
        <v>0</v>
      </c>
      <c r="ENI208" s="128">
        <f>DATA!ENL35</f>
        <v>0</v>
      </c>
      <c r="ENJ208" s="128">
        <f>DATA!ENM35</f>
        <v>0</v>
      </c>
      <c r="ENK208" s="128">
        <f>DATA!ENN35</f>
        <v>0</v>
      </c>
      <c r="ENL208" s="128">
        <f>DATA!ENO35</f>
        <v>0</v>
      </c>
      <c r="ENM208" s="128">
        <f>DATA!ENP35</f>
        <v>0</v>
      </c>
      <c r="ENN208" s="128">
        <f>DATA!ENQ35</f>
        <v>0</v>
      </c>
      <c r="ENO208" s="128">
        <f>DATA!ENR35</f>
        <v>0</v>
      </c>
      <c r="ENP208" s="128">
        <f>DATA!ENS35</f>
        <v>0</v>
      </c>
      <c r="ENQ208" s="128">
        <f>DATA!ENT35</f>
        <v>0</v>
      </c>
      <c r="ENR208" s="128">
        <f>DATA!ENU35</f>
        <v>0</v>
      </c>
      <c r="ENS208" s="128">
        <f>DATA!ENV35</f>
        <v>0</v>
      </c>
      <c r="ENT208" s="128">
        <f>DATA!ENW35</f>
        <v>0</v>
      </c>
      <c r="ENU208" s="128">
        <f>DATA!ENX35</f>
        <v>0</v>
      </c>
      <c r="ENV208" s="128">
        <f>DATA!ENY35</f>
        <v>0</v>
      </c>
      <c r="ENW208" s="128">
        <f>DATA!ENZ35</f>
        <v>0</v>
      </c>
      <c r="ENX208" s="128">
        <f>DATA!EOA35</f>
        <v>0</v>
      </c>
      <c r="ENY208" s="128">
        <f>DATA!EOB35</f>
        <v>0</v>
      </c>
      <c r="ENZ208" s="128">
        <f>DATA!EOC35</f>
        <v>0</v>
      </c>
      <c r="EOA208" s="128">
        <f>DATA!EOD35</f>
        <v>0</v>
      </c>
      <c r="EOB208" s="128">
        <f>DATA!EOE35</f>
        <v>0</v>
      </c>
      <c r="EOC208" s="128">
        <f>DATA!EOF35</f>
        <v>0</v>
      </c>
      <c r="EOD208" s="128">
        <f>DATA!EOG35</f>
        <v>0</v>
      </c>
      <c r="EOE208" s="128">
        <f>DATA!EOH35</f>
        <v>0</v>
      </c>
      <c r="EOF208" s="128">
        <f>DATA!EOI35</f>
        <v>0</v>
      </c>
      <c r="EOG208" s="128">
        <f>DATA!EOJ35</f>
        <v>0</v>
      </c>
      <c r="EOH208" s="128">
        <f>DATA!EOK35</f>
        <v>0</v>
      </c>
      <c r="EOI208" s="128">
        <f>DATA!EOL35</f>
        <v>0</v>
      </c>
      <c r="EOJ208" s="128">
        <f>DATA!EOM35</f>
        <v>0</v>
      </c>
      <c r="EOK208" s="128">
        <f>DATA!EON35</f>
        <v>0</v>
      </c>
      <c r="EOL208" s="128">
        <f>DATA!EOO35</f>
        <v>0</v>
      </c>
      <c r="EOM208" s="128">
        <f>DATA!EOP35</f>
        <v>0</v>
      </c>
      <c r="EON208" s="128">
        <f>DATA!EOQ35</f>
        <v>0</v>
      </c>
      <c r="EOO208" s="128">
        <f>DATA!EOR35</f>
        <v>0</v>
      </c>
      <c r="EOP208" s="128">
        <f>DATA!EOS35</f>
        <v>0</v>
      </c>
      <c r="EOQ208" s="128">
        <f>DATA!EOT35</f>
        <v>0</v>
      </c>
      <c r="EOR208" s="128">
        <f>DATA!EOU35</f>
        <v>0</v>
      </c>
      <c r="EOS208" s="128">
        <f>DATA!EOV35</f>
        <v>0</v>
      </c>
      <c r="EOT208" s="128">
        <f>DATA!EOW35</f>
        <v>0</v>
      </c>
      <c r="EOU208" s="128">
        <f>DATA!EOX35</f>
        <v>0</v>
      </c>
      <c r="EOV208" s="128">
        <f>DATA!EOY35</f>
        <v>0</v>
      </c>
      <c r="EOW208" s="128">
        <f>DATA!EOZ35</f>
        <v>0</v>
      </c>
      <c r="EOX208" s="128">
        <f>DATA!EPA35</f>
        <v>0</v>
      </c>
      <c r="EOY208" s="128">
        <f>DATA!EPB35</f>
        <v>0</v>
      </c>
      <c r="EOZ208" s="128">
        <f>DATA!EPC35</f>
        <v>0</v>
      </c>
      <c r="EPA208" s="128">
        <f>DATA!EPD35</f>
        <v>0</v>
      </c>
      <c r="EPB208" s="128">
        <f>DATA!EPE35</f>
        <v>0</v>
      </c>
      <c r="EPC208" s="128">
        <f>DATA!EPF35</f>
        <v>0</v>
      </c>
      <c r="EPD208" s="128">
        <f>DATA!EPG35</f>
        <v>0</v>
      </c>
      <c r="EPE208" s="128">
        <f>DATA!EPH35</f>
        <v>0</v>
      </c>
      <c r="EPF208" s="128">
        <f>DATA!EPI35</f>
        <v>0</v>
      </c>
      <c r="EPG208" s="128">
        <f>DATA!EPJ35</f>
        <v>0</v>
      </c>
      <c r="EPH208" s="128">
        <f>DATA!EPK35</f>
        <v>0</v>
      </c>
      <c r="EPI208" s="128">
        <f>DATA!EPL35</f>
        <v>0</v>
      </c>
      <c r="EPJ208" s="128">
        <f>DATA!EPM35</f>
        <v>0</v>
      </c>
      <c r="EPK208" s="128">
        <f>DATA!EPN35</f>
        <v>0</v>
      </c>
      <c r="EPL208" s="128">
        <f>DATA!EPO35</f>
        <v>0</v>
      </c>
      <c r="EPM208" s="128">
        <f>DATA!EPP35</f>
        <v>0</v>
      </c>
      <c r="EPN208" s="128">
        <f>DATA!EPQ35</f>
        <v>0</v>
      </c>
      <c r="EPO208" s="128">
        <f>DATA!EPR35</f>
        <v>0</v>
      </c>
      <c r="EPP208" s="128">
        <f>DATA!EPS35</f>
        <v>0</v>
      </c>
      <c r="EPQ208" s="128">
        <f>DATA!EPT35</f>
        <v>0</v>
      </c>
      <c r="EPR208" s="128">
        <f>DATA!EPU35</f>
        <v>0</v>
      </c>
      <c r="EPS208" s="128">
        <f>DATA!EPV35</f>
        <v>0</v>
      </c>
      <c r="EPT208" s="128">
        <f>DATA!EPW35</f>
        <v>0</v>
      </c>
      <c r="EPU208" s="128">
        <f>DATA!EPX35</f>
        <v>0</v>
      </c>
      <c r="EPV208" s="128">
        <f>DATA!EPY35</f>
        <v>0</v>
      </c>
      <c r="EPW208" s="128">
        <f>DATA!EPZ35</f>
        <v>0</v>
      </c>
      <c r="EPX208" s="128">
        <f>DATA!EQA35</f>
        <v>0</v>
      </c>
      <c r="EPY208" s="128">
        <f>DATA!EQB35</f>
        <v>0</v>
      </c>
      <c r="EPZ208" s="128">
        <f>DATA!EQC35</f>
        <v>0</v>
      </c>
      <c r="EQA208" s="128">
        <f>DATA!EQD35</f>
        <v>0</v>
      </c>
      <c r="EQB208" s="128">
        <f>DATA!EQE35</f>
        <v>0</v>
      </c>
      <c r="EQC208" s="128">
        <f>DATA!EQF35</f>
        <v>0</v>
      </c>
      <c r="EQD208" s="128">
        <f>DATA!EQG35</f>
        <v>0</v>
      </c>
      <c r="EQE208" s="128">
        <f>DATA!EQH35</f>
        <v>0</v>
      </c>
      <c r="EQF208" s="128">
        <f>DATA!EQI35</f>
        <v>0</v>
      </c>
      <c r="EQG208" s="128">
        <f>DATA!EQJ35</f>
        <v>0</v>
      </c>
      <c r="EQH208" s="128">
        <f>DATA!EQK35</f>
        <v>0</v>
      </c>
      <c r="EQI208" s="128">
        <f>DATA!EQL35</f>
        <v>0</v>
      </c>
      <c r="EQJ208" s="128">
        <f>DATA!EQM35</f>
        <v>0</v>
      </c>
      <c r="EQK208" s="128">
        <f>DATA!EQN35</f>
        <v>0</v>
      </c>
      <c r="EQL208" s="128">
        <f>DATA!EQO35</f>
        <v>0</v>
      </c>
      <c r="EQM208" s="128">
        <f>DATA!EQP35</f>
        <v>0</v>
      </c>
      <c r="EQN208" s="128">
        <f>DATA!EQQ35</f>
        <v>0</v>
      </c>
      <c r="EQO208" s="128">
        <f>DATA!EQR35</f>
        <v>0</v>
      </c>
      <c r="EQP208" s="128">
        <f>DATA!EQS35</f>
        <v>0</v>
      </c>
      <c r="EQQ208" s="128">
        <f>DATA!EQT35</f>
        <v>0</v>
      </c>
      <c r="EQR208" s="128">
        <f>DATA!EQU35</f>
        <v>0</v>
      </c>
      <c r="EQS208" s="128">
        <f>DATA!EQV35</f>
        <v>0</v>
      </c>
      <c r="EQT208" s="128">
        <f>DATA!EQW35</f>
        <v>0</v>
      </c>
      <c r="EQU208" s="128">
        <f>DATA!EQX35</f>
        <v>0</v>
      </c>
      <c r="EQV208" s="128">
        <f>DATA!EQY35</f>
        <v>0</v>
      </c>
      <c r="EQW208" s="128">
        <f>DATA!EQZ35</f>
        <v>0</v>
      </c>
      <c r="EQX208" s="128">
        <f>DATA!ERA35</f>
        <v>0</v>
      </c>
      <c r="EQY208" s="128">
        <f>DATA!ERB35</f>
        <v>0</v>
      </c>
      <c r="EQZ208" s="128">
        <f>DATA!ERC35</f>
        <v>0</v>
      </c>
      <c r="ERA208" s="128">
        <f>DATA!ERD35</f>
        <v>0</v>
      </c>
      <c r="ERB208" s="128">
        <f>DATA!ERE35</f>
        <v>0</v>
      </c>
      <c r="ERC208" s="128">
        <f>DATA!ERF35</f>
        <v>0</v>
      </c>
      <c r="ERD208" s="128">
        <f>DATA!ERG35</f>
        <v>0</v>
      </c>
      <c r="ERE208" s="128">
        <f>DATA!ERH35</f>
        <v>0</v>
      </c>
      <c r="ERF208" s="128">
        <f>DATA!ERI35</f>
        <v>0</v>
      </c>
      <c r="ERG208" s="128">
        <f>DATA!ERJ35</f>
        <v>0</v>
      </c>
      <c r="ERH208" s="128">
        <f>DATA!ERK35</f>
        <v>0</v>
      </c>
      <c r="ERI208" s="128">
        <f>DATA!ERL35</f>
        <v>0</v>
      </c>
      <c r="ERJ208" s="128">
        <f>DATA!ERM35</f>
        <v>0</v>
      </c>
      <c r="ERK208" s="128">
        <f>DATA!ERN35</f>
        <v>0</v>
      </c>
      <c r="ERL208" s="128">
        <f>DATA!ERO35</f>
        <v>0</v>
      </c>
      <c r="ERM208" s="128">
        <f>DATA!ERP35</f>
        <v>0</v>
      </c>
      <c r="ERN208" s="128">
        <f>DATA!ERQ35</f>
        <v>0</v>
      </c>
      <c r="ERO208" s="128">
        <f>DATA!ERR35</f>
        <v>0</v>
      </c>
      <c r="ERP208" s="128">
        <f>DATA!ERS35</f>
        <v>0</v>
      </c>
      <c r="ERQ208" s="128">
        <f>DATA!ERT35</f>
        <v>0</v>
      </c>
      <c r="ERR208" s="128">
        <f>DATA!ERU35</f>
        <v>0</v>
      </c>
      <c r="ERS208" s="128">
        <f>DATA!ERV35</f>
        <v>0</v>
      </c>
      <c r="ERT208" s="128">
        <f>DATA!ERW35</f>
        <v>0</v>
      </c>
      <c r="ERU208" s="128">
        <f>DATA!ERX35</f>
        <v>0</v>
      </c>
      <c r="ERV208" s="128">
        <f>DATA!ERY35</f>
        <v>0</v>
      </c>
      <c r="ERW208" s="128">
        <f>DATA!ERZ35</f>
        <v>0</v>
      </c>
      <c r="ERX208" s="128">
        <f>DATA!ESA35</f>
        <v>0</v>
      </c>
      <c r="ERY208" s="128">
        <f>DATA!ESB35</f>
        <v>0</v>
      </c>
      <c r="ERZ208" s="128">
        <f>DATA!ESC35</f>
        <v>0</v>
      </c>
      <c r="ESA208" s="128">
        <f>DATA!ESD35</f>
        <v>0</v>
      </c>
      <c r="ESB208" s="128">
        <f>DATA!ESE35</f>
        <v>0</v>
      </c>
      <c r="ESC208" s="128">
        <f>DATA!ESF35</f>
        <v>0</v>
      </c>
      <c r="ESD208" s="128">
        <f>DATA!ESG35</f>
        <v>0</v>
      </c>
      <c r="ESE208" s="128">
        <f>DATA!ESH35</f>
        <v>0</v>
      </c>
      <c r="ESF208" s="128">
        <f>DATA!ESI35</f>
        <v>0</v>
      </c>
      <c r="ESG208" s="128">
        <f>DATA!ESJ35</f>
        <v>0</v>
      </c>
      <c r="ESH208" s="128">
        <f>DATA!ESK35</f>
        <v>0</v>
      </c>
      <c r="ESI208" s="128">
        <f>DATA!ESL35</f>
        <v>0</v>
      </c>
      <c r="ESJ208" s="128">
        <f>DATA!ESM35</f>
        <v>0</v>
      </c>
      <c r="ESK208" s="128">
        <f>DATA!ESN35</f>
        <v>0</v>
      </c>
      <c r="ESL208" s="128">
        <f>DATA!ESO35</f>
        <v>0</v>
      </c>
      <c r="ESM208" s="128">
        <f>DATA!ESP35</f>
        <v>0</v>
      </c>
      <c r="ESN208" s="128">
        <f>DATA!ESQ35</f>
        <v>0</v>
      </c>
      <c r="ESO208" s="128">
        <f>DATA!ESR35</f>
        <v>0</v>
      </c>
      <c r="ESP208" s="128">
        <f>DATA!ESS35</f>
        <v>0</v>
      </c>
      <c r="ESQ208" s="128">
        <f>DATA!EST35</f>
        <v>0</v>
      </c>
      <c r="ESR208" s="128">
        <f>DATA!ESU35</f>
        <v>0</v>
      </c>
      <c r="ESS208" s="128">
        <f>DATA!ESV35</f>
        <v>0</v>
      </c>
      <c r="EST208" s="128">
        <f>DATA!ESW35</f>
        <v>0</v>
      </c>
      <c r="ESU208" s="128">
        <f>DATA!ESX35</f>
        <v>0</v>
      </c>
      <c r="ESV208" s="128">
        <f>DATA!ESY35</f>
        <v>0</v>
      </c>
      <c r="ESW208" s="128">
        <f>DATA!ESZ35</f>
        <v>0</v>
      </c>
      <c r="ESX208" s="128">
        <f>DATA!ETA35</f>
        <v>0</v>
      </c>
      <c r="ESY208" s="128">
        <f>DATA!ETB35</f>
        <v>0</v>
      </c>
      <c r="ESZ208" s="128">
        <f>DATA!ETC35</f>
        <v>0</v>
      </c>
      <c r="ETA208" s="128">
        <f>DATA!ETD35</f>
        <v>0</v>
      </c>
      <c r="ETB208" s="128">
        <f>DATA!ETE35</f>
        <v>0</v>
      </c>
      <c r="ETC208" s="128">
        <f>DATA!ETF35</f>
        <v>0</v>
      </c>
      <c r="ETD208" s="128">
        <f>DATA!ETG35</f>
        <v>0</v>
      </c>
      <c r="ETE208" s="128">
        <f>DATA!ETH35</f>
        <v>0</v>
      </c>
      <c r="ETF208" s="128">
        <f>DATA!ETI35</f>
        <v>0</v>
      </c>
      <c r="ETG208" s="128">
        <f>DATA!ETJ35</f>
        <v>0</v>
      </c>
      <c r="ETH208" s="128">
        <f>DATA!ETK35</f>
        <v>0</v>
      </c>
      <c r="ETI208" s="128">
        <f>DATA!ETL35</f>
        <v>0</v>
      </c>
      <c r="ETJ208" s="128">
        <f>DATA!ETM35</f>
        <v>0</v>
      </c>
      <c r="ETK208" s="128">
        <f>DATA!ETN35</f>
        <v>0</v>
      </c>
      <c r="ETL208" s="128">
        <f>DATA!ETO35</f>
        <v>0</v>
      </c>
      <c r="ETM208" s="128">
        <f>DATA!ETP35</f>
        <v>0</v>
      </c>
      <c r="ETN208" s="128">
        <f>DATA!ETQ35</f>
        <v>0</v>
      </c>
      <c r="ETO208" s="128">
        <f>DATA!ETR35</f>
        <v>0</v>
      </c>
      <c r="ETP208" s="128">
        <f>DATA!ETS35</f>
        <v>0</v>
      </c>
      <c r="ETQ208" s="128">
        <f>DATA!ETT35</f>
        <v>0</v>
      </c>
      <c r="ETR208" s="128">
        <f>DATA!ETU35</f>
        <v>0</v>
      </c>
      <c r="ETS208" s="128">
        <f>DATA!ETV35</f>
        <v>0</v>
      </c>
      <c r="ETT208" s="128">
        <f>DATA!ETW35</f>
        <v>0</v>
      </c>
      <c r="ETU208" s="128">
        <f>DATA!ETX35</f>
        <v>0</v>
      </c>
      <c r="ETV208" s="128">
        <f>DATA!ETY35</f>
        <v>0</v>
      </c>
      <c r="ETW208" s="128">
        <f>DATA!ETZ35</f>
        <v>0</v>
      </c>
      <c r="ETX208" s="128">
        <f>DATA!EUA35</f>
        <v>0</v>
      </c>
      <c r="ETY208" s="128">
        <f>DATA!EUB35</f>
        <v>0</v>
      </c>
      <c r="ETZ208" s="128">
        <f>DATA!EUC35</f>
        <v>0</v>
      </c>
      <c r="EUA208" s="128">
        <f>DATA!EUD35</f>
        <v>0</v>
      </c>
      <c r="EUB208" s="128">
        <f>DATA!EUE35</f>
        <v>0</v>
      </c>
      <c r="EUC208" s="128">
        <f>DATA!EUF35</f>
        <v>0</v>
      </c>
      <c r="EUD208" s="128">
        <f>DATA!EUG35</f>
        <v>0</v>
      </c>
      <c r="EUE208" s="128">
        <f>DATA!EUH35</f>
        <v>0</v>
      </c>
      <c r="EUF208" s="128">
        <f>DATA!EUI35</f>
        <v>0</v>
      </c>
      <c r="EUG208" s="128">
        <f>DATA!EUJ35</f>
        <v>0</v>
      </c>
      <c r="EUH208" s="128">
        <f>DATA!EUK35</f>
        <v>0</v>
      </c>
      <c r="EUI208" s="128">
        <f>DATA!EUL35</f>
        <v>0</v>
      </c>
      <c r="EUJ208" s="128">
        <f>DATA!EUM35</f>
        <v>0</v>
      </c>
      <c r="EUK208" s="128">
        <f>DATA!EUN35</f>
        <v>0</v>
      </c>
      <c r="EUL208" s="128">
        <f>DATA!EUO35</f>
        <v>0</v>
      </c>
      <c r="EUM208" s="128">
        <f>DATA!EUP35</f>
        <v>0</v>
      </c>
      <c r="EUN208" s="128">
        <f>DATA!EUQ35</f>
        <v>0</v>
      </c>
      <c r="EUO208" s="128">
        <f>DATA!EUR35</f>
        <v>0</v>
      </c>
      <c r="EUP208" s="128">
        <f>DATA!EUS35</f>
        <v>0</v>
      </c>
      <c r="EUQ208" s="128">
        <f>DATA!EUT35</f>
        <v>0</v>
      </c>
      <c r="EUR208" s="128">
        <f>DATA!EUU35</f>
        <v>0</v>
      </c>
      <c r="EUS208" s="128">
        <f>DATA!EUV35</f>
        <v>0</v>
      </c>
      <c r="EUT208" s="128">
        <f>DATA!EUW35</f>
        <v>0</v>
      </c>
      <c r="EUU208" s="128">
        <f>DATA!EUX35</f>
        <v>0</v>
      </c>
      <c r="EUV208" s="128">
        <f>DATA!EUY35</f>
        <v>0</v>
      </c>
      <c r="EUW208" s="128">
        <f>DATA!EUZ35</f>
        <v>0</v>
      </c>
      <c r="EUX208" s="128">
        <f>DATA!EVA35</f>
        <v>0</v>
      </c>
      <c r="EUY208" s="128">
        <f>DATA!EVB35</f>
        <v>0</v>
      </c>
      <c r="EUZ208" s="128">
        <f>DATA!EVC35</f>
        <v>0</v>
      </c>
      <c r="EVA208" s="128">
        <f>DATA!EVD35</f>
        <v>0</v>
      </c>
      <c r="EVB208" s="128">
        <f>DATA!EVE35</f>
        <v>0</v>
      </c>
      <c r="EVC208" s="128">
        <f>DATA!EVF35</f>
        <v>0</v>
      </c>
      <c r="EVD208" s="128">
        <f>DATA!EVG35</f>
        <v>0</v>
      </c>
      <c r="EVE208" s="128">
        <f>DATA!EVH35</f>
        <v>0</v>
      </c>
      <c r="EVF208" s="128">
        <f>DATA!EVI35</f>
        <v>0</v>
      </c>
      <c r="EVG208" s="128">
        <f>DATA!EVJ35</f>
        <v>0</v>
      </c>
      <c r="EVH208" s="128">
        <f>DATA!EVK35</f>
        <v>0</v>
      </c>
      <c r="EVI208" s="128">
        <f>DATA!EVL35</f>
        <v>0</v>
      </c>
      <c r="EVJ208" s="128">
        <f>DATA!EVM35</f>
        <v>0</v>
      </c>
      <c r="EVK208" s="128">
        <f>DATA!EVN35</f>
        <v>0</v>
      </c>
      <c r="EVL208" s="128">
        <f>DATA!EVO35</f>
        <v>0</v>
      </c>
      <c r="EVM208" s="128">
        <f>DATA!EVP35</f>
        <v>0</v>
      </c>
      <c r="EVN208" s="128">
        <f>DATA!EVQ35</f>
        <v>0</v>
      </c>
      <c r="EVO208" s="128">
        <f>DATA!EVR35</f>
        <v>0</v>
      </c>
      <c r="EVP208" s="128">
        <f>DATA!EVS35</f>
        <v>0</v>
      </c>
      <c r="EVQ208" s="128">
        <f>DATA!EVT35</f>
        <v>0</v>
      </c>
      <c r="EVR208" s="128">
        <f>DATA!EVU35</f>
        <v>0</v>
      </c>
      <c r="EVS208" s="128">
        <f>DATA!EVV35</f>
        <v>0</v>
      </c>
      <c r="EVT208" s="128">
        <f>DATA!EVW35</f>
        <v>0</v>
      </c>
      <c r="EVU208" s="128">
        <f>DATA!EVX35</f>
        <v>0</v>
      </c>
      <c r="EVV208" s="128">
        <f>DATA!EVY35</f>
        <v>0</v>
      </c>
      <c r="EVW208" s="128">
        <f>DATA!EVZ35</f>
        <v>0</v>
      </c>
      <c r="EVX208" s="128">
        <f>DATA!EWA35</f>
        <v>0</v>
      </c>
      <c r="EVY208" s="128">
        <f>DATA!EWB35</f>
        <v>0</v>
      </c>
      <c r="EVZ208" s="128">
        <f>DATA!EWC35</f>
        <v>0</v>
      </c>
      <c r="EWA208" s="128">
        <f>DATA!EWD35</f>
        <v>0</v>
      </c>
      <c r="EWB208" s="128">
        <f>DATA!EWE35</f>
        <v>0</v>
      </c>
      <c r="EWC208" s="128">
        <f>DATA!EWF35</f>
        <v>0</v>
      </c>
      <c r="EWD208" s="128">
        <f>DATA!EWG35</f>
        <v>0</v>
      </c>
      <c r="EWE208" s="128">
        <f>DATA!EWH35</f>
        <v>0</v>
      </c>
      <c r="EWF208" s="128">
        <f>DATA!EWI35</f>
        <v>0</v>
      </c>
      <c r="EWG208" s="128">
        <f>DATA!EWJ35</f>
        <v>0</v>
      </c>
      <c r="EWH208" s="128">
        <f>DATA!EWK35</f>
        <v>0</v>
      </c>
      <c r="EWI208" s="128">
        <f>DATA!EWL35</f>
        <v>0</v>
      </c>
      <c r="EWJ208" s="128">
        <f>DATA!EWM35</f>
        <v>0</v>
      </c>
      <c r="EWK208" s="128">
        <f>DATA!EWN35</f>
        <v>0</v>
      </c>
      <c r="EWL208" s="128">
        <f>DATA!EWO35</f>
        <v>0</v>
      </c>
      <c r="EWM208" s="128">
        <f>DATA!EWP35</f>
        <v>0</v>
      </c>
      <c r="EWN208" s="128">
        <f>DATA!EWQ35</f>
        <v>0</v>
      </c>
      <c r="EWO208" s="128">
        <f>DATA!EWR35</f>
        <v>0</v>
      </c>
      <c r="EWP208" s="128">
        <f>DATA!EWS35</f>
        <v>0</v>
      </c>
      <c r="EWQ208" s="128">
        <f>DATA!EWT35</f>
        <v>0</v>
      </c>
      <c r="EWR208" s="128">
        <f>DATA!EWU35</f>
        <v>0</v>
      </c>
      <c r="EWS208" s="128">
        <f>DATA!EWV35</f>
        <v>0</v>
      </c>
      <c r="EWT208" s="128">
        <f>DATA!EWW35</f>
        <v>0</v>
      </c>
      <c r="EWU208" s="128">
        <f>DATA!EWX35</f>
        <v>0</v>
      </c>
      <c r="EWV208" s="128">
        <f>DATA!EWY35</f>
        <v>0</v>
      </c>
      <c r="EWW208" s="128">
        <f>DATA!EWZ35</f>
        <v>0</v>
      </c>
      <c r="EWX208" s="128">
        <f>DATA!EXA35</f>
        <v>0</v>
      </c>
      <c r="EWY208" s="128">
        <f>DATA!EXB35</f>
        <v>0</v>
      </c>
      <c r="EWZ208" s="128">
        <f>DATA!EXC35</f>
        <v>0</v>
      </c>
      <c r="EXA208" s="128">
        <f>DATA!EXD35</f>
        <v>0</v>
      </c>
      <c r="EXB208" s="128">
        <f>DATA!EXE35</f>
        <v>0</v>
      </c>
      <c r="EXC208" s="128">
        <f>DATA!EXF35</f>
        <v>0</v>
      </c>
      <c r="EXD208" s="128">
        <f>DATA!EXG35</f>
        <v>0</v>
      </c>
      <c r="EXE208" s="128">
        <f>DATA!EXH35</f>
        <v>0</v>
      </c>
      <c r="EXF208" s="128">
        <f>DATA!EXI35</f>
        <v>0</v>
      </c>
      <c r="EXG208" s="128">
        <f>DATA!EXJ35</f>
        <v>0</v>
      </c>
      <c r="EXH208" s="128">
        <f>DATA!EXK35</f>
        <v>0</v>
      </c>
      <c r="EXI208" s="128">
        <f>DATA!EXL35</f>
        <v>0</v>
      </c>
      <c r="EXJ208" s="128">
        <f>DATA!EXM35</f>
        <v>0</v>
      </c>
      <c r="EXK208" s="128">
        <f>DATA!EXN35</f>
        <v>0</v>
      </c>
      <c r="EXL208" s="128">
        <f>DATA!EXO35</f>
        <v>0</v>
      </c>
      <c r="EXM208" s="128">
        <f>DATA!EXP35</f>
        <v>0</v>
      </c>
      <c r="EXN208" s="128">
        <f>DATA!EXQ35</f>
        <v>0</v>
      </c>
      <c r="EXO208" s="128">
        <f>DATA!EXR35</f>
        <v>0</v>
      </c>
      <c r="EXP208" s="128">
        <f>DATA!EXS35</f>
        <v>0</v>
      </c>
      <c r="EXQ208" s="128">
        <f>DATA!EXT35</f>
        <v>0</v>
      </c>
      <c r="EXR208" s="128">
        <f>DATA!EXU35</f>
        <v>0</v>
      </c>
      <c r="EXS208" s="128">
        <f>DATA!EXV35</f>
        <v>0</v>
      </c>
      <c r="EXT208" s="128">
        <f>DATA!EXW35</f>
        <v>0</v>
      </c>
      <c r="EXU208" s="128">
        <f>DATA!EXX35</f>
        <v>0</v>
      </c>
      <c r="EXV208" s="128">
        <f>DATA!EXY35</f>
        <v>0</v>
      </c>
      <c r="EXW208" s="128">
        <f>DATA!EXZ35</f>
        <v>0</v>
      </c>
      <c r="EXX208" s="128">
        <f>DATA!EYA35</f>
        <v>0</v>
      </c>
      <c r="EXY208" s="128">
        <f>DATA!EYB35</f>
        <v>0</v>
      </c>
      <c r="EXZ208" s="128">
        <f>DATA!EYC35</f>
        <v>0</v>
      </c>
      <c r="EYA208" s="128">
        <f>DATA!EYD35</f>
        <v>0</v>
      </c>
      <c r="EYB208" s="128">
        <f>DATA!EYE35</f>
        <v>0</v>
      </c>
      <c r="EYC208" s="128">
        <f>DATA!EYF35</f>
        <v>0</v>
      </c>
      <c r="EYD208" s="128">
        <f>DATA!EYG35</f>
        <v>0</v>
      </c>
      <c r="EYE208" s="128">
        <f>DATA!EYH35</f>
        <v>0</v>
      </c>
      <c r="EYF208" s="128">
        <f>DATA!EYI35</f>
        <v>0</v>
      </c>
      <c r="EYG208" s="128">
        <f>DATA!EYJ35</f>
        <v>0</v>
      </c>
      <c r="EYH208" s="128">
        <f>DATA!EYK35</f>
        <v>0</v>
      </c>
      <c r="EYI208" s="128">
        <f>DATA!EYL35</f>
        <v>0</v>
      </c>
      <c r="EYJ208" s="128">
        <f>DATA!EYM35</f>
        <v>0</v>
      </c>
      <c r="EYK208" s="128">
        <f>DATA!EYN35</f>
        <v>0</v>
      </c>
      <c r="EYL208" s="128">
        <f>DATA!EYO35</f>
        <v>0</v>
      </c>
      <c r="EYM208" s="128">
        <f>DATA!EYP35</f>
        <v>0</v>
      </c>
      <c r="EYN208" s="128">
        <f>DATA!EYQ35</f>
        <v>0</v>
      </c>
      <c r="EYO208" s="128">
        <f>DATA!EYR35</f>
        <v>0</v>
      </c>
      <c r="EYP208" s="128">
        <f>DATA!EYS35</f>
        <v>0</v>
      </c>
      <c r="EYQ208" s="128">
        <f>DATA!EYT35</f>
        <v>0</v>
      </c>
      <c r="EYR208" s="128">
        <f>DATA!EYU35</f>
        <v>0</v>
      </c>
      <c r="EYS208" s="128">
        <f>DATA!EYV35</f>
        <v>0</v>
      </c>
      <c r="EYT208" s="128">
        <f>DATA!EYW35</f>
        <v>0</v>
      </c>
      <c r="EYU208" s="128">
        <f>DATA!EYX35</f>
        <v>0</v>
      </c>
      <c r="EYV208" s="128">
        <f>DATA!EYY35</f>
        <v>0</v>
      </c>
      <c r="EYW208" s="128">
        <f>DATA!EYZ35</f>
        <v>0</v>
      </c>
      <c r="EYX208" s="128">
        <f>DATA!EZA35</f>
        <v>0</v>
      </c>
      <c r="EYY208" s="128">
        <f>DATA!EZB35</f>
        <v>0</v>
      </c>
      <c r="EYZ208" s="128">
        <f>DATA!EZC35</f>
        <v>0</v>
      </c>
      <c r="EZA208" s="128">
        <f>DATA!EZD35</f>
        <v>0</v>
      </c>
      <c r="EZB208" s="128">
        <f>DATA!EZE35</f>
        <v>0</v>
      </c>
      <c r="EZC208" s="128">
        <f>DATA!EZF35</f>
        <v>0</v>
      </c>
      <c r="EZD208" s="128">
        <f>DATA!EZG35</f>
        <v>0</v>
      </c>
      <c r="EZE208" s="128">
        <f>DATA!EZH35</f>
        <v>0</v>
      </c>
      <c r="EZF208" s="128">
        <f>DATA!EZI35</f>
        <v>0</v>
      </c>
      <c r="EZG208" s="128">
        <f>DATA!EZJ35</f>
        <v>0</v>
      </c>
      <c r="EZH208" s="128">
        <f>DATA!EZK35</f>
        <v>0</v>
      </c>
      <c r="EZI208" s="128">
        <f>DATA!EZL35</f>
        <v>0</v>
      </c>
      <c r="EZJ208" s="128">
        <f>DATA!EZM35</f>
        <v>0</v>
      </c>
      <c r="EZK208" s="128">
        <f>DATA!EZN35</f>
        <v>0</v>
      </c>
      <c r="EZL208" s="128">
        <f>DATA!EZO35</f>
        <v>0</v>
      </c>
      <c r="EZM208" s="128">
        <f>DATA!EZP35</f>
        <v>0</v>
      </c>
      <c r="EZN208" s="128">
        <f>DATA!EZQ35</f>
        <v>0</v>
      </c>
      <c r="EZO208" s="128">
        <f>DATA!EZR35</f>
        <v>0</v>
      </c>
      <c r="EZP208" s="128">
        <f>DATA!EZS35</f>
        <v>0</v>
      </c>
      <c r="EZQ208" s="128">
        <f>DATA!EZT35</f>
        <v>0</v>
      </c>
      <c r="EZR208" s="128">
        <f>DATA!EZU35</f>
        <v>0</v>
      </c>
      <c r="EZS208" s="128">
        <f>DATA!EZV35</f>
        <v>0</v>
      </c>
      <c r="EZT208" s="128">
        <f>DATA!EZW35</f>
        <v>0</v>
      </c>
      <c r="EZU208" s="128">
        <f>DATA!EZX35</f>
        <v>0</v>
      </c>
      <c r="EZV208" s="128">
        <f>DATA!EZY35</f>
        <v>0</v>
      </c>
      <c r="EZW208" s="128">
        <f>DATA!EZZ35</f>
        <v>0</v>
      </c>
      <c r="EZX208" s="128">
        <f>DATA!FAA35</f>
        <v>0</v>
      </c>
      <c r="EZY208" s="128">
        <f>DATA!FAB35</f>
        <v>0</v>
      </c>
      <c r="EZZ208" s="128">
        <f>DATA!FAC35</f>
        <v>0</v>
      </c>
      <c r="FAA208" s="128">
        <f>DATA!FAD35</f>
        <v>0</v>
      </c>
      <c r="FAB208" s="128">
        <f>DATA!FAE35</f>
        <v>0</v>
      </c>
      <c r="FAC208" s="128">
        <f>DATA!FAF35</f>
        <v>0</v>
      </c>
      <c r="FAD208" s="128">
        <f>DATA!FAG35</f>
        <v>0</v>
      </c>
      <c r="FAE208" s="128">
        <f>DATA!FAH35</f>
        <v>0</v>
      </c>
      <c r="FAF208" s="128">
        <f>DATA!FAI35</f>
        <v>0</v>
      </c>
      <c r="FAG208" s="128">
        <f>DATA!FAJ35</f>
        <v>0</v>
      </c>
      <c r="FAH208" s="128">
        <f>DATA!FAK35</f>
        <v>0</v>
      </c>
      <c r="FAI208" s="128">
        <f>DATA!FAL35</f>
        <v>0</v>
      </c>
      <c r="FAJ208" s="128">
        <f>DATA!FAM35</f>
        <v>0</v>
      </c>
      <c r="FAK208" s="128">
        <f>DATA!FAN35</f>
        <v>0</v>
      </c>
      <c r="FAL208" s="128">
        <f>DATA!FAO35</f>
        <v>0</v>
      </c>
      <c r="FAM208" s="128">
        <f>DATA!FAP35</f>
        <v>0</v>
      </c>
      <c r="FAN208" s="128">
        <f>DATA!FAQ35</f>
        <v>0</v>
      </c>
      <c r="FAO208" s="128">
        <f>DATA!FAR35</f>
        <v>0</v>
      </c>
      <c r="FAP208" s="128">
        <f>DATA!FAS35</f>
        <v>0</v>
      </c>
      <c r="FAQ208" s="128">
        <f>DATA!FAT35</f>
        <v>0</v>
      </c>
      <c r="FAR208" s="128">
        <f>DATA!FAU35</f>
        <v>0</v>
      </c>
      <c r="FAS208" s="128">
        <f>DATA!FAV35</f>
        <v>0</v>
      </c>
      <c r="FAT208" s="128">
        <f>DATA!FAW35</f>
        <v>0</v>
      </c>
      <c r="FAU208" s="128">
        <f>DATA!FAX35</f>
        <v>0</v>
      </c>
      <c r="FAV208" s="128">
        <f>DATA!FAY35</f>
        <v>0</v>
      </c>
      <c r="FAW208" s="128">
        <f>DATA!FAZ35</f>
        <v>0</v>
      </c>
      <c r="FAX208" s="128">
        <f>DATA!FBA35</f>
        <v>0</v>
      </c>
      <c r="FAY208" s="128">
        <f>DATA!FBB35</f>
        <v>0</v>
      </c>
      <c r="FAZ208" s="128">
        <f>DATA!FBC35</f>
        <v>0</v>
      </c>
      <c r="FBA208" s="128">
        <f>DATA!FBD35</f>
        <v>0</v>
      </c>
      <c r="FBB208" s="128">
        <f>DATA!FBE35</f>
        <v>0</v>
      </c>
      <c r="FBC208" s="128">
        <f>DATA!FBF35</f>
        <v>0</v>
      </c>
      <c r="FBD208" s="128">
        <f>DATA!FBG35</f>
        <v>0</v>
      </c>
      <c r="FBE208" s="128">
        <f>DATA!FBH35</f>
        <v>0</v>
      </c>
      <c r="FBF208" s="128">
        <f>DATA!FBI35</f>
        <v>0</v>
      </c>
      <c r="FBG208" s="128">
        <f>DATA!FBJ35</f>
        <v>0</v>
      </c>
      <c r="FBH208" s="128">
        <f>DATA!FBK35</f>
        <v>0</v>
      </c>
      <c r="FBI208" s="128">
        <f>DATA!FBL35</f>
        <v>0</v>
      </c>
      <c r="FBJ208" s="128">
        <f>DATA!FBM35</f>
        <v>0</v>
      </c>
      <c r="FBK208" s="128">
        <f>DATA!FBN35</f>
        <v>0</v>
      </c>
      <c r="FBL208" s="128">
        <f>DATA!FBO35</f>
        <v>0</v>
      </c>
      <c r="FBM208" s="128">
        <f>DATA!FBP35</f>
        <v>0</v>
      </c>
      <c r="FBN208" s="128">
        <f>DATA!FBQ35</f>
        <v>0</v>
      </c>
      <c r="FBO208" s="128">
        <f>DATA!FBR35</f>
        <v>0</v>
      </c>
      <c r="FBP208" s="128">
        <f>DATA!FBS35</f>
        <v>0</v>
      </c>
      <c r="FBQ208" s="128">
        <f>DATA!FBT35</f>
        <v>0</v>
      </c>
      <c r="FBR208" s="128">
        <f>DATA!FBU35</f>
        <v>0</v>
      </c>
      <c r="FBS208" s="128">
        <f>DATA!FBV35</f>
        <v>0</v>
      </c>
      <c r="FBT208" s="128">
        <f>DATA!FBW35</f>
        <v>0</v>
      </c>
      <c r="FBU208" s="128">
        <f>DATA!FBX35</f>
        <v>0</v>
      </c>
      <c r="FBV208" s="128">
        <f>DATA!FBY35</f>
        <v>0</v>
      </c>
      <c r="FBW208" s="128">
        <f>DATA!FBZ35</f>
        <v>0</v>
      </c>
      <c r="FBX208" s="128">
        <f>DATA!FCA35</f>
        <v>0</v>
      </c>
      <c r="FBY208" s="128">
        <f>DATA!FCB35</f>
        <v>0</v>
      </c>
      <c r="FBZ208" s="128">
        <f>DATA!FCC35</f>
        <v>0</v>
      </c>
      <c r="FCA208" s="128">
        <f>DATA!FCD35</f>
        <v>0</v>
      </c>
      <c r="FCB208" s="128">
        <f>DATA!FCE35</f>
        <v>0</v>
      </c>
      <c r="FCC208" s="128">
        <f>DATA!FCF35</f>
        <v>0</v>
      </c>
      <c r="FCD208" s="128">
        <f>DATA!FCG35</f>
        <v>0</v>
      </c>
      <c r="FCE208" s="128">
        <f>DATA!FCH35</f>
        <v>0</v>
      </c>
      <c r="FCF208" s="128">
        <f>DATA!FCI35</f>
        <v>0</v>
      </c>
      <c r="FCG208" s="128">
        <f>DATA!FCJ35</f>
        <v>0</v>
      </c>
      <c r="FCH208" s="128">
        <f>DATA!FCK35</f>
        <v>0</v>
      </c>
      <c r="FCI208" s="128">
        <f>DATA!FCL35</f>
        <v>0</v>
      </c>
      <c r="FCJ208" s="128">
        <f>DATA!FCM35</f>
        <v>0</v>
      </c>
      <c r="FCK208" s="128">
        <f>DATA!FCN35</f>
        <v>0</v>
      </c>
      <c r="FCL208" s="128">
        <f>DATA!FCO35</f>
        <v>0</v>
      </c>
      <c r="FCM208" s="128">
        <f>DATA!FCP35</f>
        <v>0</v>
      </c>
      <c r="FCN208" s="128">
        <f>DATA!FCQ35</f>
        <v>0</v>
      </c>
      <c r="FCO208" s="128">
        <f>DATA!FCR35</f>
        <v>0</v>
      </c>
      <c r="FCP208" s="128">
        <f>DATA!FCS35</f>
        <v>0</v>
      </c>
      <c r="FCQ208" s="128">
        <f>DATA!FCT35</f>
        <v>0</v>
      </c>
      <c r="FCR208" s="128">
        <f>DATA!FCU35</f>
        <v>0</v>
      </c>
      <c r="FCS208" s="128">
        <f>DATA!FCV35</f>
        <v>0</v>
      </c>
      <c r="FCT208" s="128">
        <f>DATA!FCW35</f>
        <v>0</v>
      </c>
      <c r="FCU208" s="128">
        <f>DATA!FCX35</f>
        <v>0</v>
      </c>
      <c r="FCV208" s="128">
        <f>DATA!FCY35</f>
        <v>0</v>
      </c>
      <c r="FCW208" s="128">
        <f>DATA!FCZ35</f>
        <v>0</v>
      </c>
      <c r="FCX208" s="128">
        <f>DATA!FDA35</f>
        <v>0</v>
      </c>
      <c r="FCY208" s="128">
        <f>DATA!FDB35</f>
        <v>0</v>
      </c>
      <c r="FCZ208" s="128">
        <f>DATA!FDC35</f>
        <v>0</v>
      </c>
      <c r="FDA208" s="128">
        <f>DATA!FDD35</f>
        <v>0</v>
      </c>
      <c r="FDB208" s="128">
        <f>DATA!FDE35</f>
        <v>0</v>
      </c>
      <c r="FDC208" s="128">
        <f>DATA!FDF35</f>
        <v>0</v>
      </c>
      <c r="FDD208" s="128">
        <f>DATA!FDG35</f>
        <v>0</v>
      </c>
      <c r="FDE208" s="128">
        <f>DATA!FDH35</f>
        <v>0</v>
      </c>
      <c r="FDF208" s="128">
        <f>DATA!FDI35</f>
        <v>0</v>
      </c>
      <c r="FDG208" s="128">
        <f>DATA!FDJ35</f>
        <v>0</v>
      </c>
      <c r="FDH208" s="128">
        <f>DATA!FDK35</f>
        <v>0</v>
      </c>
      <c r="FDI208" s="128">
        <f>DATA!FDL35</f>
        <v>0</v>
      </c>
      <c r="FDJ208" s="128">
        <f>DATA!FDM35</f>
        <v>0</v>
      </c>
      <c r="FDK208" s="128">
        <f>DATA!FDN35</f>
        <v>0</v>
      </c>
      <c r="FDL208" s="128">
        <f>DATA!FDO35</f>
        <v>0</v>
      </c>
      <c r="FDM208" s="128">
        <f>DATA!FDP35</f>
        <v>0</v>
      </c>
      <c r="FDN208" s="128">
        <f>DATA!FDQ35</f>
        <v>0</v>
      </c>
      <c r="FDO208" s="128">
        <f>DATA!FDR35</f>
        <v>0</v>
      </c>
      <c r="FDP208" s="128">
        <f>DATA!FDS35</f>
        <v>0</v>
      </c>
      <c r="FDQ208" s="128">
        <f>DATA!FDT35</f>
        <v>0</v>
      </c>
      <c r="FDR208" s="128">
        <f>DATA!FDU35</f>
        <v>0</v>
      </c>
      <c r="FDS208" s="128">
        <f>DATA!FDV35</f>
        <v>0</v>
      </c>
      <c r="FDT208" s="128">
        <f>DATA!FDW35</f>
        <v>0</v>
      </c>
      <c r="FDU208" s="128">
        <f>DATA!FDX35</f>
        <v>0</v>
      </c>
      <c r="FDV208" s="128">
        <f>DATA!FDY35</f>
        <v>0</v>
      </c>
      <c r="FDW208" s="128">
        <f>DATA!FDZ35</f>
        <v>0</v>
      </c>
      <c r="FDX208" s="128">
        <f>DATA!FEA35</f>
        <v>0</v>
      </c>
      <c r="FDY208" s="128">
        <f>DATA!FEB35</f>
        <v>0</v>
      </c>
      <c r="FDZ208" s="128">
        <f>DATA!FEC35</f>
        <v>0</v>
      </c>
      <c r="FEA208" s="128">
        <f>DATA!FED35</f>
        <v>0</v>
      </c>
      <c r="FEB208" s="128">
        <f>DATA!FEE35</f>
        <v>0</v>
      </c>
      <c r="FEC208" s="128">
        <f>DATA!FEF35</f>
        <v>0</v>
      </c>
      <c r="FED208" s="128">
        <f>DATA!FEG35</f>
        <v>0</v>
      </c>
      <c r="FEE208" s="128">
        <f>DATA!FEH35</f>
        <v>0</v>
      </c>
      <c r="FEF208" s="128">
        <f>DATA!FEI35</f>
        <v>0</v>
      </c>
      <c r="FEG208" s="128">
        <f>DATA!FEJ35</f>
        <v>0</v>
      </c>
      <c r="FEH208" s="128">
        <f>DATA!FEK35</f>
        <v>0</v>
      </c>
      <c r="FEI208" s="128">
        <f>DATA!FEL35</f>
        <v>0</v>
      </c>
      <c r="FEJ208" s="128">
        <f>DATA!FEM35</f>
        <v>0</v>
      </c>
      <c r="FEK208" s="128">
        <f>DATA!FEN35</f>
        <v>0</v>
      </c>
      <c r="FEL208" s="128">
        <f>DATA!FEO35</f>
        <v>0</v>
      </c>
      <c r="FEM208" s="128">
        <f>DATA!FEP35</f>
        <v>0</v>
      </c>
      <c r="FEN208" s="128">
        <f>DATA!FEQ35</f>
        <v>0</v>
      </c>
      <c r="FEO208" s="128">
        <f>DATA!FER35</f>
        <v>0</v>
      </c>
      <c r="FEP208" s="128">
        <f>DATA!FES35</f>
        <v>0</v>
      </c>
      <c r="FEQ208" s="128">
        <f>DATA!FET35</f>
        <v>0</v>
      </c>
      <c r="FER208" s="128">
        <f>DATA!FEU35</f>
        <v>0</v>
      </c>
      <c r="FES208" s="128">
        <f>DATA!FEV35</f>
        <v>0</v>
      </c>
      <c r="FET208" s="128">
        <f>DATA!FEW35</f>
        <v>0</v>
      </c>
      <c r="FEU208" s="128">
        <f>DATA!FEX35</f>
        <v>0</v>
      </c>
      <c r="FEV208" s="128">
        <f>DATA!FEY35</f>
        <v>0</v>
      </c>
      <c r="FEW208" s="128">
        <f>DATA!FEZ35</f>
        <v>0</v>
      </c>
      <c r="FEX208" s="128">
        <f>DATA!FFA35</f>
        <v>0</v>
      </c>
      <c r="FEY208" s="128">
        <f>DATA!FFB35</f>
        <v>0</v>
      </c>
      <c r="FEZ208" s="128">
        <f>DATA!FFC35</f>
        <v>0</v>
      </c>
      <c r="FFA208" s="128">
        <f>DATA!FFD35</f>
        <v>0</v>
      </c>
      <c r="FFB208" s="128">
        <f>DATA!FFE35</f>
        <v>0</v>
      </c>
      <c r="FFC208" s="128">
        <f>DATA!FFF35</f>
        <v>0</v>
      </c>
      <c r="FFD208" s="128">
        <f>DATA!FFG35</f>
        <v>0</v>
      </c>
      <c r="FFE208" s="128">
        <f>DATA!FFH35</f>
        <v>0</v>
      </c>
      <c r="FFF208" s="128">
        <f>DATA!FFI35</f>
        <v>0</v>
      </c>
      <c r="FFG208" s="128">
        <f>DATA!FFJ35</f>
        <v>0</v>
      </c>
      <c r="FFH208" s="128">
        <f>DATA!FFK35</f>
        <v>0</v>
      </c>
      <c r="FFI208" s="128">
        <f>DATA!FFL35</f>
        <v>0</v>
      </c>
      <c r="FFJ208" s="128">
        <f>DATA!FFM35</f>
        <v>0</v>
      </c>
      <c r="FFK208" s="128">
        <f>DATA!FFN35</f>
        <v>0</v>
      </c>
      <c r="FFL208" s="128">
        <f>DATA!FFO35</f>
        <v>0</v>
      </c>
      <c r="FFM208" s="128">
        <f>DATA!FFP35</f>
        <v>0</v>
      </c>
      <c r="FFN208" s="128">
        <f>DATA!FFQ35</f>
        <v>0</v>
      </c>
      <c r="FFO208" s="128">
        <f>DATA!FFR35</f>
        <v>0</v>
      </c>
      <c r="FFP208" s="128">
        <f>DATA!FFS35</f>
        <v>0</v>
      </c>
      <c r="FFQ208" s="128">
        <f>DATA!FFT35</f>
        <v>0</v>
      </c>
      <c r="FFR208" s="128">
        <f>DATA!FFU35</f>
        <v>0</v>
      </c>
      <c r="FFS208" s="128">
        <f>DATA!FFV35</f>
        <v>0</v>
      </c>
      <c r="FFT208" s="128">
        <f>DATA!FFW35</f>
        <v>0</v>
      </c>
      <c r="FFU208" s="128">
        <f>DATA!FFX35</f>
        <v>0</v>
      </c>
      <c r="FFV208" s="128">
        <f>DATA!FFY35</f>
        <v>0</v>
      </c>
      <c r="FFW208" s="128">
        <f>DATA!FFZ35</f>
        <v>0</v>
      </c>
      <c r="FFX208" s="128">
        <f>DATA!FGA35</f>
        <v>0</v>
      </c>
      <c r="FFY208" s="128">
        <f>DATA!FGB35</f>
        <v>0</v>
      </c>
      <c r="FFZ208" s="128">
        <f>DATA!FGC35</f>
        <v>0</v>
      </c>
      <c r="FGA208" s="128">
        <f>DATA!FGD35</f>
        <v>0</v>
      </c>
      <c r="FGB208" s="128">
        <f>DATA!FGE35</f>
        <v>0</v>
      </c>
      <c r="FGC208" s="128">
        <f>DATA!FGF35</f>
        <v>0</v>
      </c>
      <c r="FGD208" s="128">
        <f>DATA!FGG35</f>
        <v>0</v>
      </c>
      <c r="FGE208" s="128">
        <f>DATA!FGH35</f>
        <v>0</v>
      </c>
      <c r="FGF208" s="128">
        <f>DATA!FGI35</f>
        <v>0</v>
      </c>
      <c r="FGG208" s="128">
        <f>DATA!FGJ35</f>
        <v>0</v>
      </c>
      <c r="FGH208" s="128">
        <f>DATA!FGK35</f>
        <v>0</v>
      </c>
      <c r="FGI208" s="128">
        <f>DATA!FGL35</f>
        <v>0</v>
      </c>
      <c r="FGJ208" s="128">
        <f>DATA!FGM35</f>
        <v>0</v>
      </c>
      <c r="FGK208" s="128">
        <f>DATA!FGN35</f>
        <v>0</v>
      </c>
      <c r="FGL208" s="128">
        <f>DATA!FGO35</f>
        <v>0</v>
      </c>
      <c r="FGM208" s="128">
        <f>DATA!FGP35</f>
        <v>0</v>
      </c>
      <c r="FGN208" s="128">
        <f>DATA!FGQ35</f>
        <v>0</v>
      </c>
      <c r="FGO208" s="128">
        <f>DATA!FGR35</f>
        <v>0</v>
      </c>
      <c r="FGP208" s="128">
        <f>DATA!FGS35</f>
        <v>0</v>
      </c>
      <c r="FGQ208" s="128">
        <f>DATA!FGT35</f>
        <v>0</v>
      </c>
      <c r="FGR208" s="128">
        <f>DATA!FGU35</f>
        <v>0</v>
      </c>
      <c r="FGS208" s="128">
        <f>DATA!FGV35</f>
        <v>0</v>
      </c>
      <c r="FGT208" s="128">
        <f>DATA!FGW35</f>
        <v>0</v>
      </c>
      <c r="FGU208" s="128">
        <f>DATA!FGX35</f>
        <v>0</v>
      </c>
      <c r="FGV208" s="128">
        <f>DATA!FGY35</f>
        <v>0</v>
      </c>
      <c r="FGW208" s="128">
        <f>DATA!FGZ35</f>
        <v>0</v>
      </c>
      <c r="FGX208" s="128">
        <f>DATA!FHA35</f>
        <v>0</v>
      </c>
      <c r="FGY208" s="128">
        <f>DATA!FHB35</f>
        <v>0</v>
      </c>
      <c r="FGZ208" s="128">
        <f>DATA!FHC35</f>
        <v>0</v>
      </c>
      <c r="FHA208" s="128">
        <f>DATA!FHD35</f>
        <v>0</v>
      </c>
      <c r="FHB208" s="128">
        <f>DATA!FHE35</f>
        <v>0</v>
      </c>
      <c r="FHC208" s="128">
        <f>DATA!FHF35</f>
        <v>0</v>
      </c>
      <c r="FHD208" s="128">
        <f>DATA!FHG35</f>
        <v>0</v>
      </c>
      <c r="FHE208" s="128">
        <f>DATA!FHH35</f>
        <v>0</v>
      </c>
      <c r="FHF208" s="128">
        <f>DATA!FHI35</f>
        <v>0</v>
      </c>
      <c r="FHG208" s="128">
        <f>DATA!FHJ35</f>
        <v>0</v>
      </c>
      <c r="FHH208" s="128">
        <f>DATA!FHK35</f>
        <v>0</v>
      </c>
      <c r="FHI208" s="128">
        <f>DATA!FHL35</f>
        <v>0</v>
      </c>
      <c r="FHJ208" s="128">
        <f>DATA!FHM35</f>
        <v>0</v>
      </c>
      <c r="FHK208" s="128">
        <f>DATA!FHN35</f>
        <v>0</v>
      </c>
      <c r="FHL208" s="128">
        <f>DATA!FHO35</f>
        <v>0</v>
      </c>
      <c r="FHM208" s="128">
        <f>DATA!FHP35</f>
        <v>0</v>
      </c>
      <c r="FHN208" s="128">
        <f>DATA!FHQ35</f>
        <v>0</v>
      </c>
      <c r="FHO208" s="128">
        <f>DATA!FHR35</f>
        <v>0</v>
      </c>
      <c r="FHP208" s="128">
        <f>DATA!FHS35</f>
        <v>0</v>
      </c>
      <c r="FHQ208" s="128">
        <f>DATA!FHT35</f>
        <v>0</v>
      </c>
      <c r="FHR208" s="128">
        <f>DATA!FHU35</f>
        <v>0</v>
      </c>
      <c r="FHS208" s="128">
        <f>DATA!FHV35</f>
        <v>0</v>
      </c>
      <c r="FHT208" s="128">
        <f>DATA!FHW35</f>
        <v>0</v>
      </c>
      <c r="FHU208" s="128">
        <f>DATA!FHX35</f>
        <v>0</v>
      </c>
      <c r="FHV208" s="128">
        <f>DATA!FHY35</f>
        <v>0</v>
      </c>
      <c r="FHW208" s="128">
        <f>DATA!FHZ35</f>
        <v>0</v>
      </c>
      <c r="FHX208" s="128">
        <f>DATA!FIA35</f>
        <v>0</v>
      </c>
      <c r="FHY208" s="128">
        <f>DATA!FIB35</f>
        <v>0</v>
      </c>
      <c r="FHZ208" s="128">
        <f>DATA!FIC35</f>
        <v>0</v>
      </c>
      <c r="FIA208" s="128">
        <f>DATA!FID35</f>
        <v>0</v>
      </c>
      <c r="FIB208" s="128">
        <f>DATA!FIE35</f>
        <v>0</v>
      </c>
      <c r="FIC208" s="128">
        <f>DATA!FIF35</f>
        <v>0</v>
      </c>
      <c r="FID208" s="128">
        <f>DATA!FIG35</f>
        <v>0</v>
      </c>
      <c r="FIE208" s="128">
        <f>DATA!FIH35</f>
        <v>0</v>
      </c>
      <c r="FIF208" s="128">
        <f>DATA!FII35</f>
        <v>0</v>
      </c>
      <c r="FIG208" s="128">
        <f>DATA!FIJ35</f>
        <v>0</v>
      </c>
      <c r="FIH208" s="128">
        <f>DATA!FIK35</f>
        <v>0</v>
      </c>
      <c r="FII208" s="128">
        <f>DATA!FIL35</f>
        <v>0</v>
      </c>
      <c r="FIJ208" s="128">
        <f>DATA!FIM35</f>
        <v>0</v>
      </c>
      <c r="FIK208" s="128">
        <f>DATA!FIN35</f>
        <v>0</v>
      </c>
      <c r="FIL208" s="128">
        <f>DATA!FIO35</f>
        <v>0</v>
      </c>
      <c r="FIM208" s="128">
        <f>DATA!FIP35</f>
        <v>0</v>
      </c>
      <c r="FIN208" s="128">
        <f>DATA!FIQ35</f>
        <v>0</v>
      </c>
      <c r="FIO208" s="128">
        <f>DATA!FIR35</f>
        <v>0</v>
      </c>
      <c r="FIP208" s="128">
        <f>DATA!FIS35</f>
        <v>0</v>
      </c>
      <c r="FIQ208" s="128">
        <f>DATA!FIT35</f>
        <v>0</v>
      </c>
      <c r="FIR208" s="128">
        <f>DATA!FIU35</f>
        <v>0</v>
      </c>
      <c r="FIS208" s="128">
        <f>DATA!FIV35</f>
        <v>0</v>
      </c>
      <c r="FIT208" s="128">
        <f>DATA!FIW35</f>
        <v>0</v>
      </c>
      <c r="FIU208" s="128">
        <f>DATA!FIX35</f>
        <v>0</v>
      </c>
      <c r="FIV208" s="128">
        <f>DATA!FIY35</f>
        <v>0</v>
      </c>
      <c r="FIW208" s="128">
        <f>DATA!FIZ35</f>
        <v>0</v>
      </c>
      <c r="FIX208" s="128">
        <f>DATA!FJA35</f>
        <v>0</v>
      </c>
      <c r="FIY208" s="128">
        <f>DATA!FJB35</f>
        <v>0</v>
      </c>
      <c r="FIZ208" s="128">
        <f>DATA!FJC35</f>
        <v>0</v>
      </c>
      <c r="FJA208" s="128">
        <f>DATA!FJD35</f>
        <v>0</v>
      </c>
      <c r="FJB208" s="128">
        <f>DATA!FJE35</f>
        <v>0</v>
      </c>
      <c r="FJC208" s="128">
        <f>DATA!FJF35</f>
        <v>0</v>
      </c>
      <c r="FJD208" s="128">
        <f>DATA!FJG35</f>
        <v>0</v>
      </c>
      <c r="FJE208" s="128">
        <f>DATA!FJH35</f>
        <v>0</v>
      </c>
      <c r="FJF208" s="128">
        <f>DATA!FJI35</f>
        <v>0</v>
      </c>
      <c r="FJG208" s="128">
        <f>DATA!FJJ35</f>
        <v>0</v>
      </c>
      <c r="FJH208" s="128">
        <f>DATA!FJK35</f>
        <v>0</v>
      </c>
      <c r="FJI208" s="128">
        <f>DATA!FJL35</f>
        <v>0</v>
      </c>
      <c r="FJJ208" s="128">
        <f>DATA!FJM35</f>
        <v>0</v>
      </c>
      <c r="FJK208" s="128">
        <f>DATA!FJN35</f>
        <v>0</v>
      </c>
      <c r="FJL208" s="128">
        <f>DATA!FJO35</f>
        <v>0</v>
      </c>
      <c r="FJM208" s="128">
        <f>DATA!FJP35</f>
        <v>0</v>
      </c>
      <c r="FJN208" s="128">
        <f>DATA!FJQ35</f>
        <v>0</v>
      </c>
      <c r="FJO208" s="128">
        <f>DATA!FJR35</f>
        <v>0</v>
      </c>
      <c r="FJP208" s="128">
        <f>DATA!FJS35</f>
        <v>0</v>
      </c>
      <c r="FJQ208" s="128">
        <f>DATA!FJT35</f>
        <v>0</v>
      </c>
      <c r="FJR208" s="128">
        <f>DATA!FJU35</f>
        <v>0</v>
      </c>
      <c r="FJS208" s="128">
        <f>DATA!FJV35</f>
        <v>0</v>
      </c>
      <c r="FJT208" s="128">
        <f>DATA!FJW35</f>
        <v>0</v>
      </c>
      <c r="FJU208" s="128">
        <f>DATA!FJX35</f>
        <v>0</v>
      </c>
      <c r="FJV208" s="128">
        <f>DATA!FJY35</f>
        <v>0</v>
      </c>
      <c r="FJW208" s="128">
        <f>DATA!FJZ35</f>
        <v>0</v>
      </c>
      <c r="FJX208" s="128">
        <f>DATA!FKA35</f>
        <v>0</v>
      </c>
      <c r="FJY208" s="128">
        <f>DATA!FKB35</f>
        <v>0</v>
      </c>
      <c r="FJZ208" s="128">
        <f>DATA!FKC35</f>
        <v>0</v>
      </c>
      <c r="FKA208" s="128">
        <f>DATA!FKD35</f>
        <v>0</v>
      </c>
      <c r="FKB208" s="128">
        <f>DATA!FKE35</f>
        <v>0</v>
      </c>
      <c r="FKC208" s="128">
        <f>DATA!FKF35</f>
        <v>0</v>
      </c>
      <c r="FKD208" s="128">
        <f>DATA!FKG35</f>
        <v>0</v>
      </c>
      <c r="FKE208" s="128">
        <f>DATA!FKH35</f>
        <v>0</v>
      </c>
      <c r="FKF208" s="128">
        <f>DATA!FKI35</f>
        <v>0</v>
      </c>
      <c r="FKG208" s="128">
        <f>DATA!FKJ35</f>
        <v>0</v>
      </c>
      <c r="FKH208" s="128">
        <f>DATA!FKK35</f>
        <v>0</v>
      </c>
      <c r="FKI208" s="128">
        <f>DATA!FKL35</f>
        <v>0</v>
      </c>
      <c r="FKJ208" s="128">
        <f>DATA!FKM35</f>
        <v>0</v>
      </c>
      <c r="FKK208" s="128">
        <f>DATA!FKN35</f>
        <v>0</v>
      </c>
      <c r="FKL208" s="128">
        <f>DATA!FKO35</f>
        <v>0</v>
      </c>
      <c r="FKM208" s="128">
        <f>DATA!FKP35</f>
        <v>0</v>
      </c>
      <c r="FKN208" s="128">
        <f>DATA!FKQ35</f>
        <v>0</v>
      </c>
      <c r="FKO208" s="128">
        <f>DATA!FKR35</f>
        <v>0</v>
      </c>
      <c r="FKP208" s="128">
        <f>DATA!FKS35</f>
        <v>0</v>
      </c>
      <c r="FKQ208" s="128">
        <f>DATA!FKT35</f>
        <v>0</v>
      </c>
      <c r="FKR208" s="128">
        <f>DATA!FKU35</f>
        <v>0</v>
      </c>
      <c r="FKS208" s="128">
        <f>DATA!FKV35</f>
        <v>0</v>
      </c>
      <c r="FKT208" s="128">
        <f>DATA!FKW35</f>
        <v>0</v>
      </c>
      <c r="FKU208" s="128">
        <f>DATA!FKX35</f>
        <v>0</v>
      </c>
      <c r="FKV208" s="128">
        <f>DATA!FKY35</f>
        <v>0</v>
      </c>
      <c r="FKW208" s="128">
        <f>DATA!FKZ35</f>
        <v>0</v>
      </c>
      <c r="FKX208" s="128">
        <f>DATA!FLA35</f>
        <v>0</v>
      </c>
      <c r="FKY208" s="128">
        <f>DATA!FLB35</f>
        <v>0</v>
      </c>
      <c r="FKZ208" s="128">
        <f>DATA!FLC35</f>
        <v>0</v>
      </c>
      <c r="FLA208" s="128">
        <f>DATA!FLD35</f>
        <v>0</v>
      </c>
      <c r="FLB208" s="128">
        <f>DATA!FLE35</f>
        <v>0</v>
      </c>
      <c r="FLC208" s="128">
        <f>DATA!FLF35</f>
        <v>0</v>
      </c>
      <c r="FLD208" s="128">
        <f>DATA!FLG35</f>
        <v>0</v>
      </c>
      <c r="FLE208" s="128">
        <f>DATA!FLH35</f>
        <v>0</v>
      </c>
      <c r="FLF208" s="128">
        <f>DATA!FLI35</f>
        <v>0</v>
      </c>
      <c r="FLG208" s="128">
        <f>DATA!FLJ35</f>
        <v>0</v>
      </c>
      <c r="FLH208" s="128">
        <f>DATA!FLK35</f>
        <v>0</v>
      </c>
      <c r="FLI208" s="128">
        <f>DATA!FLL35</f>
        <v>0</v>
      </c>
      <c r="FLJ208" s="128">
        <f>DATA!FLM35</f>
        <v>0</v>
      </c>
      <c r="FLK208" s="128">
        <f>DATA!FLN35</f>
        <v>0</v>
      </c>
      <c r="FLL208" s="128">
        <f>DATA!FLO35</f>
        <v>0</v>
      </c>
      <c r="FLM208" s="128">
        <f>DATA!FLP35</f>
        <v>0</v>
      </c>
      <c r="FLN208" s="128">
        <f>DATA!FLQ35</f>
        <v>0</v>
      </c>
      <c r="FLO208" s="128">
        <f>DATA!FLR35</f>
        <v>0</v>
      </c>
      <c r="FLP208" s="128">
        <f>DATA!FLS35</f>
        <v>0</v>
      </c>
      <c r="FLQ208" s="128">
        <f>DATA!FLT35</f>
        <v>0</v>
      </c>
      <c r="FLR208" s="128">
        <f>DATA!FLU35</f>
        <v>0</v>
      </c>
      <c r="FLS208" s="128">
        <f>DATA!FLV35</f>
        <v>0</v>
      </c>
      <c r="FLT208" s="128">
        <f>DATA!FLW35</f>
        <v>0</v>
      </c>
      <c r="FLU208" s="128">
        <f>DATA!FLX35</f>
        <v>0</v>
      </c>
      <c r="FLV208" s="128">
        <f>DATA!FLY35</f>
        <v>0</v>
      </c>
      <c r="FLW208" s="128">
        <f>DATA!FLZ35</f>
        <v>0</v>
      </c>
      <c r="FLX208" s="128">
        <f>DATA!FMA35</f>
        <v>0</v>
      </c>
      <c r="FLY208" s="128">
        <f>DATA!FMB35</f>
        <v>0</v>
      </c>
      <c r="FLZ208" s="128">
        <f>DATA!FMC35</f>
        <v>0</v>
      </c>
      <c r="FMA208" s="128">
        <f>DATA!FMD35</f>
        <v>0</v>
      </c>
      <c r="FMB208" s="128">
        <f>DATA!FME35</f>
        <v>0</v>
      </c>
      <c r="FMC208" s="128">
        <f>DATA!FMF35</f>
        <v>0</v>
      </c>
      <c r="FMD208" s="128">
        <f>DATA!FMG35</f>
        <v>0</v>
      </c>
      <c r="FME208" s="128">
        <f>DATA!FMH35</f>
        <v>0</v>
      </c>
      <c r="FMF208" s="128">
        <f>DATA!FMI35</f>
        <v>0</v>
      </c>
      <c r="FMG208" s="128">
        <f>DATA!FMJ35</f>
        <v>0</v>
      </c>
      <c r="FMH208" s="128">
        <f>DATA!FMK35</f>
        <v>0</v>
      </c>
      <c r="FMI208" s="128">
        <f>DATA!FML35</f>
        <v>0</v>
      </c>
      <c r="FMJ208" s="128">
        <f>DATA!FMM35</f>
        <v>0</v>
      </c>
      <c r="FMK208" s="128">
        <f>DATA!FMN35</f>
        <v>0</v>
      </c>
      <c r="FML208" s="128">
        <f>DATA!FMO35</f>
        <v>0</v>
      </c>
      <c r="FMM208" s="128">
        <f>DATA!FMP35</f>
        <v>0</v>
      </c>
      <c r="FMN208" s="128">
        <f>DATA!FMQ35</f>
        <v>0</v>
      </c>
      <c r="FMO208" s="128">
        <f>DATA!FMR35</f>
        <v>0</v>
      </c>
      <c r="FMP208" s="128">
        <f>DATA!FMS35</f>
        <v>0</v>
      </c>
      <c r="FMQ208" s="128">
        <f>DATA!FMT35</f>
        <v>0</v>
      </c>
      <c r="FMR208" s="128">
        <f>DATA!FMU35</f>
        <v>0</v>
      </c>
      <c r="FMS208" s="128">
        <f>DATA!FMV35</f>
        <v>0</v>
      </c>
      <c r="FMT208" s="128">
        <f>DATA!FMW35</f>
        <v>0</v>
      </c>
      <c r="FMU208" s="128">
        <f>DATA!FMX35</f>
        <v>0</v>
      </c>
      <c r="FMV208" s="128">
        <f>DATA!FMY35</f>
        <v>0</v>
      </c>
      <c r="FMW208" s="128">
        <f>DATA!FMZ35</f>
        <v>0</v>
      </c>
      <c r="FMX208" s="128">
        <f>DATA!FNA35</f>
        <v>0</v>
      </c>
      <c r="FMY208" s="128">
        <f>DATA!FNB35</f>
        <v>0</v>
      </c>
      <c r="FMZ208" s="128">
        <f>DATA!FNC35</f>
        <v>0</v>
      </c>
      <c r="FNA208" s="128">
        <f>DATA!FND35</f>
        <v>0</v>
      </c>
      <c r="FNB208" s="128">
        <f>DATA!FNE35</f>
        <v>0</v>
      </c>
      <c r="FNC208" s="128">
        <f>DATA!FNF35</f>
        <v>0</v>
      </c>
      <c r="FND208" s="128">
        <f>DATA!FNG35</f>
        <v>0</v>
      </c>
      <c r="FNE208" s="128">
        <f>DATA!FNH35</f>
        <v>0</v>
      </c>
      <c r="FNF208" s="128">
        <f>DATA!FNI35</f>
        <v>0</v>
      </c>
      <c r="FNG208" s="128">
        <f>DATA!FNJ35</f>
        <v>0</v>
      </c>
      <c r="FNH208" s="128">
        <f>DATA!FNK35</f>
        <v>0</v>
      </c>
      <c r="FNI208" s="128">
        <f>DATA!FNL35</f>
        <v>0</v>
      </c>
      <c r="FNJ208" s="128">
        <f>DATA!FNM35</f>
        <v>0</v>
      </c>
      <c r="FNK208" s="128">
        <f>DATA!FNN35</f>
        <v>0</v>
      </c>
      <c r="FNL208" s="128">
        <f>DATA!FNO35</f>
        <v>0</v>
      </c>
      <c r="FNM208" s="128">
        <f>DATA!FNP35</f>
        <v>0</v>
      </c>
      <c r="FNN208" s="128">
        <f>DATA!FNQ35</f>
        <v>0</v>
      </c>
      <c r="FNO208" s="128">
        <f>DATA!FNR35</f>
        <v>0</v>
      </c>
      <c r="FNP208" s="128">
        <f>DATA!FNS35</f>
        <v>0</v>
      </c>
      <c r="FNQ208" s="128">
        <f>DATA!FNT35</f>
        <v>0</v>
      </c>
      <c r="FNR208" s="128">
        <f>DATA!FNU35</f>
        <v>0</v>
      </c>
      <c r="FNS208" s="128">
        <f>DATA!FNV35</f>
        <v>0</v>
      </c>
      <c r="FNT208" s="128">
        <f>DATA!FNW35</f>
        <v>0</v>
      </c>
      <c r="FNU208" s="128">
        <f>DATA!FNX35</f>
        <v>0</v>
      </c>
      <c r="FNV208" s="128">
        <f>DATA!FNY35</f>
        <v>0</v>
      </c>
      <c r="FNW208" s="128">
        <f>DATA!FNZ35</f>
        <v>0</v>
      </c>
      <c r="FNX208" s="128">
        <f>DATA!FOA35</f>
        <v>0</v>
      </c>
      <c r="FNY208" s="128">
        <f>DATA!FOB35</f>
        <v>0</v>
      </c>
      <c r="FNZ208" s="128">
        <f>DATA!FOC35</f>
        <v>0</v>
      </c>
      <c r="FOA208" s="128">
        <f>DATA!FOD35</f>
        <v>0</v>
      </c>
      <c r="FOB208" s="128">
        <f>DATA!FOE35</f>
        <v>0</v>
      </c>
      <c r="FOC208" s="128">
        <f>DATA!FOF35</f>
        <v>0</v>
      </c>
      <c r="FOD208" s="128">
        <f>DATA!FOG35</f>
        <v>0</v>
      </c>
      <c r="FOE208" s="128">
        <f>DATA!FOH35</f>
        <v>0</v>
      </c>
      <c r="FOF208" s="128">
        <f>DATA!FOI35</f>
        <v>0</v>
      </c>
      <c r="FOG208" s="128">
        <f>DATA!FOJ35</f>
        <v>0</v>
      </c>
      <c r="FOH208" s="128">
        <f>DATA!FOK35</f>
        <v>0</v>
      </c>
      <c r="FOI208" s="128">
        <f>DATA!FOL35</f>
        <v>0</v>
      </c>
      <c r="FOJ208" s="128">
        <f>DATA!FOM35</f>
        <v>0</v>
      </c>
      <c r="FOK208" s="128">
        <f>DATA!FON35</f>
        <v>0</v>
      </c>
      <c r="FOL208" s="128">
        <f>DATA!FOO35</f>
        <v>0</v>
      </c>
      <c r="FOM208" s="128">
        <f>DATA!FOP35</f>
        <v>0</v>
      </c>
      <c r="FON208" s="128">
        <f>DATA!FOQ35</f>
        <v>0</v>
      </c>
      <c r="FOO208" s="128">
        <f>DATA!FOR35</f>
        <v>0</v>
      </c>
      <c r="FOP208" s="128">
        <f>DATA!FOS35</f>
        <v>0</v>
      </c>
      <c r="FOQ208" s="128">
        <f>DATA!FOT35</f>
        <v>0</v>
      </c>
      <c r="FOR208" s="128">
        <f>DATA!FOU35</f>
        <v>0</v>
      </c>
      <c r="FOS208" s="128">
        <f>DATA!FOV35</f>
        <v>0</v>
      </c>
      <c r="FOT208" s="128">
        <f>DATA!FOW35</f>
        <v>0</v>
      </c>
      <c r="FOU208" s="128">
        <f>DATA!FOX35</f>
        <v>0</v>
      </c>
      <c r="FOV208" s="128">
        <f>DATA!FOY35</f>
        <v>0</v>
      </c>
      <c r="FOW208" s="128">
        <f>DATA!FOZ35</f>
        <v>0</v>
      </c>
      <c r="FOX208" s="128">
        <f>DATA!FPA35</f>
        <v>0</v>
      </c>
      <c r="FOY208" s="128">
        <f>DATA!FPB35</f>
        <v>0</v>
      </c>
      <c r="FOZ208" s="128">
        <f>DATA!FPC35</f>
        <v>0</v>
      </c>
      <c r="FPA208" s="128">
        <f>DATA!FPD35</f>
        <v>0</v>
      </c>
      <c r="FPB208" s="128">
        <f>DATA!FPE35</f>
        <v>0</v>
      </c>
      <c r="FPC208" s="128">
        <f>DATA!FPF35</f>
        <v>0</v>
      </c>
      <c r="FPD208" s="128">
        <f>DATA!FPG35</f>
        <v>0</v>
      </c>
      <c r="FPE208" s="128">
        <f>DATA!FPH35</f>
        <v>0</v>
      </c>
      <c r="FPF208" s="128">
        <f>DATA!FPI35</f>
        <v>0</v>
      </c>
      <c r="FPG208" s="128">
        <f>DATA!FPJ35</f>
        <v>0</v>
      </c>
      <c r="FPH208" s="128">
        <f>DATA!FPK35</f>
        <v>0</v>
      </c>
      <c r="FPI208" s="128">
        <f>DATA!FPL35</f>
        <v>0</v>
      </c>
      <c r="FPJ208" s="128">
        <f>DATA!FPM35</f>
        <v>0</v>
      </c>
      <c r="FPK208" s="128">
        <f>DATA!FPN35</f>
        <v>0</v>
      </c>
      <c r="FPL208" s="128">
        <f>DATA!FPO35</f>
        <v>0</v>
      </c>
      <c r="FPM208" s="128">
        <f>DATA!FPP35</f>
        <v>0</v>
      </c>
      <c r="FPN208" s="128">
        <f>DATA!FPQ35</f>
        <v>0</v>
      </c>
      <c r="FPO208" s="128">
        <f>DATA!FPR35</f>
        <v>0</v>
      </c>
      <c r="FPP208" s="128">
        <f>DATA!FPS35</f>
        <v>0</v>
      </c>
      <c r="FPQ208" s="128">
        <f>DATA!FPT35</f>
        <v>0</v>
      </c>
      <c r="FPR208" s="128">
        <f>DATA!FPU35</f>
        <v>0</v>
      </c>
      <c r="FPS208" s="128">
        <f>DATA!FPV35</f>
        <v>0</v>
      </c>
      <c r="FPT208" s="128">
        <f>DATA!FPW35</f>
        <v>0</v>
      </c>
      <c r="FPU208" s="128">
        <f>DATA!FPX35</f>
        <v>0</v>
      </c>
      <c r="FPV208" s="128">
        <f>DATA!FPY35</f>
        <v>0</v>
      </c>
      <c r="FPW208" s="128">
        <f>DATA!FPZ35</f>
        <v>0</v>
      </c>
      <c r="FPX208" s="128">
        <f>DATA!FQA35</f>
        <v>0</v>
      </c>
      <c r="FPY208" s="128">
        <f>DATA!FQB35</f>
        <v>0</v>
      </c>
      <c r="FPZ208" s="128">
        <f>DATA!FQC35</f>
        <v>0</v>
      </c>
      <c r="FQA208" s="128">
        <f>DATA!FQD35</f>
        <v>0</v>
      </c>
      <c r="FQB208" s="128">
        <f>DATA!FQE35</f>
        <v>0</v>
      </c>
      <c r="FQC208" s="128">
        <f>DATA!FQF35</f>
        <v>0</v>
      </c>
      <c r="FQD208" s="128">
        <f>DATA!FQG35</f>
        <v>0</v>
      </c>
      <c r="FQE208" s="128">
        <f>DATA!FQH35</f>
        <v>0</v>
      </c>
      <c r="FQF208" s="128">
        <f>DATA!FQI35</f>
        <v>0</v>
      </c>
      <c r="FQG208" s="128">
        <f>DATA!FQJ35</f>
        <v>0</v>
      </c>
      <c r="FQH208" s="128">
        <f>DATA!FQK35</f>
        <v>0</v>
      </c>
      <c r="FQI208" s="128">
        <f>DATA!FQL35</f>
        <v>0</v>
      </c>
      <c r="FQJ208" s="128">
        <f>DATA!FQM35</f>
        <v>0</v>
      </c>
      <c r="FQK208" s="128">
        <f>DATA!FQN35</f>
        <v>0</v>
      </c>
      <c r="FQL208" s="128">
        <f>DATA!FQO35</f>
        <v>0</v>
      </c>
      <c r="FQM208" s="128">
        <f>DATA!FQP35</f>
        <v>0</v>
      </c>
      <c r="FQN208" s="128">
        <f>DATA!FQQ35</f>
        <v>0</v>
      </c>
      <c r="FQO208" s="128">
        <f>DATA!FQR35</f>
        <v>0</v>
      </c>
      <c r="FQP208" s="128">
        <f>DATA!FQS35</f>
        <v>0</v>
      </c>
      <c r="FQQ208" s="128">
        <f>DATA!FQT35</f>
        <v>0</v>
      </c>
      <c r="FQR208" s="128">
        <f>DATA!FQU35</f>
        <v>0</v>
      </c>
      <c r="FQS208" s="128">
        <f>DATA!FQV35</f>
        <v>0</v>
      </c>
      <c r="FQT208" s="128">
        <f>DATA!FQW35</f>
        <v>0</v>
      </c>
      <c r="FQU208" s="128">
        <f>DATA!FQX35</f>
        <v>0</v>
      </c>
      <c r="FQV208" s="128">
        <f>DATA!FQY35</f>
        <v>0</v>
      </c>
      <c r="FQW208" s="128">
        <f>DATA!FQZ35</f>
        <v>0</v>
      </c>
      <c r="FQX208" s="128">
        <f>DATA!FRA35</f>
        <v>0</v>
      </c>
      <c r="FQY208" s="128">
        <f>DATA!FRB35</f>
        <v>0</v>
      </c>
      <c r="FQZ208" s="128">
        <f>DATA!FRC35</f>
        <v>0</v>
      </c>
      <c r="FRA208" s="128">
        <f>DATA!FRD35</f>
        <v>0</v>
      </c>
      <c r="FRB208" s="128">
        <f>DATA!FRE35</f>
        <v>0</v>
      </c>
      <c r="FRC208" s="128">
        <f>DATA!FRF35</f>
        <v>0</v>
      </c>
      <c r="FRD208" s="128">
        <f>DATA!FRG35</f>
        <v>0</v>
      </c>
      <c r="FRE208" s="128">
        <f>DATA!FRH35</f>
        <v>0</v>
      </c>
      <c r="FRF208" s="128">
        <f>DATA!FRI35</f>
        <v>0</v>
      </c>
      <c r="FRG208" s="128">
        <f>DATA!FRJ35</f>
        <v>0</v>
      </c>
      <c r="FRH208" s="128">
        <f>DATA!FRK35</f>
        <v>0</v>
      </c>
      <c r="FRI208" s="128">
        <f>DATA!FRL35</f>
        <v>0</v>
      </c>
      <c r="FRJ208" s="128">
        <f>DATA!FRM35</f>
        <v>0</v>
      </c>
      <c r="FRK208" s="128">
        <f>DATA!FRN35</f>
        <v>0</v>
      </c>
      <c r="FRL208" s="128">
        <f>DATA!FRO35</f>
        <v>0</v>
      </c>
      <c r="FRM208" s="128">
        <f>DATA!FRP35</f>
        <v>0</v>
      </c>
      <c r="FRN208" s="128">
        <f>DATA!FRQ35</f>
        <v>0</v>
      </c>
      <c r="FRO208" s="128">
        <f>DATA!FRR35</f>
        <v>0</v>
      </c>
      <c r="FRP208" s="128">
        <f>DATA!FRS35</f>
        <v>0</v>
      </c>
      <c r="FRQ208" s="128">
        <f>DATA!FRT35</f>
        <v>0</v>
      </c>
      <c r="FRR208" s="128">
        <f>DATA!FRU35</f>
        <v>0</v>
      </c>
      <c r="FRS208" s="128">
        <f>DATA!FRV35</f>
        <v>0</v>
      </c>
      <c r="FRT208" s="128">
        <f>DATA!FRW35</f>
        <v>0</v>
      </c>
      <c r="FRU208" s="128">
        <f>DATA!FRX35</f>
        <v>0</v>
      </c>
      <c r="FRV208" s="128">
        <f>DATA!FRY35</f>
        <v>0</v>
      </c>
      <c r="FRW208" s="128">
        <f>DATA!FRZ35</f>
        <v>0</v>
      </c>
      <c r="FRX208" s="128">
        <f>DATA!FSA35</f>
        <v>0</v>
      </c>
      <c r="FRY208" s="128">
        <f>DATA!FSB35</f>
        <v>0</v>
      </c>
      <c r="FRZ208" s="128">
        <f>DATA!FSC35</f>
        <v>0</v>
      </c>
      <c r="FSA208" s="128">
        <f>DATA!FSD35</f>
        <v>0</v>
      </c>
      <c r="FSB208" s="128">
        <f>DATA!FSE35</f>
        <v>0</v>
      </c>
      <c r="FSC208" s="128">
        <f>DATA!FSF35</f>
        <v>0</v>
      </c>
      <c r="FSD208" s="128">
        <f>DATA!FSG35</f>
        <v>0</v>
      </c>
      <c r="FSE208" s="128">
        <f>DATA!FSH35</f>
        <v>0</v>
      </c>
      <c r="FSF208" s="128">
        <f>DATA!FSI35</f>
        <v>0</v>
      </c>
      <c r="FSG208" s="128">
        <f>DATA!FSJ35</f>
        <v>0</v>
      </c>
      <c r="FSH208" s="128">
        <f>DATA!FSK35</f>
        <v>0</v>
      </c>
      <c r="FSI208" s="128">
        <f>DATA!FSL35</f>
        <v>0</v>
      </c>
      <c r="FSJ208" s="128">
        <f>DATA!FSM35</f>
        <v>0</v>
      </c>
      <c r="FSK208" s="128">
        <f>DATA!FSN35</f>
        <v>0</v>
      </c>
      <c r="FSL208" s="128">
        <f>DATA!FSO35</f>
        <v>0</v>
      </c>
      <c r="FSM208" s="128">
        <f>DATA!FSP35</f>
        <v>0</v>
      </c>
      <c r="FSN208" s="128">
        <f>DATA!FSQ35</f>
        <v>0</v>
      </c>
      <c r="FSO208" s="128">
        <f>DATA!FSR35</f>
        <v>0</v>
      </c>
      <c r="FSP208" s="128">
        <f>DATA!FSS35</f>
        <v>0</v>
      </c>
      <c r="FSQ208" s="128">
        <f>DATA!FST35</f>
        <v>0</v>
      </c>
      <c r="FSR208" s="128">
        <f>DATA!FSU35</f>
        <v>0</v>
      </c>
      <c r="FSS208" s="128">
        <f>DATA!FSV35</f>
        <v>0</v>
      </c>
      <c r="FST208" s="128">
        <f>DATA!FSW35</f>
        <v>0</v>
      </c>
      <c r="FSU208" s="128">
        <f>DATA!FSX35</f>
        <v>0</v>
      </c>
      <c r="FSV208" s="128">
        <f>DATA!FSY35</f>
        <v>0</v>
      </c>
      <c r="FSW208" s="128">
        <f>DATA!FSZ35</f>
        <v>0</v>
      </c>
      <c r="FSX208" s="128">
        <f>DATA!FTA35</f>
        <v>0</v>
      </c>
      <c r="FSY208" s="128">
        <f>DATA!FTB35</f>
        <v>0</v>
      </c>
      <c r="FSZ208" s="128">
        <f>DATA!FTC35</f>
        <v>0</v>
      </c>
      <c r="FTA208" s="128">
        <f>DATA!FTD35</f>
        <v>0</v>
      </c>
      <c r="FTB208" s="128">
        <f>DATA!FTE35</f>
        <v>0</v>
      </c>
      <c r="FTC208" s="128">
        <f>DATA!FTF35</f>
        <v>0</v>
      </c>
      <c r="FTD208" s="128">
        <f>DATA!FTG35</f>
        <v>0</v>
      </c>
      <c r="FTE208" s="128">
        <f>DATA!FTH35</f>
        <v>0</v>
      </c>
      <c r="FTF208" s="128">
        <f>DATA!FTI35</f>
        <v>0</v>
      </c>
      <c r="FTG208" s="128">
        <f>DATA!FTJ35</f>
        <v>0</v>
      </c>
      <c r="FTH208" s="128">
        <f>DATA!FTK35</f>
        <v>0</v>
      </c>
      <c r="FTI208" s="128">
        <f>DATA!FTL35</f>
        <v>0</v>
      </c>
      <c r="FTJ208" s="128">
        <f>DATA!FTM35</f>
        <v>0</v>
      </c>
      <c r="FTK208" s="128">
        <f>DATA!FTN35</f>
        <v>0</v>
      </c>
      <c r="FTL208" s="128">
        <f>DATA!FTO35</f>
        <v>0</v>
      </c>
      <c r="FTM208" s="128">
        <f>DATA!FTP35</f>
        <v>0</v>
      </c>
      <c r="FTN208" s="128">
        <f>DATA!FTQ35</f>
        <v>0</v>
      </c>
      <c r="FTO208" s="128">
        <f>DATA!FTR35</f>
        <v>0</v>
      </c>
      <c r="FTP208" s="128">
        <f>DATA!FTS35</f>
        <v>0</v>
      </c>
      <c r="FTQ208" s="128">
        <f>DATA!FTT35</f>
        <v>0</v>
      </c>
      <c r="FTR208" s="128">
        <f>DATA!FTU35</f>
        <v>0</v>
      </c>
      <c r="FTS208" s="128">
        <f>DATA!FTV35</f>
        <v>0</v>
      </c>
      <c r="FTT208" s="128">
        <f>DATA!FTW35</f>
        <v>0</v>
      </c>
      <c r="FTU208" s="128">
        <f>DATA!FTX35</f>
        <v>0</v>
      </c>
      <c r="FTV208" s="128">
        <f>DATA!FTY35</f>
        <v>0</v>
      </c>
      <c r="FTW208" s="128">
        <f>DATA!FTZ35</f>
        <v>0</v>
      </c>
      <c r="FTX208" s="128">
        <f>DATA!FUA35</f>
        <v>0</v>
      </c>
      <c r="FTY208" s="128">
        <f>DATA!FUB35</f>
        <v>0</v>
      </c>
      <c r="FTZ208" s="128">
        <f>DATA!FUC35</f>
        <v>0</v>
      </c>
      <c r="FUA208" s="128">
        <f>DATA!FUD35</f>
        <v>0</v>
      </c>
      <c r="FUB208" s="128">
        <f>DATA!FUE35</f>
        <v>0</v>
      </c>
      <c r="FUC208" s="128">
        <f>DATA!FUF35</f>
        <v>0</v>
      </c>
      <c r="FUD208" s="128">
        <f>DATA!FUG35</f>
        <v>0</v>
      </c>
      <c r="FUE208" s="128">
        <f>DATA!FUH35</f>
        <v>0</v>
      </c>
      <c r="FUF208" s="128">
        <f>DATA!FUI35</f>
        <v>0</v>
      </c>
      <c r="FUG208" s="128">
        <f>DATA!FUJ35</f>
        <v>0</v>
      </c>
      <c r="FUH208" s="128">
        <f>DATA!FUK35</f>
        <v>0</v>
      </c>
      <c r="FUI208" s="128">
        <f>DATA!FUL35</f>
        <v>0</v>
      </c>
      <c r="FUJ208" s="128">
        <f>DATA!FUM35</f>
        <v>0</v>
      </c>
      <c r="FUK208" s="128">
        <f>DATA!FUN35</f>
        <v>0</v>
      </c>
      <c r="FUL208" s="128">
        <f>DATA!FUO35</f>
        <v>0</v>
      </c>
      <c r="FUM208" s="128">
        <f>DATA!FUP35</f>
        <v>0</v>
      </c>
      <c r="FUN208" s="128">
        <f>DATA!FUQ35</f>
        <v>0</v>
      </c>
      <c r="FUO208" s="128">
        <f>DATA!FUR35</f>
        <v>0</v>
      </c>
      <c r="FUP208" s="128">
        <f>DATA!FUS35</f>
        <v>0</v>
      </c>
      <c r="FUQ208" s="128">
        <f>DATA!FUT35</f>
        <v>0</v>
      </c>
      <c r="FUR208" s="128">
        <f>DATA!FUU35</f>
        <v>0</v>
      </c>
      <c r="FUS208" s="128">
        <f>DATA!FUV35</f>
        <v>0</v>
      </c>
      <c r="FUT208" s="128">
        <f>DATA!FUW35</f>
        <v>0</v>
      </c>
      <c r="FUU208" s="128">
        <f>DATA!FUX35</f>
        <v>0</v>
      </c>
      <c r="FUV208" s="128">
        <f>DATA!FUY35</f>
        <v>0</v>
      </c>
      <c r="FUW208" s="128">
        <f>DATA!FUZ35</f>
        <v>0</v>
      </c>
      <c r="FUX208" s="128">
        <f>DATA!FVA35</f>
        <v>0</v>
      </c>
      <c r="FUY208" s="128">
        <f>DATA!FVB35</f>
        <v>0</v>
      </c>
      <c r="FUZ208" s="128">
        <f>DATA!FVC35</f>
        <v>0</v>
      </c>
      <c r="FVA208" s="128">
        <f>DATA!FVD35</f>
        <v>0</v>
      </c>
      <c r="FVB208" s="128">
        <f>DATA!FVE35</f>
        <v>0</v>
      </c>
      <c r="FVC208" s="128">
        <f>DATA!FVF35</f>
        <v>0</v>
      </c>
      <c r="FVD208" s="128">
        <f>DATA!FVG35</f>
        <v>0</v>
      </c>
      <c r="FVE208" s="128">
        <f>DATA!FVH35</f>
        <v>0</v>
      </c>
      <c r="FVF208" s="128">
        <f>DATA!FVI35</f>
        <v>0</v>
      </c>
      <c r="FVG208" s="128">
        <f>DATA!FVJ35</f>
        <v>0</v>
      </c>
      <c r="FVH208" s="128">
        <f>DATA!FVK35</f>
        <v>0</v>
      </c>
      <c r="FVI208" s="128">
        <f>DATA!FVL35</f>
        <v>0</v>
      </c>
      <c r="FVJ208" s="128">
        <f>DATA!FVM35</f>
        <v>0</v>
      </c>
      <c r="FVK208" s="128">
        <f>DATA!FVN35</f>
        <v>0</v>
      </c>
      <c r="FVL208" s="128">
        <f>DATA!FVO35</f>
        <v>0</v>
      </c>
      <c r="FVM208" s="128">
        <f>DATA!FVP35</f>
        <v>0</v>
      </c>
      <c r="FVN208" s="128">
        <f>DATA!FVQ35</f>
        <v>0</v>
      </c>
      <c r="FVO208" s="128">
        <f>DATA!FVR35</f>
        <v>0</v>
      </c>
      <c r="FVP208" s="128">
        <f>DATA!FVS35</f>
        <v>0</v>
      </c>
      <c r="FVQ208" s="128">
        <f>DATA!FVT35</f>
        <v>0</v>
      </c>
      <c r="FVR208" s="128">
        <f>DATA!FVU35</f>
        <v>0</v>
      </c>
      <c r="FVS208" s="128">
        <f>DATA!FVV35</f>
        <v>0</v>
      </c>
      <c r="FVT208" s="128">
        <f>DATA!FVW35</f>
        <v>0</v>
      </c>
      <c r="FVU208" s="128">
        <f>DATA!FVX35</f>
        <v>0</v>
      </c>
      <c r="FVV208" s="128">
        <f>DATA!FVY35</f>
        <v>0</v>
      </c>
      <c r="FVW208" s="128">
        <f>DATA!FVZ35</f>
        <v>0</v>
      </c>
      <c r="FVX208" s="128">
        <f>DATA!FWA35</f>
        <v>0</v>
      </c>
      <c r="FVY208" s="128">
        <f>DATA!FWB35</f>
        <v>0</v>
      </c>
      <c r="FVZ208" s="128">
        <f>DATA!FWC35</f>
        <v>0</v>
      </c>
      <c r="FWA208" s="128">
        <f>DATA!FWD35</f>
        <v>0</v>
      </c>
      <c r="FWB208" s="128">
        <f>DATA!FWE35</f>
        <v>0</v>
      </c>
      <c r="FWC208" s="128">
        <f>DATA!FWF35</f>
        <v>0</v>
      </c>
      <c r="FWD208" s="128">
        <f>DATA!FWG35</f>
        <v>0</v>
      </c>
      <c r="FWE208" s="128">
        <f>DATA!FWH35</f>
        <v>0</v>
      </c>
      <c r="FWF208" s="128">
        <f>DATA!FWI35</f>
        <v>0</v>
      </c>
      <c r="FWG208" s="128">
        <f>DATA!FWJ35</f>
        <v>0</v>
      </c>
      <c r="FWH208" s="128">
        <f>DATA!FWK35</f>
        <v>0</v>
      </c>
      <c r="FWI208" s="128">
        <f>DATA!FWL35</f>
        <v>0</v>
      </c>
      <c r="FWJ208" s="128">
        <f>DATA!FWM35</f>
        <v>0</v>
      </c>
      <c r="FWK208" s="128">
        <f>DATA!FWN35</f>
        <v>0</v>
      </c>
      <c r="FWL208" s="128">
        <f>DATA!FWO35</f>
        <v>0</v>
      </c>
      <c r="FWM208" s="128">
        <f>DATA!FWP35</f>
        <v>0</v>
      </c>
      <c r="FWN208" s="128">
        <f>DATA!FWQ35</f>
        <v>0</v>
      </c>
      <c r="FWO208" s="128">
        <f>DATA!FWR35</f>
        <v>0</v>
      </c>
      <c r="FWP208" s="128">
        <f>DATA!FWS35</f>
        <v>0</v>
      </c>
      <c r="FWQ208" s="128">
        <f>DATA!FWT35</f>
        <v>0</v>
      </c>
      <c r="FWR208" s="128">
        <f>DATA!FWU35</f>
        <v>0</v>
      </c>
      <c r="FWS208" s="128">
        <f>DATA!FWV35</f>
        <v>0</v>
      </c>
      <c r="FWT208" s="128">
        <f>DATA!FWW35</f>
        <v>0</v>
      </c>
      <c r="FWU208" s="128">
        <f>DATA!FWX35</f>
        <v>0</v>
      </c>
      <c r="FWV208" s="128">
        <f>DATA!FWY35</f>
        <v>0</v>
      </c>
      <c r="FWW208" s="128">
        <f>DATA!FWZ35</f>
        <v>0</v>
      </c>
      <c r="FWX208" s="128">
        <f>DATA!FXA35</f>
        <v>0</v>
      </c>
      <c r="FWY208" s="128">
        <f>DATA!FXB35</f>
        <v>0</v>
      </c>
      <c r="FWZ208" s="128">
        <f>DATA!FXC35</f>
        <v>0</v>
      </c>
      <c r="FXA208" s="128">
        <f>DATA!FXD35</f>
        <v>0</v>
      </c>
      <c r="FXB208" s="128">
        <f>DATA!FXE35</f>
        <v>0</v>
      </c>
      <c r="FXC208" s="128">
        <f>DATA!FXF35</f>
        <v>0</v>
      </c>
      <c r="FXD208" s="128">
        <f>DATA!FXG35</f>
        <v>0</v>
      </c>
      <c r="FXE208" s="128">
        <f>DATA!FXH35</f>
        <v>0</v>
      </c>
      <c r="FXF208" s="128">
        <f>DATA!FXI35</f>
        <v>0</v>
      </c>
      <c r="FXG208" s="128">
        <f>DATA!FXJ35</f>
        <v>0</v>
      </c>
      <c r="FXH208" s="128">
        <f>DATA!FXK35</f>
        <v>0</v>
      </c>
      <c r="FXI208" s="128">
        <f>DATA!FXL35</f>
        <v>0</v>
      </c>
      <c r="FXJ208" s="128">
        <f>DATA!FXM35</f>
        <v>0</v>
      </c>
      <c r="FXK208" s="128">
        <f>DATA!FXN35</f>
        <v>0</v>
      </c>
      <c r="FXL208" s="128">
        <f>DATA!FXO35</f>
        <v>0</v>
      </c>
      <c r="FXM208" s="128">
        <f>DATA!FXP35</f>
        <v>0</v>
      </c>
      <c r="FXN208" s="128">
        <f>DATA!FXQ35</f>
        <v>0</v>
      </c>
      <c r="FXO208" s="128">
        <f>DATA!FXR35</f>
        <v>0</v>
      </c>
      <c r="FXP208" s="128">
        <f>DATA!FXS35</f>
        <v>0</v>
      </c>
      <c r="FXQ208" s="128">
        <f>DATA!FXT35</f>
        <v>0</v>
      </c>
      <c r="FXR208" s="128">
        <f>DATA!FXU35</f>
        <v>0</v>
      </c>
      <c r="FXS208" s="128">
        <f>DATA!FXV35</f>
        <v>0</v>
      </c>
      <c r="FXT208" s="128">
        <f>DATA!FXW35</f>
        <v>0</v>
      </c>
      <c r="FXU208" s="128">
        <f>DATA!FXX35</f>
        <v>0</v>
      </c>
      <c r="FXV208" s="128">
        <f>DATA!FXY35</f>
        <v>0</v>
      </c>
      <c r="FXW208" s="128">
        <f>DATA!FXZ35</f>
        <v>0</v>
      </c>
      <c r="FXX208" s="128">
        <f>DATA!FYA35</f>
        <v>0</v>
      </c>
      <c r="FXY208" s="128">
        <f>DATA!FYB35</f>
        <v>0</v>
      </c>
      <c r="FXZ208" s="128">
        <f>DATA!FYC35</f>
        <v>0</v>
      </c>
      <c r="FYA208" s="128">
        <f>DATA!FYD35</f>
        <v>0</v>
      </c>
      <c r="FYB208" s="128">
        <f>DATA!FYE35</f>
        <v>0</v>
      </c>
      <c r="FYC208" s="128">
        <f>DATA!FYF35</f>
        <v>0</v>
      </c>
      <c r="FYD208" s="128">
        <f>DATA!FYG35</f>
        <v>0</v>
      </c>
      <c r="FYE208" s="128">
        <f>DATA!FYH35</f>
        <v>0</v>
      </c>
      <c r="FYF208" s="128">
        <f>DATA!FYI35</f>
        <v>0</v>
      </c>
      <c r="FYG208" s="128">
        <f>DATA!FYJ35</f>
        <v>0</v>
      </c>
      <c r="FYH208" s="128">
        <f>DATA!FYK35</f>
        <v>0</v>
      </c>
      <c r="FYI208" s="128">
        <f>DATA!FYL35</f>
        <v>0</v>
      </c>
      <c r="FYJ208" s="128">
        <f>DATA!FYM35</f>
        <v>0</v>
      </c>
      <c r="FYK208" s="128">
        <f>DATA!FYN35</f>
        <v>0</v>
      </c>
      <c r="FYL208" s="128">
        <f>DATA!FYO35</f>
        <v>0</v>
      </c>
      <c r="FYM208" s="128">
        <f>DATA!FYP35</f>
        <v>0</v>
      </c>
      <c r="FYN208" s="128">
        <f>DATA!FYQ35</f>
        <v>0</v>
      </c>
      <c r="FYO208" s="128">
        <f>DATA!FYR35</f>
        <v>0</v>
      </c>
      <c r="FYP208" s="128">
        <f>DATA!FYS35</f>
        <v>0</v>
      </c>
      <c r="FYQ208" s="128">
        <f>DATA!FYT35</f>
        <v>0</v>
      </c>
      <c r="FYR208" s="128">
        <f>DATA!FYU35</f>
        <v>0</v>
      </c>
      <c r="FYS208" s="128">
        <f>DATA!FYV35</f>
        <v>0</v>
      </c>
      <c r="FYT208" s="128">
        <f>DATA!FYW35</f>
        <v>0</v>
      </c>
      <c r="FYU208" s="128">
        <f>DATA!FYX35</f>
        <v>0</v>
      </c>
      <c r="FYV208" s="128">
        <f>DATA!FYY35</f>
        <v>0</v>
      </c>
      <c r="FYW208" s="128">
        <f>DATA!FYZ35</f>
        <v>0</v>
      </c>
      <c r="FYX208" s="128">
        <f>DATA!FZA35</f>
        <v>0</v>
      </c>
      <c r="FYY208" s="128">
        <f>DATA!FZB35</f>
        <v>0</v>
      </c>
      <c r="FYZ208" s="128">
        <f>DATA!FZC35</f>
        <v>0</v>
      </c>
      <c r="FZA208" s="128">
        <f>DATA!FZD35</f>
        <v>0</v>
      </c>
      <c r="FZB208" s="128">
        <f>DATA!FZE35</f>
        <v>0</v>
      </c>
      <c r="FZC208" s="128">
        <f>DATA!FZF35</f>
        <v>0</v>
      </c>
      <c r="FZD208" s="128">
        <f>DATA!FZG35</f>
        <v>0</v>
      </c>
      <c r="FZE208" s="128">
        <f>DATA!FZH35</f>
        <v>0</v>
      </c>
      <c r="FZF208" s="128">
        <f>DATA!FZI35</f>
        <v>0</v>
      </c>
      <c r="FZG208" s="128">
        <f>DATA!FZJ35</f>
        <v>0</v>
      </c>
      <c r="FZH208" s="128">
        <f>DATA!FZK35</f>
        <v>0</v>
      </c>
      <c r="FZI208" s="128">
        <f>DATA!FZL35</f>
        <v>0</v>
      </c>
      <c r="FZJ208" s="128">
        <f>DATA!FZM35</f>
        <v>0</v>
      </c>
      <c r="FZK208" s="128">
        <f>DATA!FZN35</f>
        <v>0</v>
      </c>
      <c r="FZL208" s="128">
        <f>DATA!FZO35</f>
        <v>0</v>
      </c>
      <c r="FZM208" s="128">
        <f>DATA!FZP35</f>
        <v>0</v>
      </c>
      <c r="FZN208" s="128">
        <f>DATA!FZQ35</f>
        <v>0</v>
      </c>
      <c r="FZO208" s="128">
        <f>DATA!FZR35</f>
        <v>0</v>
      </c>
      <c r="FZP208" s="128">
        <f>DATA!FZS35</f>
        <v>0</v>
      </c>
      <c r="FZQ208" s="128">
        <f>DATA!FZT35</f>
        <v>0</v>
      </c>
      <c r="FZR208" s="128">
        <f>DATA!FZU35</f>
        <v>0</v>
      </c>
      <c r="FZS208" s="128">
        <f>DATA!FZV35</f>
        <v>0</v>
      </c>
      <c r="FZT208" s="128">
        <f>DATA!FZW35</f>
        <v>0</v>
      </c>
      <c r="FZU208" s="128">
        <f>DATA!FZX35</f>
        <v>0</v>
      </c>
      <c r="FZV208" s="128">
        <f>DATA!FZY35</f>
        <v>0</v>
      </c>
      <c r="FZW208" s="128">
        <f>DATA!FZZ35</f>
        <v>0</v>
      </c>
      <c r="FZX208" s="128">
        <f>DATA!GAA35</f>
        <v>0</v>
      </c>
      <c r="FZY208" s="128">
        <f>DATA!GAB35</f>
        <v>0</v>
      </c>
      <c r="FZZ208" s="128">
        <f>DATA!GAC35</f>
        <v>0</v>
      </c>
      <c r="GAA208" s="128">
        <f>DATA!GAD35</f>
        <v>0</v>
      </c>
      <c r="GAB208" s="128">
        <f>DATA!GAE35</f>
        <v>0</v>
      </c>
      <c r="GAC208" s="128">
        <f>DATA!GAF35</f>
        <v>0</v>
      </c>
      <c r="GAD208" s="128">
        <f>DATA!GAG35</f>
        <v>0</v>
      </c>
      <c r="GAE208" s="128">
        <f>DATA!GAH35</f>
        <v>0</v>
      </c>
      <c r="GAF208" s="128">
        <f>DATA!GAI35</f>
        <v>0</v>
      </c>
      <c r="GAG208" s="128">
        <f>DATA!GAJ35</f>
        <v>0</v>
      </c>
      <c r="GAH208" s="128">
        <f>DATA!GAK35</f>
        <v>0</v>
      </c>
      <c r="GAI208" s="128">
        <f>DATA!GAL35</f>
        <v>0</v>
      </c>
      <c r="GAJ208" s="128">
        <f>DATA!GAM35</f>
        <v>0</v>
      </c>
      <c r="GAK208" s="128">
        <f>DATA!GAN35</f>
        <v>0</v>
      </c>
      <c r="GAL208" s="128">
        <f>DATA!GAO35</f>
        <v>0</v>
      </c>
      <c r="GAM208" s="128">
        <f>DATA!GAP35</f>
        <v>0</v>
      </c>
      <c r="GAN208" s="128">
        <f>DATA!GAQ35</f>
        <v>0</v>
      </c>
      <c r="GAO208" s="128">
        <f>DATA!GAR35</f>
        <v>0</v>
      </c>
      <c r="GAP208" s="128">
        <f>DATA!GAS35</f>
        <v>0</v>
      </c>
      <c r="GAQ208" s="128">
        <f>DATA!GAT35</f>
        <v>0</v>
      </c>
      <c r="GAR208" s="128">
        <f>DATA!GAU35</f>
        <v>0</v>
      </c>
      <c r="GAS208" s="128">
        <f>DATA!GAV35</f>
        <v>0</v>
      </c>
      <c r="GAT208" s="128">
        <f>DATA!GAW35</f>
        <v>0</v>
      </c>
      <c r="GAU208" s="128">
        <f>DATA!GAX35</f>
        <v>0</v>
      </c>
      <c r="GAV208" s="128">
        <f>DATA!GAY35</f>
        <v>0</v>
      </c>
      <c r="GAW208" s="128">
        <f>DATA!GAZ35</f>
        <v>0</v>
      </c>
      <c r="GAX208" s="128">
        <f>DATA!GBA35</f>
        <v>0</v>
      </c>
      <c r="GAY208" s="128">
        <f>DATA!GBB35</f>
        <v>0</v>
      </c>
      <c r="GAZ208" s="128">
        <f>DATA!GBC35</f>
        <v>0</v>
      </c>
      <c r="GBA208" s="128">
        <f>DATA!GBD35</f>
        <v>0</v>
      </c>
      <c r="GBB208" s="128">
        <f>DATA!GBE35</f>
        <v>0</v>
      </c>
      <c r="GBC208" s="128">
        <f>DATA!GBF35</f>
        <v>0</v>
      </c>
      <c r="GBD208" s="128">
        <f>DATA!GBG35</f>
        <v>0</v>
      </c>
      <c r="GBE208" s="128">
        <f>DATA!GBH35</f>
        <v>0</v>
      </c>
      <c r="GBF208" s="128">
        <f>DATA!GBI35</f>
        <v>0</v>
      </c>
      <c r="GBG208" s="128">
        <f>DATA!GBJ35</f>
        <v>0</v>
      </c>
      <c r="GBH208" s="128">
        <f>DATA!GBK35</f>
        <v>0</v>
      </c>
      <c r="GBI208" s="128">
        <f>DATA!GBL35</f>
        <v>0</v>
      </c>
      <c r="GBJ208" s="128">
        <f>DATA!GBM35</f>
        <v>0</v>
      </c>
      <c r="GBK208" s="128">
        <f>DATA!GBN35</f>
        <v>0</v>
      </c>
      <c r="GBL208" s="128">
        <f>DATA!GBO35</f>
        <v>0</v>
      </c>
      <c r="GBM208" s="128">
        <f>DATA!GBP35</f>
        <v>0</v>
      </c>
      <c r="GBN208" s="128">
        <f>DATA!GBQ35</f>
        <v>0</v>
      </c>
      <c r="GBO208" s="128">
        <f>DATA!GBR35</f>
        <v>0</v>
      </c>
      <c r="GBP208" s="128">
        <f>DATA!GBS35</f>
        <v>0</v>
      </c>
      <c r="GBQ208" s="128">
        <f>DATA!GBT35</f>
        <v>0</v>
      </c>
      <c r="GBR208" s="128">
        <f>DATA!GBU35</f>
        <v>0</v>
      </c>
      <c r="GBS208" s="128">
        <f>DATA!GBV35</f>
        <v>0</v>
      </c>
      <c r="GBT208" s="128">
        <f>DATA!GBW35</f>
        <v>0</v>
      </c>
      <c r="GBU208" s="128">
        <f>DATA!GBX35</f>
        <v>0</v>
      </c>
      <c r="GBV208" s="128">
        <f>DATA!GBY35</f>
        <v>0</v>
      </c>
      <c r="GBW208" s="128">
        <f>DATA!GBZ35</f>
        <v>0</v>
      </c>
      <c r="GBX208" s="128">
        <f>DATA!GCA35</f>
        <v>0</v>
      </c>
      <c r="GBY208" s="128">
        <f>DATA!GCB35</f>
        <v>0</v>
      </c>
      <c r="GBZ208" s="128">
        <f>DATA!GCC35</f>
        <v>0</v>
      </c>
      <c r="GCA208" s="128">
        <f>DATA!GCD35</f>
        <v>0</v>
      </c>
      <c r="GCB208" s="128">
        <f>DATA!GCE35</f>
        <v>0</v>
      </c>
      <c r="GCC208" s="128">
        <f>DATA!GCF35</f>
        <v>0</v>
      </c>
      <c r="GCD208" s="128">
        <f>DATA!GCG35</f>
        <v>0</v>
      </c>
      <c r="GCE208" s="128">
        <f>DATA!GCH35</f>
        <v>0</v>
      </c>
      <c r="GCF208" s="128">
        <f>DATA!GCI35</f>
        <v>0</v>
      </c>
      <c r="GCG208" s="128">
        <f>DATA!GCJ35</f>
        <v>0</v>
      </c>
      <c r="GCH208" s="128">
        <f>DATA!GCK35</f>
        <v>0</v>
      </c>
      <c r="GCI208" s="128">
        <f>DATA!GCL35</f>
        <v>0</v>
      </c>
      <c r="GCJ208" s="128">
        <f>DATA!GCM35</f>
        <v>0</v>
      </c>
      <c r="GCK208" s="128">
        <f>DATA!GCN35</f>
        <v>0</v>
      </c>
      <c r="GCL208" s="128">
        <f>DATA!GCO35</f>
        <v>0</v>
      </c>
      <c r="GCM208" s="128">
        <f>DATA!GCP35</f>
        <v>0</v>
      </c>
      <c r="GCN208" s="128">
        <f>DATA!GCQ35</f>
        <v>0</v>
      </c>
      <c r="GCO208" s="128">
        <f>DATA!GCR35</f>
        <v>0</v>
      </c>
      <c r="GCP208" s="128">
        <f>DATA!GCS35</f>
        <v>0</v>
      </c>
      <c r="GCQ208" s="128">
        <f>DATA!GCT35</f>
        <v>0</v>
      </c>
      <c r="GCR208" s="128">
        <f>DATA!GCU35</f>
        <v>0</v>
      </c>
      <c r="GCS208" s="128">
        <f>DATA!GCV35</f>
        <v>0</v>
      </c>
      <c r="GCT208" s="128">
        <f>DATA!GCW35</f>
        <v>0</v>
      </c>
      <c r="GCU208" s="128">
        <f>DATA!GCX35</f>
        <v>0</v>
      </c>
      <c r="GCV208" s="128">
        <f>DATA!GCY35</f>
        <v>0</v>
      </c>
      <c r="GCW208" s="128">
        <f>DATA!GCZ35</f>
        <v>0</v>
      </c>
      <c r="GCX208" s="128">
        <f>DATA!GDA35</f>
        <v>0</v>
      </c>
      <c r="GCY208" s="128">
        <f>DATA!GDB35</f>
        <v>0</v>
      </c>
      <c r="GCZ208" s="128">
        <f>DATA!GDC35</f>
        <v>0</v>
      </c>
      <c r="GDA208" s="128">
        <f>DATA!GDD35</f>
        <v>0</v>
      </c>
      <c r="GDB208" s="128">
        <f>DATA!GDE35</f>
        <v>0</v>
      </c>
      <c r="GDC208" s="128">
        <f>DATA!GDF35</f>
        <v>0</v>
      </c>
      <c r="GDD208" s="128">
        <f>DATA!GDG35</f>
        <v>0</v>
      </c>
      <c r="GDE208" s="128">
        <f>DATA!GDH35</f>
        <v>0</v>
      </c>
      <c r="GDF208" s="128">
        <f>DATA!GDI35</f>
        <v>0</v>
      </c>
      <c r="GDG208" s="128">
        <f>DATA!GDJ35</f>
        <v>0</v>
      </c>
      <c r="GDH208" s="128">
        <f>DATA!GDK35</f>
        <v>0</v>
      </c>
      <c r="GDI208" s="128">
        <f>DATA!GDL35</f>
        <v>0</v>
      </c>
      <c r="GDJ208" s="128">
        <f>DATA!GDM35</f>
        <v>0</v>
      </c>
      <c r="GDK208" s="128">
        <f>DATA!GDN35</f>
        <v>0</v>
      </c>
      <c r="GDL208" s="128">
        <f>DATA!GDO35</f>
        <v>0</v>
      </c>
      <c r="GDM208" s="128">
        <f>DATA!GDP35</f>
        <v>0</v>
      </c>
      <c r="GDN208" s="128">
        <f>DATA!GDQ35</f>
        <v>0</v>
      </c>
      <c r="GDO208" s="128">
        <f>DATA!GDR35</f>
        <v>0</v>
      </c>
      <c r="GDP208" s="128">
        <f>DATA!GDS35</f>
        <v>0</v>
      </c>
      <c r="GDQ208" s="128">
        <f>DATA!GDT35</f>
        <v>0</v>
      </c>
      <c r="GDR208" s="128">
        <f>DATA!GDU35</f>
        <v>0</v>
      </c>
      <c r="GDS208" s="128">
        <f>DATA!GDV35</f>
        <v>0</v>
      </c>
      <c r="GDT208" s="128">
        <f>DATA!GDW35</f>
        <v>0</v>
      </c>
      <c r="GDU208" s="128">
        <f>DATA!GDX35</f>
        <v>0</v>
      </c>
      <c r="GDV208" s="128">
        <f>DATA!GDY35</f>
        <v>0</v>
      </c>
      <c r="GDW208" s="128">
        <f>DATA!GDZ35</f>
        <v>0</v>
      </c>
      <c r="GDX208" s="128">
        <f>DATA!GEA35</f>
        <v>0</v>
      </c>
      <c r="GDY208" s="128">
        <f>DATA!GEB35</f>
        <v>0</v>
      </c>
      <c r="GDZ208" s="128">
        <f>DATA!GEC35</f>
        <v>0</v>
      </c>
      <c r="GEA208" s="128">
        <f>DATA!GED35</f>
        <v>0</v>
      </c>
      <c r="GEB208" s="128">
        <f>DATA!GEE35</f>
        <v>0</v>
      </c>
      <c r="GEC208" s="128">
        <f>DATA!GEF35</f>
        <v>0</v>
      </c>
      <c r="GED208" s="128">
        <f>DATA!GEG35</f>
        <v>0</v>
      </c>
      <c r="GEE208" s="128">
        <f>DATA!GEH35</f>
        <v>0</v>
      </c>
      <c r="GEF208" s="128">
        <f>DATA!GEI35</f>
        <v>0</v>
      </c>
      <c r="GEG208" s="128">
        <f>DATA!GEJ35</f>
        <v>0</v>
      </c>
      <c r="GEH208" s="128">
        <f>DATA!GEK35</f>
        <v>0</v>
      </c>
      <c r="GEI208" s="128">
        <f>DATA!GEL35</f>
        <v>0</v>
      </c>
      <c r="GEJ208" s="128">
        <f>DATA!GEM35</f>
        <v>0</v>
      </c>
      <c r="GEK208" s="128">
        <f>DATA!GEN35</f>
        <v>0</v>
      </c>
      <c r="GEL208" s="128">
        <f>DATA!GEO35</f>
        <v>0</v>
      </c>
      <c r="GEM208" s="128">
        <f>DATA!GEP35</f>
        <v>0</v>
      </c>
      <c r="GEN208" s="128">
        <f>DATA!GEQ35</f>
        <v>0</v>
      </c>
      <c r="GEO208" s="128">
        <f>DATA!GER35</f>
        <v>0</v>
      </c>
      <c r="GEP208" s="128">
        <f>DATA!GES35</f>
        <v>0</v>
      </c>
      <c r="GEQ208" s="128">
        <f>DATA!GET35</f>
        <v>0</v>
      </c>
      <c r="GER208" s="128">
        <f>DATA!GEU35</f>
        <v>0</v>
      </c>
      <c r="GES208" s="128">
        <f>DATA!GEV35</f>
        <v>0</v>
      </c>
      <c r="GET208" s="128">
        <f>DATA!GEW35</f>
        <v>0</v>
      </c>
      <c r="GEU208" s="128">
        <f>DATA!GEX35</f>
        <v>0</v>
      </c>
      <c r="GEV208" s="128">
        <f>DATA!GEY35</f>
        <v>0</v>
      </c>
      <c r="GEW208" s="128">
        <f>DATA!GEZ35</f>
        <v>0</v>
      </c>
      <c r="GEX208" s="128">
        <f>DATA!GFA35</f>
        <v>0</v>
      </c>
      <c r="GEY208" s="128">
        <f>DATA!GFB35</f>
        <v>0</v>
      </c>
      <c r="GEZ208" s="128">
        <f>DATA!GFC35</f>
        <v>0</v>
      </c>
      <c r="GFA208" s="128">
        <f>DATA!GFD35</f>
        <v>0</v>
      </c>
      <c r="GFB208" s="128">
        <f>DATA!GFE35</f>
        <v>0</v>
      </c>
      <c r="GFC208" s="128">
        <f>DATA!GFF35</f>
        <v>0</v>
      </c>
      <c r="GFD208" s="128">
        <f>DATA!GFG35</f>
        <v>0</v>
      </c>
      <c r="GFE208" s="128">
        <f>DATA!GFH35</f>
        <v>0</v>
      </c>
      <c r="GFF208" s="128">
        <f>DATA!GFI35</f>
        <v>0</v>
      </c>
      <c r="GFG208" s="128">
        <f>DATA!GFJ35</f>
        <v>0</v>
      </c>
      <c r="GFH208" s="128">
        <f>DATA!GFK35</f>
        <v>0</v>
      </c>
      <c r="GFI208" s="128">
        <f>DATA!GFL35</f>
        <v>0</v>
      </c>
      <c r="GFJ208" s="128">
        <f>DATA!GFM35</f>
        <v>0</v>
      </c>
      <c r="GFK208" s="128">
        <f>DATA!GFN35</f>
        <v>0</v>
      </c>
      <c r="GFL208" s="128">
        <f>DATA!GFO35</f>
        <v>0</v>
      </c>
      <c r="GFM208" s="128">
        <f>DATA!GFP35</f>
        <v>0</v>
      </c>
      <c r="GFN208" s="128">
        <f>DATA!GFQ35</f>
        <v>0</v>
      </c>
      <c r="GFO208" s="128">
        <f>DATA!GFR35</f>
        <v>0</v>
      </c>
      <c r="GFP208" s="128">
        <f>DATA!GFS35</f>
        <v>0</v>
      </c>
      <c r="GFQ208" s="128">
        <f>DATA!GFT35</f>
        <v>0</v>
      </c>
      <c r="GFR208" s="128">
        <f>DATA!GFU35</f>
        <v>0</v>
      </c>
      <c r="GFS208" s="128">
        <f>DATA!GFV35</f>
        <v>0</v>
      </c>
      <c r="GFT208" s="128">
        <f>DATA!GFW35</f>
        <v>0</v>
      </c>
      <c r="GFU208" s="128">
        <f>DATA!GFX35</f>
        <v>0</v>
      </c>
      <c r="GFV208" s="128">
        <f>DATA!GFY35</f>
        <v>0</v>
      </c>
      <c r="GFW208" s="128">
        <f>DATA!GFZ35</f>
        <v>0</v>
      </c>
      <c r="GFX208" s="128">
        <f>DATA!GGA35</f>
        <v>0</v>
      </c>
      <c r="GFY208" s="128">
        <f>DATA!GGB35</f>
        <v>0</v>
      </c>
      <c r="GFZ208" s="128">
        <f>DATA!GGC35</f>
        <v>0</v>
      </c>
      <c r="GGA208" s="128">
        <f>DATA!GGD35</f>
        <v>0</v>
      </c>
      <c r="GGB208" s="128">
        <f>DATA!GGE35</f>
        <v>0</v>
      </c>
      <c r="GGC208" s="128">
        <f>DATA!GGF35</f>
        <v>0</v>
      </c>
      <c r="GGD208" s="128">
        <f>DATA!GGG35</f>
        <v>0</v>
      </c>
      <c r="GGE208" s="128">
        <f>DATA!GGH35</f>
        <v>0</v>
      </c>
      <c r="GGF208" s="128">
        <f>DATA!GGI35</f>
        <v>0</v>
      </c>
      <c r="GGG208" s="128">
        <f>DATA!GGJ35</f>
        <v>0</v>
      </c>
      <c r="GGH208" s="128">
        <f>DATA!GGK35</f>
        <v>0</v>
      </c>
      <c r="GGI208" s="128">
        <f>DATA!GGL35</f>
        <v>0</v>
      </c>
      <c r="GGJ208" s="128">
        <f>DATA!GGM35</f>
        <v>0</v>
      </c>
      <c r="GGK208" s="128">
        <f>DATA!GGN35</f>
        <v>0</v>
      </c>
      <c r="GGL208" s="128">
        <f>DATA!GGO35</f>
        <v>0</v>
      </c>
      <c r="GGM208" s="128">
        <f>DATA!GGP35</f>
        <v>0</v>
      </c>
      <c r="GGN208" s="128">
        <f>DATA!GGQ35</f>
        <v>0</v>
      </c>
      <c r="GGO208" s="128">
        <f>DATA!GGR35</f>
        <v>0</v>
      </c>
      <c r="GGP208" s="128">
        <f>DATA!GGS35</f>
        <v>0</v>
      </c>
      <c r="GGQ208" s="128">
        <f>DATA!GGT35</f>
        <v>0</v>
      </c>
      <c r="GGR208" s="128">
        <f>DATA!GGU35</f>
        <v>0</v>
      </c>
      <c r="GGS208" s="128">
        <f>DATA!GGV35</f>
        <v>0</v>
      </c>
      <c r="GGT208" s="128">
        <f>DATA!GGW35</f>
        <v>0</v>
      </c>
      <c r="GGU208" s="128">
        <f>DATA!GGX35</f>
        <v>0</v>
      </c>
      <c r="GGV208" s="128">
        <f>DATA!GGY35</f>
        <v>0</v>
      </c>
      <c r="GGW208" s="128">
        <f>DATA!GGZ35</f>
        <v>0</v>
      </c>
      <c r="GGX208" s="128">
        <f>DATA!GHA35</f>
        <v>0</v>
      </c>
      <c r="GGY208" s="128">
        <f>DATA!GHB35</f>
        <v>0</v>
      </c>
      <c r="GGZ208" s="128">
        <f>DATA!GHC35</f>
        <v>0</v>
      </c>
      <c r="GHA208" s="128">
        <f>DATA!GHD35</f>
        <v>0</v>
      </c>
      <c r="GHB208" s="128">
        <f>DATA!GHE35</f>
        <v>0</v>
      </c>
      <c r="GHC208" s="128">
        <f>DATA!GHF35</f>
        <v>0</v>
      </c>
      <c r="GHD208" s="128">
        <f>DATA!GHG35</f>
        <v>0</v>
      </c>
      <c r="GHE208" s="128">
        <f>DATA!GHH35</f>
        <v>0</v>
      </c>
      <c r="GHF208" s="128">
        <f>DATA!GHI35</f>
        <v>0</v>
      </c>
      <c r="GHG208" s="128">
        <f>DATA!GHJ35</f>
        <v>0</v>
      </c>
      <c r="GHH208" s="128">
        <f>DATA!GHK35</f>
        <v>0</v>
      </c>
      <c r="GHI208" s="128">
        <f>DATA!GHL35</f>
        <v>0</v>
      </c>
      <c r="GHJ208" s="128">
        <f>DATA!GHM35</f>
        <v>0</v>
      </c>
      <c r="GHK208" s="128">
        <f>DATA!GHN35</f>
        <v>0</v>
      </c>
      <c r="GHL208" s="128">
        <f>DATA!GHO35</f>
        <v>0</v>
      </c>
      <c r="GHM208" s="128">
        <f>DATA!GHP35</f>
        <v>0</v>
      </c>
      <c r="GHN208" s="128">
        <f>DATA!GHQ35</f>
        <v>0</v>
      </c>
      <c r="GHO208" s="128">
        <f>DATA!GHR35</f>
        <v>0</v>
      </c>
      <c r="GHP208" s="128">
        <f>DATA!GHS35</f>
        <v>0</v>
      </c>
      <c r="GHQ208" s="128">
        <f>DATA!GHT35</f>
        <v>0</v>
      </c>
      <c r="GHR208" s="128">
        <f>DATA!GHU35</f>
        <v>0</v>
      </c>
      <c r="GHS208" s="128">
        <f>DATA!GHV35</f>
        <v>0</v>
      </c>
      <c r="GHT208" s="128">
        <f>DATA!GHW35</f>
        <v>0</v>
      </c>
      <c r="GHU208" s="128">
        <f>DATA!GHX35</f>
        <v>0</v>
      </c>
      <c r="GHV208" s="128">
        <f>DATA!GHY35</f>
        <v>0</v>
      </c>
      <c r="GHW208" s="128">
        <f>DATA!GHZ35</f>
        <v>0</v>
      </c>
      <c r="GHX208" s="128">
        <f>DATA!GIA35</f>
        <v>0</v>
      </c>
      <c r="GHY208" s="128">
        <f>DATA!GIB35</f>
        <v>0</v>
      </c>
      <c r="GHZ208" s="128">
        <f>DATA!GIC35</f>
        <v>0</v>
      </c>
      <c r="GIA208" s="128">
        <f>DATA!GID35</f>
        <v>0</v>
      </c>
      <c r="GIB208" s="128">
        <f>DATA!GIE35</f>
        <v>0</v>
      </c>
      <c r="GIC208" s="128">
        <f>DATA!GIF35</f>
        <v>0</v>
      </c>
      <c r="GID208" s="128">
        <f>DATA!GIG35</f>
        <v>0</v>
      </c>
      <c r="GIE208" s="128">
        <f>DATA!GIH35</f>
        <v>0</v>
      </c>
      <c r="GIF208" s="128">
        <f>DATA!GII35</f>
        <v>0</v>
      </c>
      <c r="GIG208" s="128">
        <f>DATA!GIJ35</f>
        <v>0</v>
      </c>
      <c r="GIH208" s="128">
        <f>DATA!GIK35</f>
        <v>0</v>
      </c>
      <c r="GII208" s="128">
        <f>DATA!GIL35</f>
        <v>0</v>
      </c>
      <c r="GIJ208" s="128">
        <f>DATA!GIM35</f>
        <v>0</v>
      </c>
      <c r="GIK208" s="128">
        <f>DATA!GIN35</f>
        <v>0</v>
      </c>
      <c r="GIL208" s="128">
        <f>DATA!GIO35</f>
        <v>0</v>
      </c>
      <c r="GIM208" s="128">
        <f>DATA!GIP35</f>
        <v>0</v>
      </c>
      <c r="GIN208" s="128">
        <f>DATA!GIQ35</f>
        <v>0</v>
      </c>
      <c r="GIO208" s="128">
        <f>DATA!GIR35</f>
        <v>0</v>
      </c>
      <c r="GIP208" s="128">
        <f>DATA!GIS35</f>
        <v>0</v>
      </c>
      <c r="GIQ208" s="128">
        <f>DATA!GIT35</f>
        <v>0</v>
      </c>
      <c r="GIR208" s="128">
        <f>DATA!GIU35</f>
        <v>0</v>
      </c>
      <c r="GIS208" s="128">
        <f>DATA!GIV35</f>
        <v>0</v>
      </c>
      <c r="GIT208" s="128">
        <f>DATA!GIW35</f>
        <v>0</v>
      </c>
      <c r="GIU208" s="128">
        <f>DATA!GIX35</f>
        <v>0</v>
      </c>
      <c r="GIV208" s="128">
        <f>DATA!GIY35</f>
        <v>0</v>
      </c>
      <c r="GIW208" s="128">
        <f>DATA!GIZ35</f>
        <v>0</v>
      </c>
      <c r="GIX208" s="128">
        <f>DATA!GJA35</f>
        <v>0</v>
      </c>
      <c r="GIY208" s="128">
        <f>DATA!GJB35</f>
        <v>0</v>
      </c>
      <c r="GIZ208" s="128">
        <f>DATA!GJC35</f>
        <v>0</v>
      </c>
      <c r="GJA208" s="128">
        <f>DATA!GJD35</f>
        <v>0</v>
      </c>
      <c r="GJB208" s="128">
        <f>DATA!GJE35</f>
        <v>0</v>
      </c>
      <c r="GJC208" s="128">
        <f>DATA!GJF35</f>
        <v>0</v>
      </c>
      <c r="GJD208" s="128">
        <f>DATA!GJG35</f>
        <v>0</v>
      </c>
      <c r="GJE208" s="128">
        <f>DATA!GJH35</f>
        <v>0</v>
      </c>
      <c r="GJF208" s="128">
        <f>DATA!GJI35</f>
        <v>0</v>
      </c>
      <c r="GJG208" s="128">
        <f>DATA!GJJ35</f>
        <v>0</v>
      </c>
      <c r="GJH208" s="128">
        <f>DATA!GJK35</f>
        <v>0</v>
      </c>
      <c r="GJI208" s="128">
        <f>DATA!GJL35</f>
        <v>0</v>
      </c>
      <c r="GJJ208" s="128">
        <f>DATA!GJM35</f>
        <v>0</v>
      </c>
      <c r="GJK208" s="128">
        <f>DATA!GJN35</f>
        <v>0</v>
      </c>
      <c r="GJL208" s="128">
        <f>DATA!GJO35</f>
        <v>0</v>
      </c>
      <c r="GJM208" s="128">
        <f>DATA!GJP35</f>
        <v>0</v>
      </c>
      <c r="GJN208" s="128">
        <f>DATA!GJQ35</f>
        <v>0</v>
      </c>
      <c r="GJO208" s="128">
        <f>DATA!GJR35</f>
        <v>0</v>
      </c>
      <c r="GJP208" s="128">
        <f>DATA!GJS35</f>
        <v>0</v>
      </c>
      <c r="GJQ208" s="128">
        <f>DATA!GJT35</f>
        <v>0</v>
      </c>
      <c r="GJR208" s="128">
        <f>DATA!GJU35</f>
        <v>0</v>
      </c>
      <c r="GJS208" s="128">
        <f>DATA!GJV35</f>
        <v>0</v>
      </c>
      <c r="GJT208" s="128">
        <f>DATA!GJW35</f>
        <v>0</v>
      </c>
      <c r="GJU208" s="128">
        <f>DATA!GJX35</f>
        <v>0</v>
      </c>
      <c r="GJV208" s="128">
        <f>DATA!GJY35</f>
        <v>0</v>
      </c>
      <c r="GJW208" s="128">
        <f>DATA!GJZ35</f>
        <v>0</v>
      </c>
      <c r="GJX208" s="128">
        <f>DATA!GKA35</f>
        <v>0</v>
      </c>
      <c r="GJY208" s="128">
        <f>DATA!GKB35</f>
        <v>0</v>
      </c>
      <c r="GJZ208" s="128">
        <f>DATA!GKC35</f>
        <v>0</v>
      </c>
      <c r="GKA208" s="128">
        <f>DATA!GKD35</f>
        <v>0</v>
      </c>
      <c r="GKB208" s="128">
        <f>DATA!GKE35</f>
        <v>0</v>
      </c>
      <c r="GKC208" s="128">
        <f>DATA!GKF35</f>
        <v>0</v>
      </c>
      <c r="GKD208" s="128">
        <f>DATA!GKG35</f>
        <v>0</v>
      </c>
      <c r="GKE208" s="128">
        <f>DATA!GKH35</f>
        <v>0</v>
      </c>
      <c r="GKF208" s="128">
        <f>DATA!GKI35</f>
        <v>0</v>
      </c>
      <c r="GKG208" s="128">
        <f>DATA!GKJ35</f>
        <v>0</v>
      </c>
      <c r="GKH208" s="128">
        <f>DATA!GKK35</f>
        <v>0</v>
      </c>
      <c r="GKI208" s="128">
        <f>DATA!GKL35</f>
        <v>0</v>
      </c>
      <c r="GKJ208" s="128">
        <f>DATA!GKM35</f>
        <v>0</v>
      </c>
      <c r="GKK208" s="128">
        <f>DATA!GKN35</f>
        <v>0</v>
      </c>
      <c r="GKL208" s="128">
        <f>DATA!GKO35</f>
        <v>0</v>
      </c>
      <c r="GKM208" s="128">
        <f>DATA!GKP35</f>
        <v>0</v>
      </c>
      <c r="GKN208" s="128">
        <f>DATA!GKQ35</f>
        <v>0</v>
      </c>
      <c r="GKO208" s="128">
        <f>DATA!GKR35</f>
        <v>0</v>
      </c>
      <c r="GKP208" s="128">
        <f>DATA!GKS35</f>
        <v>0</v>
      </c>
      <c r="GKQ208" s="128">
        <f>DATA!GKT35</f>
        <v>0</v>
      </c>
      <c r="GKR208" s="128">
        <f>DATA!GKU35</f>
        <v>0</v>
      </c>
      <c r="GKS208" s="128">
        <f>DATA!GKV35</f>
        <v>0</v>
      </c>
      <c r="GKT208" s="128">
        <f>DATA!GKW35</f>
        <v>0</v>
      </c>
      <c r="GKU208" s="128">
        <f>DATA!GKX35</f>
        <v>0</v>
      </c>
      <c r="GKV208" s="128">
        <f>DATA!GKY35</f>
        <v>0</v>
      </c>
      <c r="GKW208" s="128">
        <f>DATA!GKZ35</f>
        <v>0</v>
      </c>
      <c r="GKX208" s="128">
        <f>DATA!GLA35</f>
        <v>0</v>
      </c>
      <c r="GKY208" s="128">
        <f>DATA!GLB35</f>
        <v>0</v>
      </c>
      <c r="GKZ208" s="128">
        <f>DATA!GLC35</f>
        <v>0</v>
      </c>
      <c r="GLA208" s="128">
        <f>DATA!GLD35</f>
        <v>0</v>
      </c>
      <c r="GLB208" s="128">
        <f>DATA!GLE35</f>
        <v>0</v>
      </c>
      <c r="GLC208" s="128">
        <f>DATA!GLF35</f>
        <v>0</v>
      </c>
      <c r="GLD208" s="128">
        <f>DATA!GLG35</f>
        <v>0</v>
      </c>
      <c r="GLE208" s="128">
        <f>DATA!GLH35</f>
        <v>0</v>
      </c>
      <c r="GLF208" s="128">
        <f>DATA!GLI35</f>
        <v>0</v>
      </c>
      <c r="GLG208" s="128">
        <f>DATA!GLJ35</f>
        <v>0</v>
      </c>
      <c r="GLH208" s="128">
        <f>DATA!GLK35</f>
        <v>0</v>
      </c>
      <c r="GLI208" s="128">
        <f>DATA!GLL35</f>
        <v>0</v>
      </c>
      <c r="GLJ208" s="128">
        <f>DATA!GLM35</f>
        <v>0</v>
      </c>
      <c r="GLK208" s="128">
        <f>DATA!GLN35</f>
        <v>0</v>
      </c>
      <c r="GLL208" s="128">
        <f>DATA!GLO35</f>
        <v>0</v>
      </c>
      <c r="GLM208" s="128">
        <f>DATA!GLP35</f>
        <v>0</v>
      </c>
      <c r="GLN208" s="128">
        <f>DATA!GLQ35</f>
        <v>0</v>
      </c>
      <c r="GLO208" s="128">
        <f>DATA!GLR35</f>
        <v>0</v>
      </c>
      <c r="GLP208" s="128">
        <f>DATA!GLS35</f>
        <v>0</v>
      </c>
      <c r="GLQ208" s="128">
        <f>DATA!GLT35</f>
        <v>0</v>
      </c>
      <c r="GLR208" s="128">
        <f>DATA!GLU35</f>
        <v>0</v>
      </c>
      <c r="GLS208" s="128">
        <f>DATA!GLV35</f>
        <v>0</v>
      </c>
      <c r="GLT208" s="128">
        <f>DATA!GLW35</f>
        <v>0</v>
      </c>
      <c r="GLU208" s="128">
        <f>DATA!GLX35</f>
        <v>0</v>
      </c>
      <c r="GLV208" s="128">
        <f>DATA!GLY35</f>
        <v>0</v>
      </c>
      <c r="GLW208" s="128">
        <f>DATA!GLZ35</f>
        <v>0</v>
      </c>
      <c r="GLX208" s="128">
        <f>DATA!GMA35</f>
        <v>0</v>
      </c>
      <c r="GLY208" s="128">
        <f>DATA!GMB35</f>
        <v>0</v>
      </c>
      <c r="GLZ208" s="128">
        <f>DATA!GMC35</f>
        <v>0</v>
      </c>
      <c r="GMA208" s="128">
        <f>DATA!GMD35</f>
        <v>0</v>
      </c>
      <c r="GMB208" s="128">
        <f>DATA!GME35</f>
        <v>0</v>
      </c>
      <c r="GMC208" s="128">
        <f>DATA!GMF35</f>
        <v>0</v>
      </c>
      <c r="GMD208" s="128">
        <f>DATA!GMG35</f>
        <v>0</v>
      </c>
      <c r="GME208" s="128">
        <f>DATA!GMH35</f>
        <v>0</v>
      </c>
      <c r="GMF208" s="128">
        <f>DATA!GMI35</f>
        <v>0</v>
      </c>
      <c r="GMG208" s="128">
        <f>DATA!GMJ35</f>
        <v>0</v>
      </c>
      <c r="GMH208" s="128">
        <f>DATA!GMK35</f>
        <v>0</v>
      </c>
      <c r="GMI208" s="128">
        <f>DATA!GML35</f>
        <v>0</v>
      </c>
      <c r="GMJ208" s="128">
        <f>DATA!GMM35</f>
        <v>0</v>
      </c>
      <c r="GMK208" s="128">
        <f>DATA!GMN35</f>
        <v>0</v>
      </c>
      <c r="GML208" s="128">
        <f>DATA!GMO35</f>
        <v>0</v>
      </c>
      <c r="GMM208" s="128">
        <f>DATA!GMP35</f>
        <v>0</v>
      </c>
      <c r="GMN208" s="128">
        <f>DATA!GMQ35</f>
        <v>0</v>
      </c>
      <c r="GMO208" s="128">
        <f>DATA!GMR35</f>
        <v>0</v>
      </c>
      <c r="GMP208" s="128">
        <f>DATA!GMS35</f>
        <v>0</v>
      </c>
      <c r="GMQ208" s="128">
        <f>DATA!GMT35</f>
        <v>0</v>
      </c>
      <c r="GMR208" s="128">
        <f>DATA!GMU35</f>
        <v>0</v>
      </c>
      <c r="GMS208" s="128">
        <f>DATA!GMV35</f>
        <v>0</v>
      </c>
      <c r="GMT208" s="128">
        <f>DATA!GMW35</f>
        <v>0</v>
      </c>
      <c r="GMU208" s="128">
        <f>DATA!GMX35</f>
        <v>0</v>
      </c>
      <c r="GMV208" s="128">
        <f>DATA!GMY35</f>
        <v>0</v>
      </c>
      <c r="GMW208" s="128">
        <f>DATA!GMZ35</f>
        <v>0</v>
      </c>
      <c r="GMX208" s="128">
        <f>DATA!GNA35</f>
        <v>0</v>
      </c>
      <c r="GMY208" s="128">
        <f>DATA!GNB35</f>
        <v>0</v>
      </c>
      <c r="GMZ208" s="128">
        <f>DATA!GNC35</f>
        <v>0</v>
      </c>
      <c r="GNA208" s="128">
        <f>DATA!GND35</f>
        <v>0</v>
      </c>
      <c r="GNB208" s="128">
        <f>DATA!GNE35</f>
        <v>0</v>
      </c>
      <c r="GNC208" s="128">
        <f>DATA!GNF35</f>
        <v>0</v>
      </c>
      <c r="GND208" s="128">
        <f>DATA!GNG35</f>
        <v>0</v>
      </c>
      <c r="GNE208" s="128">
        <f>DATA!GNH35</f>
        <v>0</v>
      </c>
      <c r="GNF208" s="128">
        <f>DATA!GNI35</f>
        <v>0</v>
      </c>
      <c r="GNG208" s="128">
        <f>DATA!GNJ35</f>
        <v>0</v>
      </c>
      <c r="GNH208" s="128">
        <f>DATA!GNK35</f>
        <v>0</v>
      </c>
      <c r="GNI208" s="128">
        <f>DATA!GNL35</f>
        <v>0</v>
      </c>
      <c r="GNJ208" s="128">
        <f>DATA!GNM35</f>
        <v>0</v>
      </c>
      <c r="GNK208" s="128">
        <f>DATA!GNN35</f>
        <v>0</v>
      </c>
      <c r="GNL208" s="128">
        <f>DATA!GNO35</f>
        <v>0</v>
      </c>
      <c r="GNM208" s="128">
        <f>DATA!GNP35</f>
        <v>0</v>
      </c>
      <c r="GNN208" s="128">
        <f>DATA!GNQ35</f>
        <v>0</v>
      </c>
      <c r="GNO208" s="128">
        <f>DATA!GNR35</f>
        <v>0</v>
      </c>
      <c r="GNP208" s="128">
        <f>DATA!GNS35</f>
        <v>0</v>
      </c>
      <c r="GNQ208" s="128">
        <f>DATA!GNT35</f>
        <v>0</v>
      </c>
      <c r="GNR208" s="128">
        <f>DATA!GNU35</f>
        <v>0</v>
      </c>
      <c r="GNS208" s="128">
        <f>DATA!GNV35</f>
        <v>0</v>
      </c>
      <c r="GNT208" s="128">
        <f>DATA!GNW35</f>
        <v>0</v>
      </c>
      <c r="GNU208" s="128">
        <f>DATA!GNX35</f>
        <v>0</v>
      </c>
      <c r="GNV208" s="128">
        <f>DATA!GNY35</f>
        <v>0</v>
      </c>
      <c r="GNW208" s="128">
        <f>DATA!GNZ35</f>
        <v>0</v>
      </c>
      <c r="GNX208" s="128">
        <f>DATA!GOA35</f>
        <v>0</v>
      </c>
      <c r="GNY208" s="128">
        <f>DATA!GOB35</f>
        <v>0</v>
      </c>
      <c r="GNZ208" s="128">
        <f>DATA!GOC35</f>
        <v>0</v>
      </c>
      <c r="GOA208" s="128">
        <f>DATA!GOD35</f>
        <v>0</v>
      </c>
      <c r="GOB208" s="128">
        <f>DATA!GOE35</f>
        <v>0</v>
      </c>
      <c r="GOC208" s="128">
        <f>DATA!GOF35</f>
        <v>0</v>
      </c>
      <c r="GOD208" s="128">
        <f>DATA!GOG35</f>
        <v>0</v>
      </c>
      <c r="GOE208" s="128">
        <f>DATA!GOH35</f>
        <v>0</v>
      </c>
      <c r="GOF208" s="128">
        <f>DATA!GOI35</f>
        <v>0</v>
      </c>
      <c r="GOG208" s="128">
        <f>DATA!GOJ35</f>
        <v>0</v>
      </c>
      <c r="GOH208" s="128">
        <f>DATA!GOK35</f>
        <v>0</v>
      </c>
      <c r="GOI208" s="128">
        <f>DATA!GOL35</f>
        <v>0</v>
      </c>
      <c r="GOJ208" s="128">
        <f>DATA!GOM35</f>
        <v>0</v>
      </c>
      <c r="GOK208" s="128">
        <f>DATA!GON35</f>
        <v>0</v>
      </c>
      <c r="GOL208" s="128">
        <f>DATA!GOO35</f>
        <v>0</v>
      </c>
      <c r="GOM208" s="128">
        <f>DATA!GOP35</f>
        <v>0</v>
      </c>
      <c r="GON208" s="128">
        <f>DATA!GOQ35</f>
        <v>0</v>
      </c>
      <c r="GOO208" s="128">
        <f>DATA!GOR35</f>
        <v>0</v>
      </c>
      <c r="GOP208" s="128">
        <f>DATA!GOS35</f>
        <v>0</v>
      </c>
      <c r="GOQ208" s="128">
        <f>DATA!GOT35</f>
        <v>0</v>
      </c>
      <c r="GOR208" s="128">
        <f>DATA!GOU35</f>
        <v>0</v>
      </c>
      <c r="GOS208" s="128">
        <f>DATA!GOV35</f>
        <v>0</v>
      </c>
      <c r="GOT208" s="128">
        <f>DATA!GOW35</f>
        <v>0</v>
      </c>
      <c r="GOU208" s="128">
        <f>DATA!GOX35</f>
        <v>0</v>
      </c>
      <c r="GOV208" s="128">
        <f>DATA!GOY35</f>
        <v>0</v>
      </c>
      <c r="GOW208" s="128">
        <f>DATA!GOZ35</f>
        <v>0</v>
      </c>
      <c r="GOX208" s="128">
        <f>DATA!GPA35</f>
        <v>0</v>
      </c>
      <c r="GOY208" s="128">
        <f>DATA!GPB35</f>
        <v>0</v>
      </c>
      <c r="GOZ208" s="128">
        <f>DATA!GPC35</f>
        <v>0</v>
      </c>
      <c r="GPA208" s="128">
        <f>DATA!GPD35</f>
        <v>0</v>
      </c>
      <c r="GPB208" s="128">
        <f>DATA!GPE35</f>
        <v>0</v>
      </c>
      <c r="GPC208" s="128">
        <f>DATA!GPF35</f>
        <v>0</v>
      </c>
      <c r="GPD208" s="128">
        <f>DATA!GPG35</f>
        <v>0</v>
      </c>
      <c r="GPE208" s="128">
        <f>DATA!GPH35</f>
        <v>0</v>
      </c>
      <c r="GPF208" s="128">
        <f>DATA!GPI35</f>
        <v>0</v>
      </c>
      <c r="GPG208" s="128">
        <f>DATA!GPJ35</f>
        <v>0</v>
      </c>
      <c r="GPH208" s="128">
        <f>DATA!GPK35</f>
        <v>0</v>
      </c>
      <c r="GPI208" s="128">
        <f>DATA!GPL35</f>
        <v>0</v>
      </c>
      <c r="GPJ208" s="128">
        <f>DATA!GPM35</f>
        <v>0</v>
      </c>
      <c r="GPK208" s="128">
        <f>DATA!GPN35</f>
        <v>0</v>
      </c>
      <c r="GPL208" s="128">
        <f>DATA!GPO35</f>
        <v>0</v>
      </c>
      <c r="GPM208" s="128">
        <f>DATA!GPP35</f>
        <v>0</v>
      </c>
      <c r="GPN208" s="128">
        <f>DATA!GPQ35</f>
        <v>0</v>
      </c>
      <c r="GPO208" s="128">
        <f>DATA!GPR35</f>
        <v>0</v>
      </c>
      <c r="GPP208" s="128">
        <f>DATA!GPS35</f>
        <v>0</v>
      </c>
      <c r="GPQ208" s="128">
        <f>DATA!GPT35</f>
        <v>0</v>
      </c>
      <c r="GPR208" s="128">
        <f>DATA!GPU35</f>
        <v>0</v>
      </c>
      <c r="GPS208" s="128">
        <f>DATA!GPV35</f>
        <v>0</v>
      </c>
      <c r="GPT208" s="128">
        <f>DATA!GPW35</f>
        <v>0</v>
      </c>
      <c r="GPU208" s="128">
        <f>DATA!GPX35</f>
        <v>0</v>
      </c>
      <c r="GPV208" s="128">
        <f>DATA!GPY35</f>
        <v>0</v>
      </c>
      <c r="GPW208" s="128">
        <f>DATA!GPZ35</f>
        <v>0</v>
      </c>
      <c r="GPX208" s="128">
        <f>DATA!GQA35</f>
        <v>0</v>
      </c>
      <c r="GPY208" s="128">
        <f>DATA!GQB35</f>
        <v>0</v>
      </c>
      <c r="GPZ208" s="128">
        <f>DATA!GQC35</f>
        <v>0</v>
      </c>
      <c r="GQA208" s="128">
        <f>DATA!GQD35</f>
        <v>0</v>
      </c>
      <c r="GQB208" s="128">
        <f>DATA!GQE35</f>
        <v>0</v>
      </c>
      <c r="GQC208" s="128">
        <f>DATA!GQF35</f>
        <v>0</v>
      </c>
      <c r="GQD208" s="128">
        <f>DATA!GQG35</f>
        <v>0</v>
      </c>
      <c r="GQE208" s="128">
        <f>DATA!GQH35</f>
        <v>0</v>
      </c>
      <c r="GQF208" s="128">
        <f>DATA!GQI35</f>
        <v>0</v>
      </c>
      <c r="GQG208" s="128">
        <f>DATA!GQJ35</f>
        <v>0</v>
      </c>
      <c r="GQH208" s="128">
        <f>DATA!GQK35</f>
        <v>0</v>
      </c>
      <c r="GQI208" s="128">
        <f>DATA!GQL35</f>
        <v>0</v>
      </c>
      <c r="GQJ208" s="128">
        <f>DATA!GQM35</f>
        <v>0</v>
      </c>
      <c r="GQK208" s="128">
        <f>DATA!GQN35</f>
        <v>0</v>
      </c>
      <c r="GQL208" s="128">
        <f>DATA!GQO35</f>
        <v>0</v>
      </c>
      <c r="GQM208" s="128">
        <f>DATA!GQP35</f>
        <v>0</v>
      </c>
      <c r="GQN208" s="128">
        <f>DATA!GQQ35</f>
        <v>0</v>
      </c>
      <c r="GQO208" s="128">
        <f>DATA!GQR35</f>
        <v>0</v>
      </c>
      <c r="GQP208" s="128">
        <f>DATA!GQS35</f>
        <v>0</v>
      </c>
      <c r="GQQ208" s="128">
        <f>DATA!GQT35</f>
        <v>0</v>
      </c>
      <c r="GQR208" s="128">
        <f>DATA!GQU35</f>
        <v>0</v>
      </c>
      <c r="GQS208" s="128">
        <f>DATA!GQV35</f>
        <v>0</v>
      </c>
      <c r="GQT208" s="128">
        <f>DATA!GQW35</f>
        <v>0</v>
      </c>
      <c r="GQU208" s="128">
        <f>DATA!GQX35</f>
        <v>0</v>
      </c>
      <c r="GQV208" s="128">
        <f>DATA!GQY35</f>
        <v>0</v>
      </c>
      <c r="GQW208" s="128">
        <f>DATA!GQZ35</f>
        <v>0</v>
      </c>
      <c r="GQX208" s="128">
        <f>DATA!GRA35</f>
        <v>0</v>
      </c>
      <c r="GQY208" s="128">
        <f>DATA!GRB35</f>
        <v>0</v>
      </c>
      <c r="GQZ208" s="128">
        <f>DATA!GRC35</f>
        <v>0</v>
      </c>
      <c r="GRA208" s="128">
        <f>DATA!GRD35</f>
        <v>0</v>
      </c>
      <c r="GRB208" s="128">
        <f>DATA!GRE35</f>
        <v>0</v>
      </c>
      <c r="GRC208" s="128">
        <f>DATA!GRF35</f>
        <v>0</v>
      </c>
      <c r="GRD208" s="128">
        <f>DATA!GRG35</f>
        <v>0</v>
      </c>
      <c r="GRE208" s="128">
        <f>DATA!GRH35</f>
        <v>0</v>
      </c>
      <c r="GRF208" s="128">
        <f>DATA!GRI35</f>
        <v>0</v>
      </c>
      <c r="GRG208" s="128">
        <f>DATA!GRJ35</f>
        <v>0</v>
      </c>
      <c r="GRH208" s="128">
        <f>DATA!GRK35</f>
        <v>0</v>
      </c>
      <c r="GRI208" s="128">
        <f>DATA!GRL35</f>
        <v>0</v>
      </c>
      <c r="GRJ208" s="128">
        <f>DATA!GRM35</f>
        <v>0</v>
      </c>
      <c r="GRK208" s="128">
        <f>DATA!GRN35</f>
        <v>0</v>
      </c>
      <c r="GRL208" s="128">
        <f>DATA!GRO35</f>
        <v>0</v>
      </c>
      <c r="GRM208" s="128">
        <f>DATA!GRP35</f>
        <v>0</v>
      </c>
      <c r="GRN208" s="128">
        <f>DATA!GRQ35</f>
        <v>0</v>
      </c>
      <c r="GRO208" s="128">
        <f>DATA!GRR35</f>
        <v>0</v>
      </c>
      <c r="GRP208" s="128">
        <f>DATA!GRS35</f>
        <v>0</v>
      </c>
      <c r="GRQ208" s="128">
        <f>DATA!GRT35</f>
        <v>0</v>
      </c>
      <c r="GRR208" s="128">
        <f>DATA!GRU35</f>
        <v>0</v>
      </c>
      <c r="GRS208" s="128">
        <f>DATA!GRV35</f>
        <v>0</v>
      </c>
      <c r="GRT208" s="128">
        <f>DATA!GRW35</f>
        <v>0</v>
      </c>
      <c r="GRU208" s="128">
        <f>DATA!GRX35</f>
        <v>0</v>
      </c>
      <c r="GRV208" s="128">
        <f>DATA!GRY35</f>
        <v>0</v>
      </c>
      <c r="GRW208" s="128">
        <f>DATA!GRZ35</f>
        <v>0</v>
      </c>
      <c r="GRX208" s="128">
        <f>DATA!GSA35</f>
        <v>0</v>
      </c>
      <c r="GRY208" s="128">
        <f>DATA!GSB35</f>
        <v>0</v>
      </c>
      <c r="GRZ208" s="128">
        <f>DATA!GSC35</f>
        <v>0</v>
      </c>
      <c r="GSA208" s="128">
        <f>DATA!GSD35</f>
        <v>0</v>
      </c>
      <c r="GSB208" s="128">
        <f>DATA!GSE35</f>
        <v>0</v>
      </c>
      <c r="GSC208" s="128">
        <f>DATA!GSF35</f>
        <v>0</v>
      </c>
      <c r="GSD208" s="128">
        <f>DATA!GSG35</f>
        <v>0</v>
      </c>
      <c r="GSE208" s="128">
        <f>DATA!GSH35</f>
        <v>0</v>
      </c>
      <c r="GSF208" s="128">
        <f>DATA!GSI35</f>
        <v>0</v>
      </c>
      <c r="GSG208" s="128">
        <f>DATA!GSJ35</f>
        <v>0</v>
      </c>
      <c r="GSH208" s="128">
        <f>DATA!GSK35</f>
        <v>0</v>
      </c>
      <c r="GSI208" s="128">
        <f>DATA!GSL35</f>
        <v>0</v>
      </c>
      <c r="GSJ208" s="128">
        <f>DATA!GSM35</f>
        <v>0</v>
      </c>
      <c r="GSK208" s="128">
        <f>DATA!GSN35</f>
        <v>0</v>
      </c>
      <c r="GSL208" s="128">
        <f>DATA!GSO35</f>
        <v>0</v>
      </c>
      <c r="GSM208" s="128">
        <f>DATA!GSP35</f>
        <v>0</v>
      </c>
      <c r="GSN208" s="128">
        <f>DATA!GSQ35</f>
        <v>0</v>
      </c>
      <c r="GSO208" s="128">
        <f>DATA!GSR35</f>
        <v>0</v>
      </c>
      <c r="GSP208" s="128">
        <f>DATA!GSS35</f>
        <v>0</v>
      </c>
      <c r="GSQ208" s="128">
        <f>DATA!GST35</f>
        <v>0</v>
      </c>
      <c r="GSR208" s="128">
        <f>DATA!GSU35</f>
        <v>0</v>
      </c>
      <c r="GSS208" s="128">
        <f>DATA!GSV35</f>
        <v>0</v>
      </c>
      <c r="GST208" s="128">
        <f>DATA!GSW35</f>
        <v>0</v>
      </c>
      <c r="GSU208" s="128">
        <f>DATA!GSX35</f>
        <v>0</v>
      </c>
      <c r="GSV208" s="128">
        <f>DATA!GSY35</f>
        <v>0</v>
      </c>
      <c r="GSW208" s="128">
        <f>DATA!GSZ35</f>
        <v>0</v>
      </c>
      <c r="GSX208" s="128">
        <f>DATA!GTA35</f>
        <v>0</v>
      </c>
      <c r="GSY208" s="128">
        <f>DATA!GTB35</f>
        <v>0</v>
      </c>
      <c r="GSZ208" s="128">
        <f>DATA!GTC35</f>
        <v>0</v>
      </c>
      <c r="GTA208" s="128">
        <f>DATA!GTD35</f>
        <v>0</v>
      </c>
      <c r="GTB208" s="128">
        <f>DATA!GTE35</f>
        <v>0</v>
      </c>
      <c r="GTC208" s="128">
        <f>DATA!GTF35</f>
        <v>0</v>
      </c>
      <c r="GTD208" s="128">
        <f>DATA!GTG35</f>
        <v>0</v>
      </c>
      <c r="GTE208" s="128">
        <f>DATA!GTH35</f>
        <v>0</v>
      </c>
      <c r="GTF208" s="128">
        <f>DATA!GTI35</f>
        <v>0</v>
      </c>
      <c r="GTG208" s="128">
        <f>DATA!GTJ35</f>
        <v>0</v>
      </c>
      <c r="GTH208" s="128">
        <f>DATA!GTK35</f>
        <v>0</v>
      </c>
      <c r="GTI208" s="128">
        <f>DATA!GTL35</f>
        <v>0</v>
      </c>
      <c r="GTJ208" s="128">
        <f>DATA!GTM35</f>
        <v>0</v>
      </c>
      <c r="GTK208" s="128">
        <f>DATA!GTN35</f>
        <v>0</v>
      </c>
      <c r="GTL208" s="128">
        <f>DATA!GTO35</f>
        <v>0</v>
      </c>
      <c r="GTM208" s="128">
        <f>DATA!GTP35</f>
        <v>0</v>
      </c>
      <c r="GTN208" s="128">
        <f>DATA!GTQ35</f>
        <v>0</v>
      </c>
      <c r="GTO208" s="128">
        <f>DATA!GTR35</f>
        <v>0</v>
      </c>
      <c r="GTP208" s="128">
        <f>DATA!GTS35</f>
        <v>0</v>
      </c>
      <c r="GTQ208" s="128">
        <f>DATA!GTT35</f>
        <v>0</v>
      </c>
      <c r="GTR208" s="128">
        <f>DATA!GTU35</f>
        <v>0</v>
      </c>
      <c r="GTS208" s="128">
        <f>DATA!GTV35</f>
        <v>0</v>
      </c>
      <c r="GTT208" s="128">
        <f>DATA!GTW35</f>
        <v>0</v>
      </c>
      <c r="GTU208" s="128">
        <f>DATA!GTX35</f>
        <v>0</v>
      </c>
      <c r="GTV208" s="128">
        <f>DATA!GTY35</f>
        <v>0</v>
      </c>
      <c r="GTW208" s="128">
        <f>DATA!GTZ35</f>
        <v>0</v>
      </c>
      <c r="GTX208" s="128">
        <f>DATA!GUA35</f>
        <v>0</v>
      </c>
      <c r="GTY208" s="128">
        <f>DATA!GUB35</f>
        <v>0</v>
      </c>
      <c r="GTZ208" s="128">
        <f>DATA!GUC35</f>
        <v>0</v>
      </c>
      <c r="GUA208" s="128">
        <f>DATA!GUD35</f>
        <v>0</v>
      </c>
      <c r="GUB208" s="128">
        <f>DATA!GUE35</f>
        <v>0</v>
      </c>
      <c r="GUC208" s="128">
        <f>DATA!GUF35</f>
        <v>0</v>
      </c>
      <c r="GUD208" s="128">
        <f>DATA!GUG35</f>
        <v>0</v>
      </c>
      <c r="GUE208" s="128">
        <f>DATA!GUH35</f>
        <v>0</v>
      </c>
      <c r="GUF208" s="128">
        <f>DATA!GUI35</f>
        <v>0</v>
      </c>
      <c r="GUG208" s="128">
        <f>DATA!GUJ35</f>
        <v>0</v>
      </c>
      <c r="GUH208" s="128">
        <f>DATA!GUK35</f>
        <v>0</v>
      </c>
      <c r="GUI208" s="128">
        <f>DATA!GUL35</f>
        <v>0</v>
      </c>
      <c r="GUJ208" s="128">
        <f>DATA!GUM35</f>
        <v>0</v>
      </c>
      <c r="GUK208" s="128">
        <f>DATA!GUN35</f>
        <v>0</v>
      </c>
      <c r="GUL208" s="128">
        <f>DATA!GUO35</f>
        <v>0</v>
      </c>
      <c r="GUM208" s="128">
        <f>DATA!GUP35</f>
        <v>0</v>
      </c>
      <c r="GUN208" s="128">
        <f>DATA!GUQ35</f>
        <v>0</v>
      </c>
      <c r="GUO208" s="128">
        <f>DATA!GUR35</f>
        <v>0</v>
      </c>
      <c r="GUP208" s="128">
        <f>DATA!GUS35</f>
        <v>0</v>
      </c>
      <c r="GUQ208" s="128">
        <f>DATA!GUT35</f>
        <v>0</v>
      </c>
      <c r="GUR208" s="128">
        <f>DATA!GUU35</f>
        <v>0</v>
      </c>
      <c r="GUS208" s="128">
        <f>DATA!GUV35</f>
        <v>0</v>
      </c>
      <c r="GUT208" s="128">
        <f>DATA!GUW35</f>
        <v>0</v>
      </c>
      <c r="GUU208" s="128">
        <f>DATA!GUX35</f>
        <v>0</v>
      </c>
      <c r="GUV208" s="128">
        <f>DATA!GUY35</f>
        <v>0</v>
      </c>
      <c r="GUW208" s="128">
        <f>DATA!GUZ35</f>
        <v>0</v>
      </c>
      <c r="GUX208" s="128">
        <f>DATA!GVA35</f>
        <v>0</v>
      </c>
      <c r="GUY208" s="128">
        <f>DATA!GVB35</f>
        <v>0</v>
      </c>
      <c r="GUZ208" s="128">
        <f>DATA!GVC35</f>
        <v>0</v>
      </c>
      <c r="GVA208" s="128">
        <f>DATA!GVD35</f>
        <v>0</v>
      </c>
      <c r="GVB208" s="128">
        <f>DATA!GVE35</f>
        <v>0</v>
      </c>
      <c r="GVC208" s="128">
        <f>DATA!GVF35</f>
        <v>0</v>
      </c>
      <c r="GVD208" s="128">
        <f>DATA!GVG35</f>
        <v>0</v>
      </c>
      <c r="GVE208" s="128">
        <f>DATA!GVH35</f>
        <v>0</v>
      </c>
      <c r="GVF208" s="128">
        <f>DATA!GVI35</f>
        <v>0</v>
      </c>
      <c r="GVG208" s="128">
        <f>DATA!GVJ35</f>
        <v>0</v>
      </c>
      <c r="GVH208" s="128">
        <f>DATA!GVK35</f>
        <v>0</v>
      </c>
      <c r="GVI208" s="128">
        <f>DATA!GVL35</f>
        <v>0</v>
      </c>
      <c r="GVJ208" s="128">
        <f>DATA!GVM35</f>
        <v>0</v>
      </c>
      <c r="GVK208" s="128">
        <f>DATA!GVN35</f>
        <v>0</v>
      </c>
      <c r="GVL208" s="128">
        <f>DATA!GVO35</f>
        <v>0</v>
      </c>
      <c r="GVM208" s="128">
        <f>DATA!GVP35</f>
        <v>0</v>
      </c>
      <c r="GVN208" s="128">
        <f>DATA!GVQ35</f>
        <v>0</v>
      </c>
      <c r="GVO208" s="128">
        <f>DATA!GVR35</f>
        <v>0</v>
      </c>
      <c r="GVP208" s="128">
        <f>DATA!GVS35</f>
        <v>0</v>
      </c>
      <c r="GVQ208" s="128">
        <f>DATA!GVT35</f>
        <v>0</v>
      </c>
      <c r="GVR208" s="128">
        <f>DATA!GVU35</f>
        <v>0</v>
      </c>
      <c r="GVS208" s="128">
        <f>DATA!GVV35</f>
        <v>0</v>
      </c>
      <c r="GVT208" s="128">
        <f>DATA!GVW35</f>
        <v>0</v>
      </c>
      <c r="GVU208" s="128">
        <f>DATA!GVX35</f>
        <v>0</v>
      </c>
      <c r="GVV208" s="128">
        <f>DATA!GVY35</f>
        <v>0</v>
      </c>
      <c r="GVW208" s="128">
        <f>DATA!GVZ35</f>
        <v>0</v>
      </c>
      <c r="GVX208" s="128">
        <f>DATA!GWA35</f>
        <v>0</v>
      </c>
      <c r="GVY208" s="128">
        <f>DATA!GWB35</f>
        <v>0</v>
      </c>
      <c r="GVZ208" s="128">
        <f>DATA!GWC35</f>
        <v>0</v>
      </c>
      <c r="GWA208" s="128">
        <f>DATA!GWD35</f>
        <v>0</v>
      </c>
      <c r="GWB208" s="128">
        <f>DATA!GWE35</f>
        <v>0</v>
      </c>
      <c r="GWC208" s="128">
        <f>DATA!GWF35</f>
        <v>0</v>
      </c>
      <c r="GWD208" s="128">
        <f>DATA!GWG35</f>
        <v>0</v>
      </c>
      <c r="GWE208" s="128">
        <f>DATA!GWH35</f>
        <v>0</v>
      </c>
      <c r="GWF208" s="128">
        <f>DATA!GWI35</f>
        <v>0</v>
      </c>
      <c r="GWG208" s="128">
        <f>DATA!GWJ35</f>
        <v>0</v>
      </c>
      <c r="GWH208" s="128">
        <f>DATA!GWK35</f>
        <v>0</v>
      </c>
      <c r="GWI208" s="128">
        <f>DATA!GWL35</f>
        <v>0</v>
      </c>
      <c r="GWJ208" s="128">
        <f>DATA!GWM35</f>
        <v>0</v>
      </c>
      <c r="GWK208" s="128">
        <f>DATA!GWN35</f>
        <v>0</v>
      </c>
      <c r="GWL208" s="128">
        <f>DATA!GWO35</f>
        <v>0</v>
      </c>
      <c r="GWM208" s="128">
        <f>DATA!GWP35</f>
        <v>0</v>
      </c>
      <c r="GWN208" s="128">
        <f>DATA!GWQ35</f>
        <v>0</v>
      </c>
      <c r="GWO208" s="128">
        <f>DATA!GWR35</f>
        <v>0</v>
      </c>
      <c r="GWP208" s="128">
        <f>DATA!GWS35</f>
        <v>0</v>
      </c>
      <c r="GWQ208" s="128">
        <f>DATA!GWT35</f>
        <v>0</v>
      </c>
      <c r="GWR208" s="128">
        <f>DATA!GWU35</f>
        <v>0</v>
      </c>
      <c r="GWS208" s="128">
        <f>DATA!GWV35</f>
        <v>0</v>
      </c>
      <c r="GWT208" s="128">
        <f>DATA!GWW35</f>
        <v>0</v>
      </c>
      <c r="GWU208" s="128">
        <f>DATA!GWX35</f>
        <v>0</v>
      </c>
      <c r="GWV208" s="128">
        <f>DATA!GWY35</f>
        <v>0</v>
      </c>
      <c r="GWW208" s="128">
        <f>DATA!GWZ35</f>
        <v>0</v>
      </c>
      <c r="GWX208" s="128">
        <f>DATA!GXA35</f>
        <v>0</v>
      </c>
      <c r="GWY208" s="128">
        <f>DATA!GXB35</f>
        <v>0</v>
      </c>
      <c r="GWZ208" s="128">
        <f>DATA!GXC35</f>
        <v>0</v>
      </c>
      <c r="GXA208" s="128">
        <f>DATA!GXD35</f>
        <v>0</v>
      </c>
      <c r="GXB208" s="128">
        <f>DATA!GXE35</f>
        <v>0</v>
      </c>
      <c r="GXC208" s="128">
        <f>DATA!GXF35</f>
        <v>0</v>
      </c>
      <c r="GXD208" s="128">
        <f>DATA!GXG35</f>
        <v>0</v>
      </c>
      <c r="GXE208" s="128">
        <f>DATA!GXH35</f>
        <v>0</v>
      </c>
      <c r="GXF208" s="128">
        <f>DATA!GXI35</f>
        <v>0</v>
      </c>
      <c r="GXG208" s="128">
        <f>DATA!GXJ35</f>
        <v>0</v>
      </c>
      <c r="GXH208" s="128">
        <f>DATA!GXK35</f>
        <v>0</v>
      </c>
      <c r="GXI208" s="128">
        <f>DATA!GXL35</f>
        <v>0</v>
      </c>
      <c r="GXJ208" s="128">
        <f>DATA!GXM35</f>
        <v>0</v>
      </c>
      <c r="GXK208" s="128">
        <f>DATA!GXN35</f>
        <v>0</v>
      </c>
      <c r="GXL208" s="128">
        <f>DATA!GXO35</f>
        <v>0</v>
      </c>
      <c r="GXM208" s="128">
        <f>DATA!GXP35</f>
        <v>0</v>
      </c>
      <c r="GXN208" s="128">
        <f>DATA!GXQ35</f>
        <v>0</v>
      </c>
      <c r="GXO208" s="128">
        <f>DATA!GXR35</f>
        <v>0</v>
      </c>
      <c r="GXP208" s="128">
        <f>DATA!GXS35</f>
        <v>0</v>
      </c>
      <c r="GXQ208" s="128">
        <f>DATA!GXT35</f>
        <v>0</v>
      </c>
      <c r="GXR208" s="128">
        <f>DATA!GXU35</f>
        <v>0</v>
      </c>
      <c r="GXS208" s="128">
        <f>DATA!GXV35</f>
        <v>0</v>
      </c>
      <c r="GXT208" s="128">
        <f>DATA!GXW35</f>
        <v>0</v>
      </c>
      <c r="GXU208" s="128">
        <f>DATA!GXX35</f>
        <v>0</v>
      </c>
      <c r="GXV208" s="128">
        <f>DATA!GXY35</f>
        <v>0</v>
      </c>
      <c r="GXW208" s="128">
        <f>DATA!GXZ35</f>
        <v>0</v>
      </c>
      <c r="GXX208" s="128">
        <f>DATA!GYA35</f>
        <v>0</v>
      </c>
      <c r="GXY208" s="128">
        <f>DATA!GYB35</f>
        <v>0</v>
      </c>
      <c r="GXZ208" s="128">
        <f>DATA!GYC35</f>
        <v>0</v>
      </c>
      <c r="GYA208" s="128">
        <f>DATA!GYD35</f>
        <v>0</v>
      </c>
      <c r="GYB208" s="128">
        <f>DATA!GYE35</f>
        <v>0</v>
      </c>
      <c r="GYC208" s="128">
        <f>DATA!GYF35</f>
        <v>0</v>
      </c>
      <c r="GYD208" s="128">
        <f>DATA!GYG35</f>
        <v>0</v>
      </c>
      <c r="GYE208" s="128">
        <f>DATA!GYH35</f>
        <v>0</v>
      </c>
      <c r="GYF208" s="128">
        <f>DATA!GYI35</f>
        <v>0</v>
      </c>
      <c r="GYG208" s="128">
        <f>DATA!GYJ35</f>
        <v>0</v>
      </c>
      <c r="GYH208" s="128">
        <f>DATA!GYK35</f>
        <v>0</v>
      </c>
      <c r="GYI208" s="128">
        <f>DATA!GYL35</f>
        <v>0</v>
      </c>
      <c r="GYJ208" s="128">
        <f>DATA!GYM35</f>
        <v>0</v>
      </c>
      <c r="GYK208" s="128">
        <f>DATA!GYN35</f>
        <v>0</v>
      </c>
      <c r="GYL208" s="128">
        <f>DATA!GYO35</f>
        <v>0</v>
      </c>
      <c r="GYM208" s="128">
        <f>DATA!GYP35</f>
        <v>0</v>
      </c>
      <c r="GYN208" s="128">
        <f>DATA!GYQ35</f>
        <v>0</v>
      </c>
      <c r="GYO208" s="128">
        <f>DATA!GYR35</f>
        <v>0</v>
      </c>
      <c r="GYP208" s="128">
        <f>DATA!GYS35</f>
        <v>0</v>
      </c>
      <c r="GYQ208" s="128">
        <f>DATA!GYT35</f>
        <v>0</v>
      </c>
      <c r="GYR208" s="128">
        <f>DATA!GYU35</f>
        <v>0</v>
      </c>
      <c r="GYS208" s="128">
        <f>DATA!GYV35</f>
        <v>0</v>
      </c>
      <c r="GYT208" s="128">
        <f>DATA!GYW35</f>
        <v>0</v>
      </c>
      <c r="GYU208" s="128">
        <f>DATA!GYX35</f>
        <v>0</v>
      </c>
      <c r="GYV208" s="128">
        <f>DATA!GYY35</f>
        <v>0</v>
      </c>
      <c r="GYW208" s="128">
        <f>DATA!GYZ35</f>
        <v>0</v>
      </c>
      <c r="GYX208" s="128">
        <f>DATA!GZA35</f>
        <v>0</v>
      </c>
      <c r="GYY208" s="128">
        <f>DATA!GZB35</f>
        <v>0</v>
      </c>
      <c r="GYZ208" s="128">
        <f>DATA!GZC35</f>
        <v>0</v>
      </c>
      <c r="GZA208" s="128">
        <f>DATA!GZD35</f>
        <v>0</v>
      </c>
      <c r="GZB208" s="128">
        <f>DATA!GZE35</f>
        <v>0</v>
      </c>
      <c r="GZC208" s="128">
        <f>DATA!GZF35</f>
        <v>0</v>
      </c>
      <c r="GZD208" s="128">
        <f>DATA!GZG35</f>
        <v>0</v>
      </c>
      <c r="GZE208" s="128">
        <f>DATA!GZH35</f>
        <v>0</v>
      </c>
      <c r="GZF208" s="128">
        <f>DATA!GZI35</f>
        <v>0</v>
      </c>
      <c r="GZG208" s="128">
        <f>DATA!GZJ35</f>
        <v>0</v>
      </c>
      <c r="GZH208" s="128">
        <f>DATA!GZK35</f>
        <v>0</v>
      </c>
      <c r="GZI208" s="128">
        <f>DATA!GZL35</f>
        <v>0</v>
      </c>
      <c r="GZJ208" s="128">
        <f>DATA!GZM35</f>
        <v>0</v>
      </c>
      <c r="GZK208" s="128">
        <f>DATA!GZN35</f>
        <v>0</v>
      </c>
      <c r="GZL208" s="128">
        <f>DATA!GZO35</f>
        <v>0</v>
      </c>
      <c r="GZM208" s="128">
        <f>DATA!GZP35</f>
        <v>0</v>
      </c>
      <c r="GZN208" s="128">
        <f>DATA!GZQ35</f>
        <v>0</v>
      </c>
      <c r="GZO208" s="128">
        <f>DATA!GZR35</f>
        <v>0</v>
      </c>
      <c r="GZP208" s="128">
        <f>DATA!GZS35</f>
        <v>0</v>
      </c>
      <c r="GZQ208" s="128">
        <f>DATA!GZT35</f>
        <v>0</v>
      </c>
      <c r="GZR208" s="128">
        <f>DATA!GZU35</f>
        <v>0</v>
      </c>
      <c r="GZS208" s="128">
        <f>DATA!GZV35</f>
        <v>0</v>
      </c>
      <c r="GZT208" s="128">
        <f>DATA!GZW35</f>
        <v>0</v>
      </c>
      <c r="GZU208" s="128">
        <f>DATA!GZX35</f>
        <v>0</v>
      </c>
      <c r="GZV208" s="128">
        <f>DATA!GZY35</f>
        <v>0</v>
      </c>
      <c r="GZW208" s="128">
        <f>DATA!GZZ35</f>
        <v>0</v>
      </c>
      <c r="GZX208" s="128">
        <f>DATA!HAA35</f>
        <v>0</v>
      </c>
      <c r="GZY208" s="128">
        <f>DATA!HAB35</f>
        <v>0</v>
      </c>
      <c r="GZZ208" s="128">
        <f>DATA!HAC35</f>
        <v>0</v>
      </c>
      <c r="HAA208" s="128">
        <f>DATA!HAD35</f>
        <v>0</v>
      </c>
      <c r="HAB208" s="128">
        <f>DATA!HAE35</f>
        <v>0</v>
      </c>
      <c r="HAC208" s="128">
        <f>DATA!HAF35</f>
        <v>0</v>
      </c>
      <c r="HAD208" s="128">
        <f>DATA!HAG35</f>
        <v>0</v>
      </c>
      <c r="HAE208" s="128">
        <f>DATA!HAH35</f>
        <v>0</v>
      </c>
      <c r="HAF208" s="128">
        <f>DATA!HAI35</f>
        <v>0</v>
      </c>
      <c r="HAG208" s="128">
        <f>DATA!HAJ35</f>
        <v>0</v>
      </c>
      <c r="HAH208" s="128">
        <f>DATA!HAK35</f>
        <v>0</v>
      </c>
      <c r="HAI208" s="128">
        <f>DATA!HAL35</f>
        <v>0</v>
      </c>
      <c r="HAJ208" s="128">
        <f>DATA!HAM35</f>
        <v>0</v>
      </c>
      <c r="HAK208" s="128">
        <f>DATA!HAN35</f>
        <v>0</v>
      </c>
      <c r="HAL208" s="128">
        <f>DATA!HAO35</f>
        <v>0</v>
      </c>
      <c r="HAM208" s="128">
        <f>DATA!HAP35</f>
        <v>0</v>
      </c>
      <c r="HAN208" s="128">
        <f>DATA!HAQ35</f>
        <v>0</v>
      </c>
      <c r="HAO208" s="128">
        <f>DATA!HAR35</f>
        <v>0</v>
      </c>
      <c r="HAP208" s="128">
        <f>DATA!HAS35</f>
        <v>0</v>
      </c>
      <c r="HAQ208" s="128">
        <f>DATA!HAT35</f>
        <v>0</v>
      </c>
      <c r="HAR208" s="128">
        <f>DATA!HAU35</f>
        <v>0</v>
      </c>
      <c r="HAS208" s="128">
        <f>DATA!HAV35</f>
        <v>0</v>
      </c>
      <c r="HAT208" s="128">
        <f>DATA!HAW35</f>
        <v>0</v>
      </c>
      <c r="HAU208" s="128">
        <f>DATA!HAX35</f>
        <v>0</v>
      </c>
      <c r="HAV208" s="128">
        <f>DATA!HAY35</f>
        <v>0</v>
      </c>
      <c r="HAW208" s="128">
        <f>DATA!HAZ35</f>
        <v>0</v>
      </c>
      <c r="HAX208" s="128">
        <f>DATA!HBA35</f>
        <v>0</v>
      </c>
      <c r="HAY208" s="128">
        <f>DATA!HBB35</f>
        <v>0</v>
      </c>
      <c r="HAZ208" s="128">
        <f>DATA!HBC35</f>
        <v>0</v>
      </c>
      <c r="HBA208" s="128">
        <f>DATA!HBD35</f>
        <v>0</v>
      </c>
      <c r="HBB208" s="128">
        <f>DATA!HBE35</f>
        <v>0</v>
      </c>
      <c r="HBC208" s="128">
        <f>DATA!HBF35</f>
        <v>0</v>
      </c>
      <c r="HBD208" s="128">
        <f>DATA!HBG35</f>
        <v>0</v>
      </c>
      <c r="HBE208" s="128">
        <f>DATA!HBH35</f>
        <v>0</v>
      </c>
      <c r="HBF208" s="128">
        <f>DATA!HBI35</f>
        <v>0</v>
      </c>
      <c r="HBG208" s="128">
        <f>DATA!HBJ35</f>
        <v>0</v>
      </c>
      <c r="HBH208" s="128">
        <f>DATA!HBK35</f>
        <v>0</v>
      </c>
      <c r="HBI208" s="128">
        <f>DATA!HBL35</f>
        <v>0</v>
      </c>
      <c r="HBJ208" s="128">
        <f>DATA!HBM35</f>
        <v>0</v>
      </c>
      <c r="HBK208" s="128">
        <f>DATA!HBN35</f>
        <v>0</v>
      </c>
      <c r="HBL208" s="128">
        <f>DATA!HBO35</f>
        <v>0</v>
      </c>
      <c r="HBM208" s="128">
        <f>DATA!HBP35</f>
        <v>0</v>
      </c>
      <c r="HBN208" s="128">
        <f>DATA!HBQ35</f>
        <v>0</v>
      </c>
      <c r="HBO208" s="128">
        <f>DATA!HBR35</f>
        <v>0</v>
      </c>
      <c r="HBP208" s="128">
        <f>DATA!HBS35</f>
        <v>0</v>
      </c>
      <c r="HBQ208" s="128">
        <f>DATA!HBT35</f>
        <v>0</v>
      </c>
      <c r="HBR208" s="128">
        <f>DATA!HBU35</f>
        <v>0</v>
      </c>
      <c r="HBS208" s="128">
        <f>DATA!HBV35</f>
        <v>0</v>
      </c>
      <c r="HBT208" s="128">
        <f>DATA!HBW35</f>
        <v>0</v>
      </c>
      <c r="HBU208" s="128">
        <f>DATA!HBX35</f>
        <v>0</v>
      </c>
      <c r="HBV208" s="128">
        <f>DATA!HBY35</f>
        <v>0</v>
      </c>
      <c r="HBW208" s="128">
        <f>DATA!HBZ35</f>
        <v>0</v>
      </c>
      <c r="HBX208" s="128">
        <f>DATA!HCA35</f>
        <v>0</v>
      </c>
      <c r="HBY208" s="128">
        <f>DATA!HCB35</f>
        <v>0</v>
      </c>
      <c r="HBZ208" s="128">
        <f>DATA!HCC35</f>
        <v>0</v>
      </c>
      <c r="HCA208" s="128">
        <f>DATA!HCD35</f>
        <v>0</v>
      </c>
      <c r="HCB208" s="128">
        <f>DATA!HCE35</f>
        <v>0</v>
      </c>
      <c r="HCC208" s="128">
        <f>DATA!HCF35</f>
        <v>0</v>
      </c>
      <c r="HCD208" s="128">
        <f>DATA!HCG35</f>
        <v>0</v>
      </c>
      <c r="HCE208" s="128">
        <f>DATA!HCH35</f>
        <v>0</v>
      </c>
      <c r="HCF208" s="128">
        <f>DATA!HCI35</f>
        <v>0</v>
      </c>
      <c r="HCG208" s="128">
        <f>DATA!HCJ35</f>
        <v>0</v>
      </c>
      <c r="HCH208" s="128">
        <f>DATA!HCK35</f>
        <v>0</v>
      </c>
      <c r="HCI208" s="128">
        <f>DATA!HCL35</f>
        <v>0</v>
      </c>
      <c r="HCJ208" s="128">
        <f>DATA!HCM35</f>
        <v>0</v>
      </c>
      <c r="HCK208" s="128">
        <f>DATA!HCN35</f>
        <v>0</v>
      </c>
      <c r="HCL208" s="128">
        <f>DATA!HCO35</f>
        <v>0</v>
      </c>
      <c r="HCM208" s="128">
        <f>DATA!HCP35</f>
        <v>0</v>
      </c>
      <c r="HCN208" s="128">
        <f>DATA!HCQ35</f>
        <v>0</v>
      </c>
      <c r="HCO208" s="128">
        <f>DATA!HCR35</f>
        <v>0</v>
      </c>
      <c r="HCP208" s="128">
        <f>DATA!HCS35</f>
        <v>0</v>
      </c>
      <c r="HCQ208" s="128">
        <f>DATA!HCT35</f>
        <v>0</v>
      </c>
      <c r="HCR208" s="128">
        <f>DATA!HCU35</f>
        <v>0</v>
      </c>
      <c r="HCS208" s="128">
        <f>DATA!HCV35</f>
        <v>0</v>
      </c>
      <c r="HCT208" s="128">
        <f>DATA!HCW35</f>
        <v>0</v>
      </c>
      <c r="HCU208" s="128">
        <f>DATA!HCX35</f>
        <v>0</v>
      </c>
      <c r="HCV208" s="128">
        <f>DATA!HCY35</f>
        <v>0</v>
      </c>
      <c r="HCW208" s="128">
        <f>DATA!HCZ35</f>
        <v>0</v>
      </c>
      <c r="HCX208" s="128">
        <f>DATA!HDA35</f>
        <v>0</v>
      </c>
      <c r="HCY208" s="128">
        <f>DATA!HDB35</f>
        <v>0</v>
      </c>
      <c r="HCZ208" s="128">
        <f>DATA!HDC35</f>
        <v>0</v>
      </c>
      <c r="HDA208" s="128">
        <f>DATA!HDD35</f>
        <v>0</v>
      </c>
      <c r="HDB208" s="128">
        <f>DATA!HDE35</f>
        <v>0</v>
      </c>
      <c r="HDC208" s="128">
        <f>DATA!HDF35</f>
        <v>0</v>
      </c>
      <c r="HDD208" s="128">
        <f>DATA!HDG35</f>
        <v>0</v>
      </c>
      <c r="HDE208" s="128">
        <f>DATA!HDH35</f>
        <v>0</v>
      </c>
      <c r="HDF208" s="128">
        <f>DATA!HDI35</f>
        <v>0</v>
      </c>
      <c r="HDG208" s="128">
        <f>DATA!HDJ35</f>
        <v>0</v>
      </c>
      <c r="HDH208" s="128">
        <f>DATA!HDK35</f>
        <v>0</v>
      </c>
      <c r="HDI208" s="128">
        <f>DATA!HDL35</f>
        <v>0</v>
      </c>
      <c r="HDJ208" s="128">
        <f>DATA!HDM35</f>
        <v>0</v>
      </c>
      <c r="HDK208" s="128">
        <f>DATA!HDN35</f>
        <v>0</v>
      </c>
      <c r="HDL208" s="128">
        <f>DATA!HDO35</f>
        <v>0</v>
      </c>
      <c r="HDM208" s="128">
        <f>DATA!HDP35</f>
        <v>0</v>
      </c>
      <c r="HDN208" s="128">
        <f>DATA!HDQ35</f>
        <v>0</v>
      </c>
      <c r="HDO208" s="128">
        <f>DATA!HDR35</f>
        <v>0</v>
      </c>
      <c r="HDP208" s="128">
        <f>DATA!HDS35</f>
        <v>0</v>
      </c>
      <c r="HDQ208" s="128">
        <f>DATA!HDT35</f>
        <v>0</v>
      </c>
      <c r="HDR208" s="128">
        <f>DATA!HDU35</f>
        <v>0</v>
      </c>
      <c r="HDS208" s="128">
        <f>DATA!HDV35</f>
        <v>0</v>
      </c>
      <c r="HDT208" s="128">
        <f>DATA!HDW35</f>
        <v>0</v>
      </c>
      <c r="HDU208" s="128">
        <f>DATA!HDX35</f>
        <v>0</v>
      </c>
      <c r="HDV208" s="128">
        <f>DATA!HDY35</f>
        <v>0</v>
      </c>
      <c r="HDW208" s="128">
        <f>DATA!HDZ35</f>
        <v>0</v>
      </c>
      <c r="HDX208" s="128">
        <f>DATA!HEA35</f>
        <v>0</v>
      </c>
      <c r="HDY208" s="128">
        <f>DATA!HEB35</f>
        <v>0</v>
      </c>
      <c r="HDZ208" s="128">
        <f>DATA!HEC35</f>
        <v>0</v>
      </c>
      <c r="HEA208" s="128">
        <f>DATA!HED35</f>
        <v>0</v>
      </c>
      <c r="HEB208" s="128">
        <f>DATA!HEE35</f>
        <v>0</v>
      </c>
      <c r="HEC208" s="128">
        <f>DATA!HEF35</f>
        <v>0</v>
      </c>
      <c r="HED208" s="128">
        <f>DATA!HEG35</f>
        <v>0</v>
      </c>
      <c r="HEE208" s="128">
        <f>DATA!HEH35</f>
        <v>0</v>
      </c>
      <c r="HEF208" s="128">
        <f>DATA!HEI35</f>
        <v>0</v>
      </c>
      <c r="HEG208" s="128">
        <f>DATA!HEJ35</f>
        <v>0</v>
      </c>
      <c r="HEH208" s="128">
        <f>DATA!HEK35</f>
        <v>0</v>
      </c>
      <c r="HEI208" s="128">
        <f>DATA!HEL35</f>
        <v>0</v>
      </c>
      <c r="HEJ208" s="128">
        <f>DATA!HEM35</f>
        <v>0</v>
      </c>
      <c r="HEK208" s="128">
        <f>DATA!HEN35</f>
        <v>0</v>
      </c>
      <c r="HEL208" s="128">
        <f>DATA!HEO35</f>
        <v>0</v>
      </c>
      <c r="HEM208" s="128">
        <f>DATA!HEP35</f>
        <v>0</v>
      </c>
      <c r="HEN208" s="128">
        <f>DATA!HEQ35</f>
        <v>0</v>
      </c>
      <c r="HEO208" s="128">
        <f>DATA!HER35</f>
        <v>0</v>
      </c>
      <c r="HEP208" s="128">
        <f>DATA!HES35</f>
        <v>0</v>
      </c>
      <c r="HEQ208" s="128">
        <f>DATA!HET35</f>
        <v>0</v>
      </c>
      <c r="HER208" s="128">
        <f>DATA!HEU35</f>
        <v>0</v>
      </c>
      <c r="HES208" s="128">
        <f>DATA!HEV35</f>
        <v>0</v>
      </c>
      <c r="HET208" s="128">
        <f>DATA!HEW35</f>
        <v>0</v>
      </c>
      <c r="HEU208" s="128">
        <f>DATA!HEX35</f>
        <v>0</v>
      </c>
      <c r="HEV208" s="128">
        <f>DATA!HEY35</f>
        <v>0</v>
      </c>
      <c r="HEW208" s="128">
        <f>DATA!HEZ35</f>
        <v>0</v>
      </c>
      <c r="HEX208" s="128">
        <f>DATA!HFA35</f>
        <v>0</v>
      </c>
      <c r="HEY208" s="128">
        <f>DATA!HFB35</f>
        <v>0</v>
      </c>
      <c r="HEZ208" s="128">
        <f>DATA!HFC35</f>
        <v>0</v>
      </c>
      <c r="HFA208" s="128">
        <f>DATA!HFD35</f>
        <v>0</v>
      </c>
      <c r="HFB208" s="128">
        <f>DATA!HFE35</f>
        <v>0</v>
      </c>
      <c r="HFC208" s="128">
        <f>DATA!HFF35</f>
        <v>0</v>
      </c>
      <c r="HFD208" s="128">
        <f>DATA!HFG35</f>
        <v>0</v>
      </c>
      <c r="HFE208" s="128">
        <f>DATA!HFH35</f>
        <v>0</v>
      </c>
      <c r="HFF208" s="128">
        <f>DATA!HFI35</f>
        <v>0</v>
      </c>
      <c r="HFG208" s="128">
        <f>DATA!HFJ35</f>
        <v>0</v>
      </c>
      <c r="HFH208" s="128">
        <f>DATA!HFK35</f>
        <v>0</v>
      </c>
      <c r="HFI208" s="128">
        <f>DATA!HFL35</f>
        <v>0</v>
      </c>
      <c r="HFJ208" s="128">
        <f>DATA!HFM35</f>
        <v>0</v>
      </c>
      <c r="HFK208" s="128">
        <f>DATA!HFN35</f>
        <v>0</v>
      </c>
      <c r="HFL208" s="128">
        <f>DATA!HFO35</f>
        <v>0</v>
      </c>
      <c r="HFM208" s="128">
        <f>DATA!HFP35</f>
        <v>0</v>
      </c>
      <c r="HFN208" s="128">
        <f>DATA!HFQ35</f>
        <v>0</v>
      </c>
      <c r="HFO208" s="128">
        <f>DATA!HFR35</f>
        <v>0</v>
      </c>
      <c r="HFP208" s="128">
        <f>DATA!HFS35</f>
        <v>0</v>
      </c>
      <c r="HFQ208" s="128">
        <f>DATA!HFT35</f>
        <v>0</v>
      </c>
      <c r="HFR208" s="128">
        <f>DATA!HFU35</f>
        <v>0</v>
      </c>
      <c r="HFS208" s="128">
        <f>DATA!HFV35</f>
        <v>0</v>
      </c>
      <c r="HFT208" s="128">
        <f>DATA!HFW35</f>
        <v>0</v>
      </c>
      <c r="HFU208" s="128">
        <f>DATA!HFX35</f>
        <v>0</v>
      </c>
      <c r="HFV208" s="128">
        <f>DATA!HFY35</f>
        <v>0</v>
      </c>
      <c r="HFW208" s="128">
        <f>DATA!HFZ35</f>
        <v>0</v>
      </c>
      <c r="HFX208" s="128">
        <f>DATA!HGA35</f>
        <v>0</v>
      </c>
      <c r="HFY208" s="128">
        <f>DATA!HGB35</f>
        <v>0</v>
      </c>
      <c r="HFZ208" s="128">
        <f>DATA!HGC35</f>
        <v>0</v>
      </c>
      <c r="HGA208" s="128">
        <f>DATA!HGD35</f>
        <v>0</v>
      </c>
      <c r="HGB208" s="128">
        <f>DATA!HGE35</f>
        <v>0</v>
      </c>
      <c r="HGC208" s="128">
        <f>DATA!HGF35</f>
        <v>0</v>
      </c>
      <c r="HGD208" s="128">
        <f>DATA!HGG35</f>
        <v>0</v>
      </c>
      <c r="HGE208" s="128">
        <f>DATA!HGH35</f>
        <v>0</v>
      </c>
      <c r="HGF208" s="128">
        <f>DATA!HGI35</f>
        <v>0</v>
      </c>
      <c r="HGG208" s="128">
        <f>DATA!HGJ35</f>
        <v>0</v>
      </c>
      <c r="HGH208" s="128">
        <f>DATA!HGK35</f>
        <v>0</v>
      </c>
      <c r="HGI208" s="128">
        <f>DATA!HGL35</f>
        <v>0</v>
      </c>
      <c r="HGJ208" s="128">
        <f>DATA!HGM35</f>
        <v>0</v>
      </c>
      <c r="HGK208" s="128">
        <f>DATA!HGN35</f>
        <v>0</v>
      </c>
      <c r="HGL208" s="128">
        <f>DATA!HGO35</f>
        <v>0</v>
      </c>
      <c r="HGM208" s="128">
        <f>DATA!HGP35</f>
        <v>0</v>
      </c>
      <c r="HGN208" s="128">
        <f>DATA!HGQ35</f>
        <v>0</v>
      </c>
      <c r="HGO208" s="128">
        <f>DATA!HGR35</f>
        <v>0</v>
      </c>
      <c r="HGP208" s="128">
        <f>DATA!HGS35</f>
        <v>0</v>
      </c>
      <c r="HGQ208" s="128">
        <f>DATA!HGT35</f>
        <v>0</v>
      </c>
      <c r="HGR208" s="128">
        <f>DATA!HGU35</f>
        <v>0</v>
      </c>
      <c r="HGS208" s="128">
        <f>DATA!HGV35</f>
        <v>0</v>
      </c>
      <c r="HGT208" s="128">
        <f>DATA!HGW35</f>
        <v>0</v>
      </c>
      <c r="HGU208" s="128">
        <f>DATA!HGX35</f>
        <v>0</v>
      </c>
      <c r="HGV208" s="128">
        <f>DATA!HGY35</f>
        <v>0</v>
      </c>
      <c r="HGW208" s="128">
        <f>DATA!HGZ35</f>
        <v>0</v>
      </c>
      <c r="HGX208" s="128">
        <f>DATA!HHA35</f>
        <v>0</v>
      </c>
      <c r="HGY208" s="128">
        <f>DATA!HHB35</f>
        <v>0</v>
      </c>
      <c r="HGZ208" s="128">
        <f>DATA!HHC35</f>
        <v>0</v>
      </c>
      <c r="HHA208" s="128">
        <f>DATA!HHD35</f>
        <v>0</v>
      </c>
      <c r="HHB208" s="128">
        <f>DATA!HHE35</f>
        <v>0</v>
      </c>
      <c r="HHC208" s="128">
        <f>DATA!HHF35</f>
        <v>0</v>
      </c>
      <c r="HHD208" s="128">
        <f>DATA!HHG35</f>
        <v>0</v>
      </c>
      <c r="HHE208" s="128">
        <f>DATA!HHH35</f>
        <v>0</v>
      </c>
      <c r="HHF208" s="128">
        <f>DATA!HHI35</f>
        <v>0</v>
      </c>
      <c r="HHG208" s="128">
        <f>DATA!HHJ35</f>
        <v>0</v>
      </c>
      <c r="HHH208" s="128">
        <f>DATA!HHK35</f>
        <v>0</v>
      </c>
      <c r="HHI208" s="128">
        <f>DATA!HHL35</f>
        <v>0</v>
      </c>
      <c r="HHJ208" s="128">
        <f>DATA!HHM35</f>
        <v>0</v>
      </c>
      <c r="HHK208" s="128">
        <f>DATA!HHN35</f>
        <v>0</v>
      </c>
      <c r="HHL208" s="128">
        <f>DATA!HHO35</f>
        <v>0</v>
      </c>
      <c r="HHM208" s="128">
        <f>DATA!HHP35</f>
        <v>0</v>
      </c>
      <c r="HHN208" s="128">
        <f>DATA!HHQ35</f>
        <v>0</v>
      </c>
      <c r="HHO208" s="128">
        <f>DATA!HHR35</f>
        <v>0</v>
      </c>
      <c r="HHP208" s="128">
        <f>DATA!HHS35</f>
        <v>0</v>
      </c>
      <c r="HHQ208" s="128">
        <f>DATA!HHT35</f>
        <v>0</v>
      </c>
      <c r="HHR208" s="128">
        <f>DATA!HHU35</f>
        <v>0</v>
      </c>
      <c r="HHS208" s="128">
        <f>DATA!HHV35</f>
        <v>0</v>
      </c>
      <c r="HHT208" s="128">
        <f>DATA!HHW35</f>
        <v>0</v>
      </c>
      <c r="HHU208" s="128">
        <f>DATA!HHX35</f>
        <v>0</v>
      </c>
      <c r="HHV208" s="128">
        <f>DATA!HHY35</f>
        <v>0</v>
      </c>
      <c r="HHW208" s="128">
        <f>DATA!HHZ35</f>
        <v>0</v>
      </c>
      <c r="HHX208" s="128">
        <f>DATA!HIA35</f>
        <v>0</v>
      </c>
      <c r="HHY208" s="128">
        <f>DATA!HIB35</f>
        <v>0</v>
      </c>
      <c r="HHZ208" s="128">
        <f>DATA!HIC35</f>
        <v>0</v>
      </c>
      <c r="HIA208" s="128">
        <f>DATA!HID35</f>
        <v>0</v>
      </c>
      <c r="HIB208" s="128">
        <f>DATA!HIE35</f>
        <v>0</v>
      </c>
      <c r="HIC208" s="128">
        <f>DATA!HIF35</f>
        <v>0</v>
      </c>
      <c r="HID208" s="128">
        <f>DATA!HIG35</f>
        <v>0</v>
      </c>
      <c r="HIE208" s="128">
        <f>DATA!HIH35</f>
        <v>0</v>
      </c>
      <c r="HIF208" s="128">
        <f>DATA!HII35</f>
        <v>0</v>
      </c>
      <c r="HIG208" s="128">
        <f>DATA!HIJ35</f>
        <v>0</v>
      </c>
      <c r="HIH208" s="128">
        <f>DATA!HIK35</f>
        <v>0</v>
      </c>
      <c r="HII208" s="128">
        <f>DATA!HIL35</f>
        <v>0</v>
      </c>
      <c r="HIJ208" s="128">
        <f>DATA!HIM35</f>
        <v>0</v>
      </c>
      <c r="HIK208" s="128">
        <f>DATA!HIN35</f>
        <v>0</v>
      </c>
      <c r="HIL208" s="128">
        <f>DATA!HIO35</f>
        <v>0</v>
      </c>
      <c r="HIM208" s="128">
        <f>DATA!HIP35</f>
        <v>0</v>
      </c>
      <c r="HIN208" s="128">
        <f>DATA!HIQ35</f>
        <v>0</v>
      </c>
      <c r="HIO208" s="128">
        <f>DATA!HIR35</f>
        <v>0</v>
      </c>
      <c r="HIP208" s="128">
        <f>DATA!HIS35</f>
        <v>0</v>
      </c>
      <c r="HIQ208" s="128">
        <f>DATA!HIT35</f>
        <v>0</v>
      </c>
      <c r="HIR208" s="128">
        <f>DATA!HIU35</f>
        <v>0</v>
      </c>
      <c r="HIS208" s="128">
        <f>DATA!HIV35</f>
        <v>0</v>
      </c>
      <c r="HIT208" s="128">
        <f>DATA!HIW35</f>
        <v>0</v>
      </c>
      <c r="HIU208" s="128">
        <f>DATA!HIX35</f>
        <v>0</v>
      </c>
      <c r="HIV208" s="128">
        <f>DATA!HIY35</f>
        <v>0</v>
      </c>
      <c r="HIW208" s="128">
        <f>DATA!HIZ35</f>
        <v>0</v>
      </c>
      <c r="HIX208" s="128">
        <f>DATA!HJA35</f>
        <v>0</v>
      </c>
      <c r="HIY208" s="128">
        <f>DATA!HJB35</f>
        <v>0</v>
      </c>
      <c r="HIZ208" s="128">
        <f>DATA!HJC35</f>
        <v>0</v>
      </c>
      <c r="HJA208" s="128">
        <f>DATA!HJD35</f>
        <v>0</v>
      </c>
      <c r="HJB208" s="128">
        <f>DATA!HJE35</f>
        <v>0</v>
      </c>
      <c r="HJC208" s="128">
        <f>DATA!HJF35</f>
        <v>0</v>
      </c>
      <c r="HJD208" s="128">
        <f>DATA!HJG35</f>
        <v>0</v>
      </c>
      <c r="HJE208" s="128">
        <f>DATA!HJH35</f>
        <v>0</v>
      </c>
      <c r="HJF208" s="128">
        <f>DATA!HJI35</f>
        <v>0</v>
      </c>
      <c r="HJG208" s="128">
        <f>DATA!HJJ35</f>
        <v>0</v>
      </c>
      <c r="HJH208" s="128">
        <f>DATA!HJK35</f>
        <v>0</v>
      </c>
      <c r="HJI208" s="128">
        <f>DATA!HJL35</f>
        <v>0</v>
      </c>
      <c r="HJJ208" s="128">
        <f>DATA!HJM35</f>
        <v>0</v>
      </c>
      <c r="HJK208" s="128">
        <f>DATA!HJN35</f>
        <v>0</v>
      </c>
      <c r="HJL208" s="128">
        <f>DATA!HJO35</f>
        <v>0</v>
      </c>
      <c r="HJM208" s="128">
        <f>DATA!HJP35</f>
        <v>0</v>
      </c>
      <c r="HJN208" s="128">
        <f>DATA!HJQ35</f>
        <v>0</v>
      </c>
      <c r="HJO208" s="128">
        <f>DATA!HJR35</f>
        <v>0</v>
      </c>
      <c r="HJP208" s="128">
        <f>DATA!HJS35</f>
        <v>0</v>
      </c>
      <c r="HJQ208" s="128">
        <f>DATA!HJT35</f>
        <v>0</v>
      </c>
      <c r="HJR208" s="128">
        <f>DATA!HJU35</f>
        <v>0</v>
      </c>
      <c r="HJS208" s="128">
        <f>DATA!HJV35</f>
        <v>0</v>
      </c>
      <c r="HJT208" s="128">
        <f>DATA!HJW35</f>
        <v>0</v>
      </c>
      <c r="HJU208" s="128">
        <f>DATA!HJX35</f>
        <v>0</v>
      </c>
      <c r="HJV208" s="128">
        <f>DATA!HJY35</f>
        <v>0</v>
      </c>
      <c r="HJW208" s="128">
        <f>DATA!HJZ35</f>
        <v>0</v>
      </c>
      <c r="HJX208" s="128">
        <f>DATA!HKA35</f>
        <v>0</v>
      </c>
      <c r="HJY208" s="128">
        <f>DATA!HKB35</f>
        <v>0</v>
      </c>
      <c r="HJZ208" s="128">
        <f>DATA!HKC35</f>
        <v>0</v>
      </c>
      <c r="HKA208" s="128">
        <f>DATA!HKD35</f>
        <v>0</v>
      </c>
      <c r="HKB208" s="128">
        <f>DATA!HKE35</f>
        <v>0</v>
      </c>
      <c r="HKC208" s="128">
        <f>DATA!HKF35</f>
        <v>0</v>
      </c>
      <c r="HKD208" s="128">
        <f>DATA!HKG35</f>
        <v>0</v>
      </c>
      <c r="HKE208" s="128">
        <f>DATA!HKH35</f>
        <v>0</v>
      </c>
      <c r="HKF208" s="128">
        <f>DATA!HKI35</f>
        <v>0</v>
      </c>
      <c r="HKG208" s="128">
        <f>DATA!HKJ35</f>
        <v>0</v>
      </c>
      <c r="HKH208" s="128">
        <f>DATA!HKK35</f>
        <v>0</v>
      </c>
      <c r="HKI208" s="128">
        <f>DATA!HKL35</f>
        <v>0</v>
      </c>
      <c r="HKJ208" s="128">
        <f>DATA!HKM35</f>
        <v>0</v>
      </c>
      <c r="HKK208" s="128">
        <f>DATA!HKN35</f>
        <v>0</v>
      </c>
      <c r="HKL208" s="128">
        <f>DATA!HKO35</f>
        <v>0</v>
      </c>
      <c r="HKM208" s="128">
        <f>DATA!HKP35</f>
        <v>0</v>
      </c>
      <c r="HKN208" s="128">
        <f>DATA!HKQ35</f>
        <v>0</v>
      </c>
      <c r="HKO208" s="128">
        <f>DATA!HKR35</f>
        <v>0</v>
      </c>
      <c r="HKP208" s="128">
        <f>DATA!HKS35</f>
        <v>0</v>
      </c>
      <c r="HKQ208" s="128">
        <f>DATA!HKT35</f>
        <v>0</v>
      </c>
      <c r="HKR208" s="128">
        <f>DATA!HKU35</f>
        <v>0</v>
      </c>
      <c r="HKS208" s="128">
        <f>DATA!HKV35</f>
        <v>0</v>
      </c>
      <c r="HKT208" s="128">
        <f>DATA!HKW35</f>
        <v>0</v>
      </c>
      <c r="HKU208" s="128">
        <f>DATA!HKX35</f>
        <v>0</v>
      </c>
      <c r="HKV208" s="128">
        <f>DATA!HKY35</f>
        <v>0</v>
      </c>
      <c r="HKW208" s="128">
        <f>DATA!HKZ35</f>
        <v>0</v>
      </c>
      <c r="HKX208" s="128">
        <f>DATA!HLA35</f>
        <v>0</v>
      </c>
      <c r="HKY208" s="128">
        <f>DATA!HLB35</f>
        <v>0</v>
      </c>
      <c r="HKZ208" s="128">
        <f>DATA!HLC35</f>
        <v>0</v>
      </c>
      <c r="HLA208" s="128">
        <f>DATA!HLD35</f>
        <v>0</v>
      </c>
      <c r="HLB208" s="128">
        <f>DATA!HLE35</f>
        <v>0</v>
      </c>
      <c r="HLC208" s="128">
        <f>DATA!HLF35</f>
        <v>0</v>
      </c>
      <c r="HLD208" s="128">
        <f>DATA!HLG35</f>
        <v>0</v>
      </c>
      <c r="HLE208" s="128">
        <f>DATA!HLH35</f>
        <v>0</v>
      </c>
      <c r="HLF208" s="128">
        <f>DATA!HLI35</f>
        <v>0</v>
      </c>
      <c r="HLG208" s="128">
        <f>DATA!HLJ35</f>
        <v>0</v>
      </c>
      <c r="HLH208" s="128">
        <f>DATA!HLK35</f>
        <v>0</v>
      </c>
      <c r="HLI208" s="128">
        <f>DATA!HLL35</f>
        <v>0</v>
      </c>
      <c r="HLJ208" s="128">
        <f>DATA!HLM35</f>
        <v>0</v>
      </c>
      <c r="HLK208" s="128">
        <f>DATA!HLN35</f>
        <v>0</v>
      </c>
      <c r="HLL208" s="128">
        <f>DATA!HLO35</f>
        <v>0</v>
      </c>
      <c r="HLM208" s="128">
        <f>DATA!HLP35</f>
        <v>0</v>
      </c>
      <c r="HLN208" s="128">
        <f>DATA!HLQ35</f>
        <v>0</v>
      </c>
      <c r="HLO208" s="128">
        <f>DATA!HLR35</f>
        <v>0</v>
      </c>
      <c r="HLP208" s="128">
        <f>DATA!HLS35</f>
        <v>0</v>
      </c>
      <c r="HLQ208" s="128">
        <f>DATA!HLT35</f>
        <v>0</v>
      </c>
      <c r="HLR208" s="128">
        <f>DATA!HLU35</f>
        <v>0</v>
      </c>
      <c r="HLS208" s="128">
        <f>DATA!HLV35</f>
        <v>0</v>
      </c>
      <c r="HLT208" s="128">
        <f>DATA!HLW35</f>
        <v>0</v>
      </c>
      <c r="HLU208" s="128">
        <f>DATA!HLX35</f>
        <v>0</v>
      </c>
      <c r="HLV208" s="128">
        <f>DATA!HLY35</f>
        <v>0</v>
      </c>
      <c r="HLW208" s="128">
        <f>DATA!HLZ35</f>
        <v>0</v>
      </c>
      <c r="HLX208" s="128">
        <f>DATA!HMA35</f>
        <v>0</v>
      </c>
      <c r="HLY208" s="128">
        <f>DATA!HMB35</f>
        <v>0</v>
      </c>
      <c r="HLZ208" s="128">
        <f>DATA!HMC35</f>
        <v>0</v>
      </c>
      <c r="HMA208" s="128">
        <f>DATA!HMD35</f>
        <v>0</v>
      </c>
      <c r="HMB208" s="128">
        <f>DATA!HME35</f>
        <v>0</v>
      </c>
      <c r="HMC208" s="128">
        <f>DATA!HMF35</f>
        <v>0</v>
      </c>
      <c r="HMD208" s="128">
        <f>DATA!HMG35</f>
        <v>0</v>
      </c>
      <c r="HME208" s="128">
        <f>DATA!HMH35</f>
        <v>0</v>
      </c>
      <c r="HMF208" s="128">
        <f>DATA!HMI35</f>
        <v>0</v>
      </c>
      <c r="HMG208" s="128">
        <f>DATA!HMJ35</f>
        <v>0</v>
      </c>
      <c r="HMH208" s="128">
        <f>DATA!HMK35</f>
        <v>0</v>
      </c>
      <c r="HMI208" s="128">
        <f>DATA!HML35</f>
        <v>0</v>
      </c>
      <c r="HMJ208" s="128">
        <f>DATA!HMM35</f>
        <v>0</v>
      </c>
      <c r="HMK208" s="128">
        <f>DATA!HMN35</f>
        <v>0</v>
      </c>
      <c r="HML208" s="128">
        <f>DATA!HMO35</f>
        <v>0</v>
      </c>
      <c r="HMM208" s="128">
        <f>DATA!HMP35</f>
        <v>0</v>
      </c>
      <c r="HMN208" s="128">
        <f>DATA!HMQ35</f>
        <v>0</v>
      </c>
      <c r="HMO208" s="128">
        <f>DATA!HMR35</f>
        <v>0</v>
      </c>
      <c r="HMP208" s="128">
        <f>DATA!HMS35</f>
        <v>0</v>
      </c>
      <c r="HMQ208" s="128">
        <f>DATA!HMT35</f>
        <v>0</v>
      </c>
      <c r="HMR208" s="128">
        <f>DATA!HMU35</f>
        <v>0</v>
      </c>
      <c r="HMS208" s="128">
        <f>DATA!HMV35</f>
        <v>0</v>
      </c>
      <c r="HMT208" s="128">
        <f>DATA!HMW35</f>
        <v>0</v>
      </c>
      <c r="HMU208" s="128">
        <f>DATA!HMX35</f>
        <v>0</v>
      </c>
      <c r="HMV208" s="128">
        <f>DATA!HMY35</f>
        <v>0</v>
      </c>
      <c r="HMW208" s="128">
        <f>DATA!HMZ35</f>
        <v>0</v>
      </c>
      <c r="HMX208" s="128">
        <f>DATA!HNA35</f>
        <v>0</v>
      </c>
      <c r="HMY208" s="128">
        <f>DATA!HNB35</f>
        <v>0</v>
      </c>
      <c r="HMZ208" s="128">
        <f>DATA!HNC35</f>
        <v>0</v>
      </c>
      <c r="HNA208" s="128">
        <f>DATA!HND35</f>
        <v>0</v>
      </c>
      <c r="HNB208" s="128">
        <f>DATA!HNE35</f>
        <v>0</v>
      </c>
      <c r="HNC208" s="128">
        <f>DATA!HNF35</f>
        <v>0</v>
      </c>
      <c r="HND208" s="128">
        <f>DATA!HNG35</f>
        <v>0</v>
      </c>
      <c r="HNE208" s="128">
        <f>DATA!HNH35</f>
        <v>0</v>
      </c>
      <c r="HNF208" s="128">
        <f>DATA!HNI35</f>
        <v>0</v>
      </c>
      <c r="HNG208" s="128">
        <f>DATA!HNJ35</f>
        <v>0</v>
      </c>
      <c r="HNH208" s="128">
        <f>DATA!HNK35</f>
        <v>0</v>
      </c>
      <c r="HNI208" s="128">
        <f>DATA!HNL35</f>
        <v>0</v>
      </c>
      <c r="HNJ208" s="128">
        <f>DATA!HNM35</f>
        <v>0</v>
      </c>
      <c r="HNK208" s="128">
        <f>DATA!HNN35</f>
        <v>0</v>
      </c>
      <c r="HNL208" s="128">
        <f>DATA!HNO35</f>
        <v>0</v>
      </c>
      <c r="HNM208" s="128">
        <f>DATA!HNP35</f>
        <v>0</v>
      </c>
      <c r="HNN208" s="128">
        <f>DATA!HNQ35</f>
        <v>0</v>
      </c>
      <c r="HNO208" s="128">
        <f>DATA!HNR35</f>
        <v>0</v>
      </c>
      <c r="HNP208" s="128">
        <f>DATA!HNS35</f>
        <v>0</v>
      </c>
      <c r="HNQ208" s="128">
        <f>DATA!HNT35</f>
        <v>0</v>
      </c>
      <c r="HNR208" s="128">
        <f>DATA!HNU35</f>
        <v>0</v>
      </c>
      <c r="HNS208" s="128">
        <f>DATA!HNV35</f>
        <v>0</v>
      </c>
      <c r="HNT208" s="128">
        <f>DATA!HNW35</f>
        <v>0</v>
      </c>
      <c r="HNU208" s="128">
        <f>DATA!HNX35</f>
        <v>0</v>
      </c>
      <c r="HNV208" s="128">
        <f>DATA!HNY35</f>
        <v>0</v>
      </c>
      <c r="HNW208" s="128">
        <f>DATA!HNZ35</f>
        <v>0</v>
      </c>
      <c r="HNX208" s="128">
        <f>DATA!HOA35</f>
        <v>0</v>
      </c>
      <c r="HNY208" s="128">
        <f>DATA!HOB35</f>
        <v>0</v>
      </c>
      <c r="HNZ208" s="128">
        <f>DATA!HOC35</f>
        <v>0</v>
      </c>
      <c r="HOA208" s="128">
        <f>DATA!HOD35</f>
        <v>0</v>
      </c>
      <c r="HOB208" s="128">
        <f>DATA!HOE35</f>
        <v>0</v>
      </c>
      <c r="HOC208" s="128">
        <f>DATA!HOF35</f>
        <v>0</v>
      </c>
      <c r="HOD208" s="128">
        <f>DATA!HOG35</f>
        <v>0</v>
      </c>
      <c r="HOE208" s="128">
        <f>DATA!HOH35</f>
        <v>0</v>
      </c>
      <c r="HOF208" s="128">
        <f>DATA!HOI35</f>
        <v>0</v>
      </c>
      <c r="HOG208" s="128">
        <f>DATA!HOJ35</f>
        <v>0</v>
      </c>
      <c r="HOH208" s="128">
        <f>DATA!HOK35</f>
        <v>0</v>
      </c>
      <c r="HOI208" s="128">
        <f>DATA!HOL35</f>
        <v>0</v>
      </c>
      <c r="HOJ208" s="128">
        <f>DATA!HOM35</f>
        <v>0</v>
      </c>
      <c r="HOK208" s="128">
        <f>DATA!HON35</f>
        <v>0</v>
      </c>
      <c r="HOL208" s="128">
        <f>DATA!HOO35</f>
        <v>0</v>
      </c>
      <c r="HOM208" s="128">
        <f>DATA!HOP35</f>
        <v>0</v>
      </c>
      <c r="HON208" s="128">
        <f>DATA!HOQ35</f>
        <v>0</v>
      </c>
      <c r="HOO208" s="128">
        <f>DATA!HOR35</f>
        <v>0</v>
      </c>
      <c r="HOP208" s="128">
        <f>DATA!HOS35</f>
        <v>0</v>
      </c>
      <c r="HOQ208" s="128">
        <f>DATA!HOT35</f>
        <v>0</v>
      </c>
      <c r="HOR208" s="128">
        <f>DATA!HOU35</f>
        <v>0</v>
      </c>
      <c r="HOS208" s="128">
        <f>DATA!HOV35</f>
        <v>0</v>
      </c>
      <c r="HOT208" s="128">
        <f>DATA!HOW35</f>
        <v>0</v>
      </c>
      <c r="HOU208" s="128">
        <f>DATA!HOX35</f>
        <v>0</v>
      </c>
      <c r="HOV208" s="128">
        <f>DATA!HOY35</f>
        <v>0</v>
      </c>
      <c r="HOW208" s="128">
        <f>DATA!HOZ35</f>
        <v>0</v>
      </c>
      <c r="HOX208" s="128">
        <f>DATA!HPA35</f>
        <v>0</v>
      </c>
      <c r="HOY208" s="128">
        <f>DATA!HPB35</f>
        <v>0</v>
      </c>
      <c r="HOZ208" s="128">
        <f>DATA!HPC35</f>
        <v>0</v>
      </c>
      <c r="HPA208" s="128">
        <f>DATA!HPD35</f>
        <v>0</v>
      </c>
      <c r="HPB208" s="128">
        <f>DATA!HPE35</f>
        <v>0</v>
      </c>
      <c r="HPC208" s="128">
        <f>DATA!HPF35</f>
        <v>0</v>
      </c>
      <c r="HPD208" s="128">
        <f>DATA!HPG35</f>
        <v>0</v>
      </c>
      <c r="HPE208" s="128">
        <f>DATA!HPH35</f>
        <v>0</v>
      </c>
      <c r="HPF208" s="128">
        <f>DATA!HPI35</f>
        <v>0</v>
      </c>
      <c r="HPG208" s="128">
        <f>DATA!HPJ35</f>
        <v>0</v>
      </c>
      <c r="HPH208" s="128">
        <f>DATA!HPK35</f>
        <v>0</v>
      </c>
      <c r="HPI208" s="128">
        <f>DATA!HPL35</f>
        <v>0</v>
      </c>
      <c r="HPJ208" s="128">
        <f>DATA!HPM35</f>
        <v>0</v>
      </c>
      <c r="HPK208" s="128">
        <f>DATA!HPN35</f>
        <v>0</v>
      </c>
      <c r="HPL208" s="128">
        <f>DATA!HPO35</f>
        <v>0</v>
      </c>
      <c r="HPM208" s="128">
        <f>DATA!HPP35</f>
        <v>0</v>
      </c>
      <c r="HPN208" s="128">
        <f>DATA!HPQ35</f>
        <v>0</v>
      </c>
      <c r="HPO208" s="128">
        <f>DATA!HPR35</f>
        <v>0</v>
      </c>
      <c r="HPP208" s="128">
        <f>DATA!HPS35</f>
        <v>0</v>
      </c>
      <c r="HPQ208" s="128">
        <f>DATA!HPT35</f>
        <v>0</v>
      </c>
      <c r="HPR208" s="128">
        <f>DATA!HPU35</f>
        <v>0</v>
      </c>
      <c r="HPS208" s="128">
        <f>DATA!HPV35</f>
        <v>0</v>
      </c>
      <c r="HPT208" s="128">
        <f>DATA!HPW35</f>
        <v>0</v>
      </c>
      <c r="HPU208" s="128">
        <f>DATA!HPX35</f>
        <v>0</v>
      </c>
      <c r="HPV208" s="128">
        <f>DATA!HPY35</f>
        <v>0</v>
      </c>
      <c r="HPW208" s="128">
        <f>DATA!HPZ35</f>
        <v>0</v>
      </c>
      <c r="HPX208" s="128">
        <f>DATA!HQA35</f>
        <v>0</v>
      </c>
      <c r="HPY208" s="128">
        <f>DATA!HQB35</f>
        <v>0</v>
      </c>
      <c r="HPZ208" s="128">
        <f>DATA!HQC35</f>
        <v>0</v>
      </c>
      <c r="HQA208" s="128">
        <f>DATA!HQD35</f>
        <v>0</v>
      </c>
      <c r="HQB208" s="128">
        <f>DATA!HQE35</f>
        <v>0</v>
      </c>
      <c r="HQC208" s="128">
        <f>DATA!HQF35</f>
        <v>0</v>
      </c>
      <c r="HQD208" s="128">
        <f>DATA!HQG35</f>
        <v>0</v>
      </c>
      <c r="HQE208" s="128">
        <f>DATA!HQH35</f>
        <v>0</v>
      </c>
      <c r="HQF208" s="128">
        <f>DATA!HQI35</f>
        <v>0</v>
      </c>
      <c r="HQG208" s="128">
        <f>DATA!HQJ35</f>
        <v>0</v>
      </c>
      <c r="HQH208" s="128">
        <f>DATA!HQK35</f>
        <v>0</v>
      </c>
      <c r="HQI208" s="128">
        <f>DATA!HQL35</f>
        <v>0</v>
      </c>
      <c r="HQJ208" s="128">
        <f>DATA!HQM35</f>
        <v>0</v>
      </c>
      <c r="HQK208" s="128">
        <f>DATA!HQN35</f>
        <v>0</v>
      </c>
      <c r="HQL208" s="128">
        <f>DATA!HQO35</f>
        <v>0</v>
      </c>
      <c r="HQM208" s="128">
        <f>DATA!HQP35</f>
        <v>0</v>
      </c>
      <c r="HQN208" s="128">
        <f>DATA!HQQ35</f>
        <v>0</v>
      </c>
      <c r="HQO208" s="128">
        <f>DATA!HQR35</f>
        <v>0</v>
      </c>
      <c r="HQP208" s="128">
        <f>DATA!HQS35</f>
        <v>0</v>
      </c>
      <c r="HQQ208" s="128">
        <f>DATA!HQT35</f>
        <v>0</v>
      </c>
      <c r="HQR208" s="128">
        <f>DATA!HQU35</f>
        <v>0</v>
      </c>
      <c r="HQS208" s="128">
        <f>DATA!HQV35</f>
        <v>0</v>
      </c>
      <c r="HQT208" s="128">
        <f>DATA!HQW35</f>
        <v>0</v>
      </c>
      <c r="HQU208" s="128">
        <f>DATA!HQX35</f>
        <v>0</v>
      </c>
      <c r="HQV208" s="128">
        <f>DATA!HQY35</f>
        <v>0</v>
      </c>
      <c r="HQW208" s="128">
        <f>DATA!HQZ35</f>
        <v>0</v>
      </c>
      <c r="HQX208" s="128">
        <f>DATA!HRA35</f>
        <v>0</v>
      </c>
      <c r="HQY208" s="128">
        <f>DATA!HRB35</f>
        <v>0</v>
      </c>
      <c r="HQZ208" s="128">
        <f>DATA!HRC35</f>
        <v>0</v>
      </c>
      <c r="HRA208" s="128">
        <f>DATA!HRD35</f>
        <v>0</v>
      </c>
      <c r="HRB208" s="128">
        <f>DATA!HRE35</f>
        <v>0</v>
      </c>
      <c r="HRC208" s="128">
        <f>DATA!HRF35</f>
        <v>0</v>
      </c>
      <c r="HRD208" s="128">
        <f>DATA!HRG35</f>
        <v>0</v>
      </c>
      <c r="HRE208" s="128">
        <f>DATA!HRH35</f>
        <v>0</v>
      </c>
      <c r="HRF208" s="128">
        <f>DATA!HRI35</f>
        <v>0</v>
      </c>
      <c r="HRG208" s="128">
        <f>DATA!HRJ35</f>
        <v>0</v>
      </c>
      <c r="HRH208" s="128">
        <f>DATA!HRK35</f>
        <v>0</v>
      </c>
      <c r="HRI208" s="128">
        <f>DATA!HRL35</f>
        <v>0</v>
      </c>
      <c r="HRJ208" s="128">
        <f>DATA!HRM35</f>
        <v>0</v>
      </c>
      <c r="HRK208" s="128">
        <f>DATA!HRN35</f>
        <v>0</v>
      </c>
      <c r="HRL208" s="128">
        <f>DATA!HRO35</f>
        <v>0</v>
      </c>
      <c r="HRM208" s="128">
        <f>DATA!HRP35</f>
        <v>0</v>
      </c>
      <c r="HRN208" s="128">
        <f>DATA!HRQ35</f>
        <v>0</v>
      </c>
      <c r="HRO208" s="128">
        <f>DATA!HRR35</f>
        <v>0</v>
      </c>
      <c r="HRP208" s="128">
        <f>DATA!HRS35</f>
        <v>0</v>
      </c>
      <c r="HRQ208" s="128">
        <f>DATA!HRT35</f>
        <v>0</v>
      </c>
      <c r="HRR208" s="128">
        <f>DATA!HRU35</f>
        <v>0</v>
      </c>
      <c r="HRS208" s="128">
        <f>DATA!HRV35</f>
        <v>0</v>
      </c>
      <c r="HRT208" s="128">
        <f>DATA!HRW35</f>
        <v>0</v>
      </c>
      <c r="HRU208" s="128">
        <f>DATA!HRX35</f>
        <v>0</v>
      </c>
      <c r="HRV208" s="128">
        <f>DATA!HRY35</f>
        <v>0</v>
      </c>
      <c r="HRW208" s="128">
        <f>DATA!HRZ35</f>
        <v>0</v>
      </c>
      <c r="HRX208" s="128">
        <f>DATA!HSA35</f>
        <v>0</v>
      </c>
      <c r="HRY208" s="128">
        <f>DATA!HSB35</f>
        <v>0</v>
      </c>
      <c r="HRZ208" s="128">
        <f>DATA!HSC35</f>
        <v>0</v>
      </c>
      <c r="HSA208" s="128">
        <f>DATA!HSD35</f>
        <v>0</v>
      </c>
      <c r="HSB208" s="128">
        <f>DATA!HSE35</f>
        <v>0</v>
      </c>
      <c r="HSC208" s="128">
        <f>DATA!HSF35</f>
        <v>0</v>
      </c>
      <c r="HSD208" s="128">
        <f>DATA!HSG35</f>
        <v>0</v>
      </c>
      <c r="HSE208" s="128">
        <f>DATA!HSH35</f>
        <v>0</v>
      </c>
      <c r="HSF208" s="128">
        <f>DATA!HSI35</f>
        <v>0</v>
      </c>
      <c r="HSG208" s="128">
        <f>DATA!HSJ35</f>
        <v>0</v>
      </c>
      <c r="HSH208" s="128">
        <f>DATA!HSK35</f>
        <v>0</v>
      </c>
      <c r="HSI208" s="128">
        <f>DATA!HSL35</f>
        <v>0</v>
      </c>
      <c r="HSJ208" s="128">
        <f>DATA!HSM35</f>
        <v>0</v>
      </c>
      <c r="HSK208" s="128">
        <f>DATA!HSN35</f>
        <v>0</v>
      </c>
      <c r="HSL208" s="128">
        <f>DATA!HSO35</f>
        <v>0</v>
      </c>
      <c r="HSM208" s="128">
        <f>DATA!HSP35</f>
        <v>0</v>
      </c>
      <c r="HSN208" s="128">
        <f>DATA!HSQ35</f>
        <v>0</v>
      </c>
      <c r="HSO208" s="128">
        <f>DATA!HSR35</f>
        <v>0</v>
      </c>
      <c r="HSP208" s="128">
        <f>DATA!HSS35</f>
        <v>0</v>
      </c>
      <c r="HSQ208" s="128">
        <f>DATA!HST35</f>
        <v>0</v>
      </c>
      <c r="HSR208" s="128">
        <f>DATA!HSU35</f>
        <v>0</v>
      </c>
      <c r="HSS208" s="128">
        <f>DATA!HSV35</f>
        <v>0</v>
      </c>
      <c r="HST208" s="128">
        <f>DATA!HSW35</f>
        <v>0</v>
      </c>
      <c r="HSU208" s="128">
        <f>DATA!HSX35</f>
        <v>0</v>
      </c>
      <c r="HSV208" s="128">
        <f>DATA!HSY35</f>
        <v>0</v>
      </c>
      <c r="HSW208" s="128">
        <f>DATA!HSZ35</f>
        <v>0</v>
      </c>
      <c r="HSX208" s="128">
        <f>DATA!HTA35</f>
        <v>0</v>
      </c>
      <c r="HSY208" s="128">
        <f>DATA!HTB35</f>
        <v>0</v>
      </c>
      <c r="HSZ208" s="128">
        <f>DATA!HTC35</f>
        <v>0</v>
      </c>
      <c r="HTA208" s="128">
        <f>DATA!HTD35</f>
        <v>0</v>
      </c>
      <c r="HTB208" s="128">
        <f>DATA!HTE35</f>
        <v>0</v>
      </c>
      <c r="HTC208" s="128">
        <f>DATA!HTF35</f>
        <v>0</v>
      </c>
      <c r="HTD208" s="128">
        <f>DATA!HTG35</f>
        <v>0</v>
      </c>
      <c r="HTE208" s="128">
        <f>DATA!HTH35</f>
        <v>0</v>
      </c>
      <c r="HTF208" s="128">
        <f>DATA!HTI35</f>
        <v>0</v>
      </c>
      <c r="HTG208" s="128">
        <f>DATA!HTJ35</f>
        <v>0</v>
      </c>
      <c r="HTH208" s="128">
        <f>DATA!HTK35</f>
        <v>0</v>
      </c>
      <c r="HTI208" s="128">
        <f>DATA!HTL35</f>
        <v>0</v>
      </c>
      <c r="HTJ208" s="128">
        <f>DATA!HTM35</f>
        <v>0</v>
      </c>
      <c r="HTK208" s="128">
        <f>DATA!HTN35</f>
        <v>0</v>
      </c>
      <c r="HTL208" s="128">
        <f>DATA!HTO35</f>
        <v>0</v>
      </c>
      <c r="HTM208" s="128">
        <f>DATA!HTP35</f>
        <v>0</v>
      </c>
      <c r="HTN208" s="128">
        <f>DATA!HTQ35</f>
        <v>0</v>
      </c>
      <c r="HTO208" s="128">
        <f>DATA!HTR35</f>
        <v>0</v>
      </c>
      <c r="HTP208" s="128">
        <f>DATA!HTS35</f>
        <v>0</v>
      </c>
      <c r="HTQ208" s="128">
        <f>DATA!HTT35</f>
        <v>0</v>
      </c>
      <c r="HTR208" s="128">
        <f>DATA!HTU35</f>
        <v>0</v>
      </c>
      <c r="HTS208" s="128">
        <f>DATA!HTV35</f>
        <v>0</v>
      </c>
      <c r="HTT208" s="128">
        <f>DATA!HTW35</f>
        <v>0</v>
      </c>
      <c r="HTU208" s="128">
        <f>DATA!HTX35</f>
        <v>0</v>
      </c>
      <c r="HTV208" s="128">
        <f>DATA!HTY35</f>
        <v>0</v>
      </c>
      <c r="HTW208" s="128">
        <f>DATA!HTZ35</f>
        <v>0</v>
      </c>
      <c r="HTX208" s="128">
        <f>DATA!HUA35</f>
        <v>0</v>
      </c>
      <c r="HTY208" s="128">
        <f>DATA!HUB35</f>
        <v>0</v>
      </c>
      <c r="HTZ208" s="128">
        <f>DATA!HUC35</f>
        <v>0</v>
      </c>
      <c r="HUA208" s="128">
        <f>DATA!HUD35</f>
        <v>0</v>
      </c>
      <c r="HUB208" s="128">
        <f>DATA!HUE35</f>
        <v>0</v>
      </c>
      <c r="HUC208" s="128">
        <f>DATA!HUF35</f>
        <v>0</v>
      </c>
      <c r="HUD208" s="128">
        <f>DATA!HUG35</f>
        <v>0</v>
      </c>
      <c r="HUE208" s="128">
        <f>DATA!HUH35</f>
        <v>0</v>
      </c>
      <c r="HUF208" s="128">
        <f>DATA!HUI35</f>
        <v>0</v>
      </c>
      <c r="HUG208" s="128">
        <f>DATA!HUJ35</f>
        <v>0</v>
      </c>
      <c r="HUH208" s="128">
        <f>DATA!HUK35</f>
        <v>0</v>
      </c>
      <c r="HUI208" s="128">
        <f>DATA!HUL35</f>
        <v>0</v>
      </c>
      <c r="HUJ208" s="128">
        <f>DATA!HUM35</f>
        <v>0</v>
      </c>
      <c r="HUK208" s="128">
        <f>DATA!HUN35</f>
        <v>0</v>
      </c>
      <c r="HUL208" s="128">
        <f>DATA!HUO35</f>
        <v>0</v>
      </c>
      <c r="HUM208" s="128">
        <f>DATA!HUP35</f>
        <v>0</v>
      </c>
      <c r="HUN208" s="128">
        <f>DATA!HUQ35</f>
        <v>0</v>
      </c>
      <c r="HUO208" s="128">
        <f>DATA!HUR35</f>
        <v>0</v>
      </c>
      <c r="HUP208" s="128">
        <f>DATA!HUS35</f>
        <v>0</v>
      </c>
      <c r="HUQ208" s="128">
        <f>DATA!HUT35</f>
        <v>0</v>
      </c>
      <c r="HUR208" s="128">
        <f>DATA!HUU35</f>
        <v>0</v>
      </c>
      <c r="HUS208" s="128">
        <f>DATA!HUV35</f>
        <v>0</v>
      </c>
      <c r="HUT208" s="128">
        <f>DATA!HUW35</f>
        <v>0</v>
      </c>
      <c r="HUU208" s="128">
        <f>DATA!HUX35</f>
        <v>0</v>
      </c>
      <c r="HUV208" s="128">
        <f>DATA!HUY35</f>
        <v>0</v>
      </c>
      <c r="HUW208" s="128">
        <f>DATA!HUZ35</f>
        <v>0</v>
      </c>
      <c r="HUX208" s="128">
        <f>DATA!HVA35</f>
        <v>0</v>
      </c>
      <c r="HUY208" s="128">
        <f>DATA!HVB35</f>
        <v>0</v>
      </c>
      <c r="HUZ208" s="128">
        <f>DATA!HVC35</f>
        <v>0</v>
      </c>
      <c r="HVA208" s="128">
        <f>DATA!HVD35</f>
        <v>0</v>
      </c>
      <c r="HVB208" s="128">
        <f>DATA!HVE35</f>
        <v>0</v>
      </c>
      <c r="HVC208" s="128">
        <f>DATA!HVF35</f>
        <v>0</v>
      </c>
      <c r="HVD208" s="128">
        <f>DATA!HVG35</f>
        <v>0</v>
      </c>
      <c r="HVE208" s="128">
        <f>DATA!HVH35</f>
        <v>0</v>
      </c>
      <c r="HVF208" s="128">
        <f>DATA!HVI35</f>
        <v>0</v>
      </c>
      <c r="HVG208" s="128">
        <f>DATA!HVJ35</f>
        <v>0</v>
      </c>
      <c r="HVH208" s="128">
        <f>DATA!HVK35</f>
        <v>0</v>
      </c>
      <c r="HVI208" s="128">
        <f>DATA!HVL35</f>
        <v>0</v>
      </c>
      <c r="HVJ208" s="128">
        <f>DATA!HVM35</f>
        <v>0</v>
      </c>
      <c r="HVK208" s="128">
        <f>DATA!HVN35</f>
        <v>0</v>
      </c>
      <c r="HVL208" s="128">
        <f>DATA!HVO35</f>
        <v>0</v>
      </c>
      <c r="HVM208" s="128">
        <f>DATA!HVP35</f>
        <v>0</v>
      </c>
      <c r="HVN208" s="128">
        <f>DATA!HVQ35</f>
        <v>0</v>
      </c>
      <c r="HVO208" s="128">
        <f>DATA!HVR35</f>
        <v>0</v>
      </c>
      <c r="HVP208" s="128">
        <f>DATA!HVS35</f>
        <v>0</v>
      </c>
      <c r="HVQ208" s="128">
        <f>DATA!HVT35</f>
        <v>0</v>
      </c>
      <c r="HVR208" s="128">
        <f>DATA!HVU35</f>
        <v>0</v>
      </c>
      <c r="HVS208" s="128">
        <f>DATA!HVV35</f>
        <v>0</v>
      </c>
      <c r="HVT208" s="128">
        <f>DATA!HVW35</f>
        <v>0</v>
      </c>
      <c r="HVU208" s="128">
        <f>DATA!HVX35</f>
        <v>0</v>
      </c>
      <c r="HVV208" s="128">
        <f>DATA!HVY35</f>
        <v>0</v>
      </c>
      <c r="HVW208" s="128">
        <f>DATA!HVZ35</f>
        <v>0</v>
      </c>
      <c r="HVX208" s="128">
        <f>DATA!HWA35</f>
        <v>0</v>
      </c>
      <c r="HVY208" s="128">
        <f>DATA!HWB35</f>
        <v>0</v>
      </c>
      <c r="HVZ208" s="128">
        <f>DATA!HWC35</f>
        <v>0</v>
      </c>
      <c r="HWA208" s="128">
        <f>DATA!HWD35</f>
        <v>0</v>
      </c>
      <c r="HWB208" s="128">
        <f>DATA!HWE35</f>
        <v>0</v>
      </c>
      <c r="HWC208" s="128">
        <f>DATA!HWF35</f>
        <v>0</v>
      </c>
      <c r="HWD208" s="128">
        <f>DATA!HWG35</f>
        <v>0</v>
      </c>
      <c r="HWE208" s="128">
        <f>DATA!HWH35</f>
        <v>0</v>
      </c>
      <c r="HWF208" s="128">
        <f>DATA!HWI35</f>
        <v>0</v>
      </c>
      <c r="HWG208" s="128">
        <f>DATA!HWJ35</f>
        <v>0</v>
      </c>
      <c r="HWH208" s="128">
        <f>DATA!HWK35</f>
        <v>0</v>
      </c>
      <c r="HWI208" s="128">
        <f>DATA!HWL35</f>
        <v>0</v>
      </c>
      <c r="HWJ208" s="128">
        <f>DATA!HWM35</f>
        <v>0</v>
      </c>
      <c r="HWK208" s="128">
        <f>DATA!HWN35</f>
        <v>0</v>
      </c>
      <c r="HWL208" s="128">
        <f>DATA!HWO35</f>
        <v>0</v>
      </c>
      <c r="HWM208" s="128">
        <f>DATA!HWP35</f>
        <v>0</v>
      </c>
      <c r="HWN208" s="128">
        <f>DATA!HWQ35</f>
        <v>0</v>
      </c>
      <c r="HWO208" s="128">
        <f>DATA!HWR35</f>
        <v>0</v>
      </c>
      <c r="HWP208" s="128">
        <f>DATA!HWS35</f>
        <v>0</v>
      </c>
      <c r="HWQ208" s="128">
        <f>DATA!HWT35</f>
        <v>0</v>
      </c>
      <c r="HWR208" s="128">
        <f>DATA!HWU35</f>
        <v>0</v>
      </c>
      <c r="HWS208" s="128">
        <f>DATA!HWV35</f>
        <v>0</v>
      </c>
      <c r="HWT208" s="128">
        <f>DATA!HWW35</f>
        <v>0</v>
      </c>
      <c r="HWU208" s="128">
        <f>DATA!HWX35</f>
        <v>0</v>
      </c>
      <c r="HWV208" s="128">
        <f>DATA!HWY35</f>
        <v>0</v>
      </c>
      <c r="HWW208" s="128">
        <f>DATA!HWZ35</f>
        <v>0</v>
      </c>
      <c r="HWX208" s="128">
        <f>DATA!HXA35</f>
        <v>0</v>
      </c>
      <c r="HWY208" s="128">
        <f>DATA!HXB35</f>
        <v>0</v>
      </c>
      <c r="HWZ208" s="128">
        <f>DATA!HXC35</f>
        <v>0</v>
      </c>
      <c r="HXA208" s="128">
        <f>DATA!HXD35</f>
        <v>0</v>
      </c>
      <c r="HXB208" s="128">
        <f>DATA!HXE35</f>
        <v>0</v>
      </c>
      <c r="HXC208" s="128">
        <f>DATA!HXF35</f>
        <v>0</v>
      </c>
      <c r="HXD208" s="128">
        <f>DATA!HXG35</f>
        <v>0</v>
      </c>
      <c r="HXE208" s="128">
        <f>DATA!HXH35</f>
        <v>0</v>
      </c>
      <c r="HXF208" s="128">
        <f>DATA!HXI35</f>
        <v>0</v>
      </c>
      <c r="HXG208" s="128">
        <f>DATA!HXJ35</f>
        <v>0</v>
      </c>
      <c r="HXH208" s="128">
        <f>DATA!HXK35</f>
        <v>0</v>
      </c>
      <c r="HXI208" s="128">
        <f>DATA!HXL35</f>
        <v>0</v>
      </c>
      <c r="HXJ208" s="128">
        <f>DATA!HXM35</f>
        <v>0</v>
      </c>
      <c r="HXK208" s="128">
        <f>DATA!HXN35</f>
        <v>0</v>
      </c>
      <c r="HXL208" s="128">
        <f>DATA!HXO35</f>
        <v>0</v>
      </c>
      <c r="HXM208" s="128">
        <f>DATA!HXP35</f>
        <v>0</v>
      </c>
      <c r="HXN208" s="128">
        <f>DATA!HXQ35</f>
        <v>0</v>
      </c>
      <c r="HXO208" s="128">
        <f>DATA!HXR35</f>
        <v>0</v>
      </c>
      <c r="HXP208" s="128">
        <f>DATA!HXS35</f>
        <v>0</v>
      </c>
      <c r="HXQ208" s="128">
        <f>DATA!HXT35</f>
        <v>0</v>
      </c>
      <c r="HXR208" s="128">
        <f>DATA!HXU35</f>
        <v>0</v>
      </c>
      <c r="HXS208" s="128">
        <f>DATA!HXV35</f>
        <v>0</v>
      </c>
      <c r="HXT208" s="128">
        <f>DATA!HXW35</f>
        <v>0</v>
      </c>
      <c r="HXU208" s="128">
        <f>DATA!HXX35</f>
        <v>0</v>
      </c>
      <c r="HXV208" s="128">
        <f>DATA!HXY35</f>
        <v>0</v>
      </c>
      <c r="HXW208" s="128">
        <f>DATA!HXZ35</f>
        <v>0</v>
      </c>
      <c r="HXX208" s="128">
        <f>DATA!HYA35</f>
        <v>0</v>
      </c>
      <c r="HXY208" s="128">
        <f>DATA!HYB35</f>
        <v>0</v>
      </c>
      <c r="HXZ208" s="128">
        <f>DATA!HYC35</f>
        <v>0</v>
      </c>
      <c r="HYA208" s="128">
        <f>DATA!HYD35</f>
        <v>0</v>
      </c>
      <c r="HYB208" s="128">
        <f>DATA!HYE35</f>
        <v>0</v>
      </c>
      <c r="HYC208" s="128">
        <f>DATA!HYF35</f>
        <v>0</v>
      </c>
      <c r="HYD208" s="128">
        <f>DATA!HYG35</f>
        <v>0</v>
      </c>
      <c r="HYE208" s="128">
        <f>DATA!HYH35</f>
        <v>0</v>
      </c>
      <c r="HYF208" s="128">
        <f>DATA!HYI35</f>
        <v>0</v>
      </c>
      <c r="HYG208" s="128">
        <f>DATA!HYJ35</f>
        <v>0</v>
      </c>
      <c r="HYH208" s="128">
        <f>DATA!HYK35</f>
        <v>0</v>
      </c>
      <c r="HYI208" s="128">
        <f>DATA!HYL35</f>
        <v>0</v>
      </c>
      <c r="HYJ208" s="128">
        <f>DATA!HYM35</f>
        <v>0</v>
      </c>
      <c r="HYK208" s="128">
        <f>DATA!HYN35</f>
        <v>0</v>
      </c>
      <c r="HYL208" s="128">
        <f>DATA!HYO35</f>
        <v>0</v>
      </c>
      <c r="HYM208" s="128">
        <f>DATA!HYP35</f>
        <v>0</v>
      </c>
      <c r="HYN208" s="128">
        <f>DATA!HYQ35</f>
        <v>0</v>
      </c>
      <c r="HYO208" s="128">
        <f>DATA!HYR35</f>
        <v>0</v>
      </c>
      <c r="HYP208" s="128">
        <f>DATA!HYS35</f>
        <v>0</v>
      </c>
      <c r="HYQ208" s="128">
        <f>DATA!HYT35</f>
        <v>0</v>
      </c>
      <c r="HYR208" s="128">
        <f>DATA!HYU35</f>
        <v>0</v>
      </c>
      <c r="HYS208" s="128">
        <f>DATA!HYV35</f>
        <v>0</v>
      </c>
      <c r="HYT208" s="128">
        <f>DATA!HYW35</f>
        <v>0</v>
      </c>
      <c r="HYU208" s="128">
        <f>DATA!HYX35</f>
        <v>0</v>
      </c>
      <c r="HYV208" s="128">
        <f>DATA!HYY35</f>
        <v>0</v>
      </c>
      <c r="HYW208" s="128">
        <f>DATA!HYZ35</f>
        <v>0</v>
      </c>
      <c r="HYX208" s="128">
        <f>DATA!HZA35</f>
        <v>0</v>
      </c>
      <c r="HYY208" s="128">
        <f>DATA!HZB35</f>
        <v>0</v>
      </c>
      <c r="HYZ208" s="128">
        <f>DATA!HZC35</f>
        <v>0</v>
      </c>
      <c r="HZA208" s="128">
        <f>DATA!HZD35</f>
        <v>0</v>
      </c>
      <c r="HZB208" s="128">
        <f>DATA!HZE35</f>
        <v>0</v>
      </c>
      <c r="HZC208" s="128">
        <f>DATA!HZF35</f>
        <v>0</v>
      </c>
      <c r="HZD208" s="128">
        <f>DATA!HZG35</f>
        <v>0</v>
      </c>
      <c r="HZE208" s="128">
        <f>DATA!HZH35</f>
        <v>0</v>
      </c>
      <c r="HZF208" s="128">
        <f>DATA!HZI35</f>
        <v>0</v>
      </c>
      <c r="HZG208" s="128">
        <f>DATA!HZJ35</f>
        <v>0</v>
      </c>
      <c r="HZH208" s="128">
        <f>DATA!HZK35</f>
        <v>0</v>
      </c>
      <c r="HZI208" s="128">
        <f>DATA!HZL35</f>
        <v>0</v>
      </c>
      <c r="HZJ208" s="128">
        <f>DATA!HZM35</f>
        <v>0</v>
      </c>
      <c r="HZK208" s="128">
        <f>DATA!HZN35</f>
        <v>0</v>
      </c>
      <c r="HZL208" s="128">
        <f>DATA!HZO35</f>
        <v>0</v>
      </c>
      <c r="HZM208" s="128">
        <f>DATA!HZP35</f>
        <v>0</v>
      </c>
      <c r="HZN208" s="128">
        <f>DATA!HZQ35</f>
        <v>0</v>
      </c>
      <c r="HZO208" s="128">
        <f>DATA!HZR35</f>
        <v>0</v>
      </c>
      <c r="HZP208" s="128">
        <f>DATA!HZS35</f>
        <v>0</v>
      </c>
      <c r="HZQ208" s="128">
        <f>DATA!HZT35</f>
        <v>0</v>
      </c>
      <c r="HZR208" s="128">
        <f>DATA!HZU35</f>
        <v>0</v>
      </c>
      <c r="HZS208" s="128">
        <f>DATA!HZV35</f>
        <v>0</v>
      </c>
      <c r="HZT208" s="128">
        <f>DATA!HZW35</f>
        <v>0</v>
      </c>
      <c r="HZU208" s="128">
        <f>DATA!HZX35</f>
        <v>0</v>
      </c>
      <c r="HZV208" s="128">
        <f>DATA!HZY35</f>
        <v>0</v>
      </c>
      <c r="HZW208" s="128">
        <f>DATA!HZZ35</f>
        <v>0</v>
      </c>
      <c r="HZX208" s="128">
        <f>DATA!IAA35</f>
        <v>0</v>
      </c>
      <c r="HZY208" s="128">
        <f>DATA!IAB35</f>
        <v>0</v>
      </c>
      <c r="HZZ208" s="128">
        <f>DATA!IAC35</f>
        <v>0</v>
      </c>
      <c r="IAA208" s="128">
        <f>DATA!IAD35</f>
        <v>0</v>
      </c>
      <c r="IAB208" s="128">
        <f>DATA!IAE35</f>
        <v>0</v>
      </c>
      <c r="IAC208" s="128">
        <f>DATA!IAF35</f>
        <v>0</v>
      </c>
      <c r="IAD208" s="128">
        <f>DATA!IAG35</f>
        <v>0</v>
      </c>
      <c r="IAE208" s="128">
        <f>DATA!IAH35</f>
        <v>0</v>
      </c>
      <c r="IAF208" s="128">
        <f>DATA!IAI35</f>
        <v>0</v>
      </c>
      <c r="IAG208" s="128">
        <f>DATA!IAJ35</f>
        <v>0</v>
      </c>
      <c r="IAH208" s="128">
        <f>DATA!IAK35</f>
        <v>0</v>
      </c>
      <c r="IAI208" s="128">
        <f>DATA!IAL35</f>
        <v>0</v>
      </c>
      <c r="IAJ208" s="128">
        <f>DATA!IAM35</f>
        <v>0</v>
      </c>
      <c r="IAK208" s="128">
        <f>DATA!IAN35</f>
        <v>0</v>
      </c>
      <c r="IAL208" s="128">
        <f>DATA!IAO35</f>
        <v>0</v>
      </c>
      <c r="IAM208" s="128">
        <f>DATA!IAP35</f>
        <v>0</v>
      </c>
      <c r="IAN208" s="128">
        <f>DATA!IAQ35</f>
        <v>0</v>
      </c>
      <c r="IAO208" s="128">
        <f>DATA!IAR35</f>
        <v>0</v>
      </c>
      <c r="IAP208" s="128">
        <f>DATA!IAS35</f>
        <v>0</v>
      </c>
      <c r="IAQ208" s="128">
        <f>DATA!IAT35</f>
        <v>0</v>
      </c>
      <c r="IAR208" s="128">
        <f>DATA!IAU35</f>
        <v>0</v>
      </c>
      <c r="IAS208" s="128">
        <f>DATA!IAV35</f>
        <v>0</v>
      </c>
      <c r="IAT208" s="128">
        <f>DATA!IAW35</f>
        <v>0</v>
      </c>
      <c r="IAU208" s="128">
        <f>DATA!IAX35</f>
        <v>0</v>
      </c>
      <c r="IAV208" s="128">
        <f>DATA!IAY35</f>
        <v>0</v>
      </c>
      <c r="IAW208" s="128">
        <f>DATA!IAZ35</f>
        <v>0</v>
      </c>
      <c r="IAX208" s="128">
        <f>DATA!IBA35</f>
        <v>0</v>
      </c>
      <c r="IAY208" s="128">
        <f>DATA!IBB35</f>
        <v>0</v>
      </c>
      <c r="IAZ208" s="128">
        <f>DATA!IBC35</f>
        <v>0</v>
      </c>
      <c r="IBA208" s="128">
        <f>DATA!IBD35</f>
        <v>0</v>
      </c>
      <c r="IBB208" s="128">
        <f>DATA!IBE35</f>
        <v>0</v>
      </c>
      <c r="IBC208" s="128">
        <f>DATA!IBF35</f>
        <v>0</v>
      </c>
      <c r="IBD208" s="128">
        <f>DATA!IBG35</f>
        <v>0</v>
      </c>
      <c r="IBE208" s="128">
        <f>DATA!IBH35</f>
        <v>0</v>
      </c>
      <c r="IBF208" s="128">
        <f>DATA!IBI35</f>
        <v>0</v>
      </c>
      <c r="IBG208" s="128">
        <f>DATA!IBJ35</f>
        <v>0</v>
      </c>
      <c r="IBH208" s="128">
        <f>DATA!IBK35</f>
        <v>0</v>
      </c>
      <c r="IBI208" s="128">
        <f>DATA!IBL35</f>
        <v>0</v>
      </c>
      <c r="IBJ208" s="128">
        <f>DATA!IBM35</f>
        <v>0</v>
      </c>
      <c r="IBK208" s="128">
        <f>DATA!IBN35</f>
        <v>0</v>
      </c>
      <c r="IBL208" s="128">
        <f>DATA!IBO35</f>
        <v>0</v>
      </c>
      <c r="IBM208" s="128">
        <f>DATA!IBP35</f>
        <v>0</v>
      </c>
      <c r="IBN208" s="128">
        <f>DATA!IBQ35</f>
        <v>0</v>
      </c>
      <c r="IBO208" s="128">
        <f>DATA!IBR35</f>
        <v>0</v>
      </c>
      <c r="IBP208" s="128">
        <f>DATA!IBS35</f>
        <v>0</v>
      </c>
      <c r="IBQ208" s="128">
        <f>DATA!IBT35</f>
        <v>0</v>
      </c>
      <c r="IBR208" s="128">
        <f>DATA!IBU35</f>
        <v>0</v>
      </c>
      <c r="IBS208" s="128">
        <f>DATA!IBV35</f>
        <v>0</v>
      </c>
      <c r="IBT208" s="128">
        <f>DATA!IBW35</f>
        <v>0</v>
      </c>
      <c r="IBU208" s="128">
        <f>DATA!IBX35</f>
        <v>0</v>
      </c>
      <c r="IBV208" s="128">
        <f>DATA!IBY35</f>
        <v>0</v>
      </c>
      <c r="IBW208" s="128">
        <f>DATA!IBZ35</f>
        <v>0</v>
      </c>
      <c r="IBX208" s="128">
        <f>DATA!ICA35</f>
        <v>0</v>
      </c>
      <c r="IBY208" s="128">
        <f>DATA!ICB35</f>
        <v>0</v>
      </c>
      <c r="IBZ208" s="128">
        <f>DATA!ICC35</f>
        <v>0</v>
      </c>
      <c r="ICA208" s="128">
        <f>DATA!ICD35</f>
        <v>0</v>
      </c>
      <c r="ICB208" s="128">
        <f>DATA!ICE35</f>
        <v>0</v>
      </c>
      <c r="ICC208" s="128">
        <f>DATA!ICF35</f>
        <v>0</v>
      </c>
      <c r="ICD208" s="128">
        <f>DATA!ICG35</f>
        <v>0</v>
      </c>
      <c r="ICE208" s="128">
        <f>DATA!ICH35</f>
        <v>0</v>
      </c>
      <c r="ICF208" s="128">
        <f>DATA!ICI35</f>
        <v>0</v>
      </c>
      <c r="ICG208" s="128">
        <f>DATA!ICJ35</f>
        <v>0</v>
      </c>
      <c r="ICH208" s="128">
        <f>DATA!ICK35</f>
        <v>0</v>
      </c>
      <c r="ICI208" s="128">
        <f>DATA!ICL35</f>
        <v>0</v>
      </c>
      <c r="ICJ208" s="128">
        <f>DATA!ICM35</f>
        <v>0</v>
      </c>
      <c r="ICK208" s="128">
        <f>DATA!ICN35</f>
        <v>0</v>
      </c>
      <c r="ICL208" s="128">
        <f>DATA!ICO35</f>
        <v>0</v>
      </c>
      <c r="ICM208" s="128">
        <f>DATA!ICP35</f>
        <v>0</v>
      </c>
      <c r="ICN208" s="128">
        <f>DATA!ICQ35</f>
        <v>0</v>
      </c>
      <c r="ICO208" s="128">
        <f>DATA!ICR35</f>
        <v>0</v>
      </c>
      <c r="ICP208" s="128">
        <f>DATA!ICS35</f>
        <v>0</v>
      </c>
      <c r="ICQ208" s="128">
        <f>DATA!ICT35</f>
        <v>0</v>
      </c>
      <c r="ICR208" s="128">
        <f>DATA!ICU35</f>
        <v>0</v>
      </c>
      <c r="ICS208" s="128">
        <f>DATA!ICV35</f>
        <v>0</v>
      </c>
      <c r="ICT208" s="128">
        <f>DATA!ICW35</f>
        <v>0</v>
      </c>
      <c r="ICU208" s="128">
        <f>DATA!ICX35</f>
        <v>0</v>
      </c>
      <c r="ICV208" s="128">
        <f>DATA!ICY35</f>
        <v>0</v>
      </c>
      <c r="ICW208" s="128">
        <f>DATA!ICZ35</f>
        <v>0</v>
      </c>
      <c r="ICX208" s="128">
        <f>DATA!IDA35</f>
        <v>0</v>
      </c>
      <c r="ICY208" s="128">
        <f>DATA!IDB35</f>
        <v>0</v>
      </c>
      <c r="ICZ208" s="128">
        <f>DATA!IDC35</f>
        <v>0</v>
      </c>
      <c r="IDA208" s="128">
        <f>DATA!IDD35</f>
        <v>0</v>
      </c>
      <c r="IDB208" s="128">
        <f>DATA!IDE35</f>
        <v>0</v>
      </c>
      <c r="IDC208" s="128">
        <f>DATA!IDF35</f>
        <v>0</v>
      </c>
      <c r="IDD208" s="128">
        <f>DATA!IDG35</f>
        <v>0</v>
      </c>
      <c r="IDE208" s="128">
        <f>DATA!IDH35</f>
        <v>0</v>
      </c>
      <c r="IDF208" s="128">
        <f>DATA!IDI35</f>
        <v>0</v>
      </c>
      <c r="IDG208" s="128">
        <f>DATA!IDJ35</f>
        <v>0</v>
      </c>
      <c r="IDH208" s="128">
        <f>DATA!IDK35</f>
        <v>0</v>
      </c>
      <c r="IDI208" s="128">
        <f>DATA!IDL35</f>
        <v>0</v>
      </c>
      <c r="IDJ208" s="128">
        <f>DATA!IDM35</f>
        <v>0</v>
      </c>
      <c r="IDK208" s="128">
        <f>DATA!IDN35</f>
        <v>0</v>
      </c>
      <c r="IDL208" s="128">
        <f>DATA!IDO35</f>
        <v>0</v>
      </c>
      <c r="IDM208" s="128">
        <f>DATA!IDP35</f>
        <v>0</v>
      </c>
      <c r="IDN208" s="128">
        <f>DATA!IDQ35</f>
        <v>0</v>
      </c>
      <c r="IDO208" s="128">
        <f>DATA!IDR35</f>
        <v>0</v>
      </c>
      <c r="IDP208" s="128">
        <f>DATA!IDS35</f>
        <v>0</v>
      </c>
      <c r="IDQ208" s="128">
        <f>DATA!IDT35</f>
        <v>0</v>
      </c>
      <c r="IDR208" s="128">
        <f>DATA!IDU35</f>
        <v>0</v>
      </c>
      <c r="IDS208" s="128">
        <f>DATA!IDV35</f>
        <v>0</v>
      </c>
      <c r="IDT208" s="128">
        <f>DATA!IDW35</f>
        <v>0</v>
      </c>
      <c r="IDU208" s="128">
        <f>DATA!IDX35</f>
        <v>0</v>
      </c>
      <c r="IDV208" s="128">
        <f>DATA!IDY35</f>
        <v>0</v>
      </c>
      <c r="IDW208" s="128">
        <f>DATA!IDZ35</f>
        <v>0</v>
      </c>
      <c r="IDX208" s="128">
        <f>DATA!IEA35</f>
        <v>0</v>
      </c>
      <c r="IDY208" s="128">
        <f>DATA!IEB35</f>
        <v>0</v>
      </c>
      <c r="IDZ208" s="128">
        <f>DATA!IEC35</f>
        <v>0</v>
      </c>
      <c r="IEA208" s="128">
        <f>DATA!IED35</f>
        <v>0</v>
      </c>
      <c r="IEB208" s="128">
        <f>DATA!IEE35</f>
        <v>0</v>
      </c>
      <c r="IEC208" s="128">
        <f>DATA!IEF35</f>
        <v>0</v>
      </c>
      <c r="IED208" s="128">
        <f>DATA!IEG35</f>
        <v>0</v>
      </c>
      <c r="IEE208" s="128">
        <f>DATA!IEH35</f>
        <v>0</v>
      </c>
      <c r="IEF208" s="128">
        <f>DATA!IEI35</f>
        <v>0</v>
      </c>
      <c r="IEG208" s="128">
        <f>DATA!IEJ35</f>
        <v>0</v>
      </c>
      <c r="IEH208" s="128">
        <f>DATA!IEK35</f>
        <v>0</v>
      </c>
      <c r="IEI208" s="128">
        <f>DATA!IEL35</f>
        <v>0</v>
      </c>
      <c r="IEJ208" s="128">
        <f>DATA!IEM35</f>
        <v>0</v>
      </c>
      <c r="IEK208" s="128">
        <f>DATA!IEN35</f>
        <v>0</v>
      </c>
      <c r="IEL208" s="128">
        <f>DATA!IEO35</f>
        <v>0</v>
      </c>
      <c r="IEM208" s="128">
        <f>DATA!IEP35</f>
        <v>0</v>
      </c>
      <c r="IEN208" s="128">
        <f>DATA!IEQ35</f>
        <v>0</v>
      </c>
      <c r="IEO208" s="128">
        <f>DATA!IER35</f>
        <v>0</v>
      </c>
      <c r="IEP208" s="128">
        <f>DATA!IES35</f>
        <v>0</v>
      </c>
      <c r="IEQ208" s="128">
        <f>DATA!IET35</f>
        <v>0</v>
      </c>
      <c r="IER208" s="128">
        <f>DATA!IEU35</f>
        <v>0</v>
      </c>
      <c r="IES208" s="128">
        <f>DATA!IEV35</f>
        <v>0</v>
      </c>
      <c r="IET208" s="128">
        <f>DATA!IEW35</f>
        <v>0</v>
      </c>
      <c r="IEU208" s="128">
        <f>DATA!IEX35</f>
        <v>0</v>
      </c>
      <c r="IEV208" s="128">
        <f>DATA!IEY35</f>
        <v>0</v>
      </c>
      <c r="IEW208" s="128">
        <f>DATA!IEZ35</f>
        <v>0</v>
      </c>
      <c r="IEX208" s="128">
        <f>DATA!IFA35</f>
        <v>0</v>
      </c>
      <c r="IEY208" s="128">
        <f>DATA!IFB35</f>
        <v>0</v>
      </c>
      <c r="IEZ208" s="128">
        <f>DATA!IFC35</f>
        <v>0</v>
      </c>
      <c r="IFA208" s="128">
        <f>DATA!IFD35</f>
        <v>0</v>
      </c>
      <c r="IFB208" s="128">
        <f>DATA!IFE35</f>
        <v>0</v>
      </c>
      <c r="IFC208" s="128">
        <f>DATA!IFF35</f>
        <v>0</v>
      </c>
      <c r="IFD208" s="128">
        <f>DATA!IFG35</f>
        <v>0</v>
      </c>
      <c r="IFE208" s="128">
        <f>DATA!IFH35</f>
        <v>0</v>
      </c>
      <c r="IFF208" s="128">
        <f>DATA!IFI35</f>
        <v>0</v>
      </c>
      <c r="IFG208" s="128">
        <f>DATA!IFJ35</f>
        <v>0</v>
      </c>
      <c r="IFH208" s="128">
        <f>DATA!IFK35</f>
        <v>0</v>
      </c>
      <c r="IFI208" s="128">
        <f>DATA!IFL35</f>
        <v>0</v>
      </c>
      <c r="IFJ208" s="128">
        <f>DATA!IFM35</f>
        <v>0</v>
      </c>
      <c r="IFK208" s="128">
        <f>DATA!IFN35</f>
        <v>0</v>
      </c>
      <c r="IFL208" s="128">
        <f>DATA!IFO35</f>
        <v>0</v>
      </c>
      <c r="IFM208" s="128">
        <f>DATA!IFP35</f>
        <v>0</v>
      </c>
      <c r="IFN208" s="128">
        <f>DATA!IFQ35</f>
        <v>0</v>
      </c>
      <c r="IFO208" s="128">
        <f>DATA!IFR35</f>
        <v>0</v>
      </c>
      <c r="IFP208" s="128">
        <f>DATA!IFS35</f>
        <v>0</v>
      </c>
      <c r="IFQ208" s="128">
        <f>DATA!IFT35</f>
        <v>0</v>
      </c>
      <c r="IFR208" s="128">
        <f>DATA!IFU35</f>
        <v>0</v>
      </c>
      <c r="IFS208" s="128">
        <f>DATA!IFV35</f>
        <v>0</v>
      </c>
      <c r="IFT208" s="128">
        <f>DATA!IFW35</f>
        <v>0</v>
      </c>
      <c r="IFU208" s="128">
        <f>DATA!IFX35</f>
        <v>0</v>
      </c>
      <c r="IFV208" s="128">
        <f>DATA!IFY35</f>
        <v>0</v>
      </c>
      <c r="IFW208" s="128">
        <f>DATA!IFZ35</f>
        <v>0</v>
      </c>
      <c r="IFX208" s="128">
        <f>DATA!IGA35</f>
        <v>0</v>
      </c>
      <c r="IFY208" s="128">
        <f>DATA!IGB35</f>
        <v>0</v>
      </c>
      <c r="IFZ208" s="128">
        <f>DATA!IGC35</f>
        <v>0</v>
      </c>
      <c r="IGA208" s="128">
        <f>DATA!IGD35</f>
        <v>0</v>
      </c>
      <c r="IGB208" s="128">
        <f>DATA!IGE35</f>
        <v>0</v>
      </c>
      <c r="IGC208" s="128">
        <f>DATA!IGF35</f>
        <v>0</v>
      </c>
      <c r="IGD208" s="128">
        <f>DATA!IGG35</f>
        <v>0</v>
      </c>
      <c r="IGE208" s="128">
        <f>DATA!IGH35</f>
        <v>0</v>
      </c>
      <c r="IGF208" s="128">
        <f>DATA!IGI35</f>
        <v>0</v>
      </c>
      <c r="IGG208" s="128">
        <f>DATA!IGJ35</f>
        <v>0</v>
      </c>
      <c r="IGH208" s="128">
        <f>DATA!IGK35</f>
        <v>0</v>
      </c>
      <c r="IGI208" s="128">
        <f>DATA!IGL35</f>
        <v>0</v>
      </c>
      <c r="IGJ208" s="128">
        <f>DATA!IGM35</f>
        <v>0</v>
      </c>
      <c r="IGK208" s="128">
        <f>DATA!IGN35</f>
        <v>0</v>
      </c>
      <c r="IGL208" s="128">
        <f>DATA!IGO35</f>
        <v>0</v>
      </c>
      <c r="IGM208" s="128">
        <f>DATA!IGP35</f>
        <v>0</v>
      </c>
      <c r="IGN208" s="128">
        <f>DATA!IGQ35</f>
        <v>0</v>
      </c>
      <c r="IGO208" s="128">
        <f>DATA!IGR35</f>
        <v>0</v>
      </c>
      <c r="IGP208" s="128">
        <f>DATA!IGS35</f>
        <v>0</v>
      </c>
      <c r="IGQ208" s="128">
        <f>DATA!IGT35</f>
        <v>0</v>
      </c>
      <c r="IGR208" s="128">
        <f>DATA!IGU35</f>
        <v>0</v>
      </c>
      <c r="IGS208" s="128">
        <f>DATA!IGV35</f>
        <v>0</v>
      </c>
      <c r="IGT208" s="128">
        <f>DATA!IGW35</f>
        <v>0</v>
      </c>
      <c r="IGU208" s="128">
        <f>DATA!IGX35</f>
        <v>0</v>
      </c>
      <c r="IGV208" s="128">
        <f>DATA!IGY35</f>
        <v>0</v>
      </c>
      <c r="IGW208" s="128">
        <f>DATA!IGZ35</f>
        <v>0</v>
      </c>
      <c r="IGX208" s="128">
        <f>DATA!IHA35</f>
        <v>0</v>
      </c>
      <c r="IGY208" s="128">
        <f>DATA!IHB35</f>
        <v>0</v>
      </c>
      <c r="IGZ208" s="128">
        <f>DATA!IHC35</f>
        <v>0</v>
      </c>
      <c r="IHA208" s="128">
        <f>DATA!IHD35</f>
        <v>0</v>
      </c>
      <c r="IHB208" s="128">
        <f>DATA!IHE35</f>
        <v>0</v>
      </c>
      <c r="IHC208" s="128">
        <f>DATA!IHF35</f>
        <v>0</v>
      </c>
      <c r="IHD208" s="128">
        <f>DATA!IHG35</f>
        <v>0</v>
      </c>
      <c r="IHE208" s="128">
        <f>DATA!IHH35</f>
        <v>0</v>
      </c>
      <c r="IHF208" s="128">
        <f>DATA!IHI35</f>
        <v>0</v>
      </c>
      <c r="IHG208" s="128">
        <f>DATA!IHJ35</f>
        <v>0</v>
      </c>
      <c r="IHH208" s="128">
        <f>DATA!IHK35</f>
        <v>0</v>
      </c>
      <c r="IHI208" s="128">
        <f>DATA!IHL35</f>
        <v>0</v>
      </c>
      <c r="IHJ208" s="128">
        <f>DATA!IHM35</f>
        <v>0</v>
      </c>
      <c r="IHK208" s="128">
        <f>DATA!IHN35</f>
        <v>0</v>
      </c>
      <c r="IHL208" s="128">
        <f>DATA!IHO35</f>
        <v>0</v>
      </c>
      <c r="IHM208" s="128">
        <f>DATA!IHP35</f>
        <v>0</v>
      </c>
      <c r="IHN208" s="128">
        <f>DATA!IHQ35</f>
        <v>0</v>
      </c>
      <c r="IHO208" s="128">
        <f>DATA!IHR35</f>
        <v>0</v>
      </c>
      <c r="IHP208" s="128">
        <f>DATA!IHS35</f>
        <v>0</v>
      </c>
      <c r="IHQ208" s="128">
        <f>DATA!IHT35</f>
        <v>0</v>
      </c>
      <c r="IHR208" s="128">
        <f>DATA!IHU35</f>
        <v>0</v>
      </c>
      <c r="IHS208" s="128">
        <f>DATA!IHV35</f>
        <v>0</v>
      </c>
      <c r="IHT208" s="128">
        <f>DATA!IHW35</f>
        <v>0</v>
      </c>
      <c r="IHU208" s="128">
        <f>DATA!IHX35</f>
        <v>0</v>
      </c>
      <c r="IHV208" s="128">
        <f>DATA!IHY35</f>
        <v>0</v>
      </c>
      <c r="IHW208" s="128">
        <f>DATA!IHZ35</f>
        <v>0</v>
      </c>
      <c r="IHX208" s="128">
        <f>DATA!IIA35</f>
        <v>0</v>
      </c>
      <c r="IHY208" s="128">
        <f>DATA!IIB35</f>
        <v>0</v>
      </c>
      <c r="IHZ208" s="128">
        <f>DATA!IIC35</f>
        <v>0</v>
      </c>
      <c r="IIA208" s="128">
        <f>DATA!IID35</f>
        <v>0</v>
      </c>
      <c r="IIB208" s="128">
        <f>DATA!IIE35</f>
        <v>0</v>
      </c>
      <c r="IIC208" s="128">
        <f>DATA!IIF35</f>
        <v>0</v>
      </c>
      <c r="IID208" s="128">
        <f>DATA!IIG35</f>
        <v>0</v>
      </c>
      <c r="IIE208" s="128">
        <f>DATA!IIH35</f>
        <v>0</v>
      </c>
      <c r="IIF208" s="128">
        <f>DATA!III35</f>
        <v>0</v>
      </c>
      <c r="IIG208" s="128">
        <f>DATA!IIJ35</f>
        <v>0</v>
      </c>
      <c r="IIH208" s="128">
        <f>DATA!IIK35</f>
        <v>0</v>
      </c>
      <c r="III208" s="128">
        <f>DATA!IIL35</f>
        <v>0</v>
      </c>
      <c r="IIJ208" s="128">
        <f>DATA!IIM35</f>
        <v>0</v>
      </c>
      <c r="IIK208" s="128">
        <f>DATA!IIN35</f>
        <v>0</v>
      </c>
      <c r="IIL208" s="128">
        <f>DATA!IIO35</f>
        <v>0</v>
      </c>
      <c r="IIM208" s="128">
        <f>DATA!IIP35</f>
        <v>0</v>
      </c>
      <c r="IIN208" s="128">
        <f>DATA!IIQ35</f>
        <v>0</v>
      </c>
      <c r="IIO208" s="128">
        <f>DATA!IIR35</f>
        <v>0</v>
      </c>
      <c r="IIP208" s="128">
        <f>DATA!IIS35</f>
        <v>0</v>
      </c>
      <c r="IIQ208" s="128">
        <f>DATA!IIT35</f>
        <v>0</v>
      </c>
      <c r="IIR208" s="128">
        <f>DATA!IIU35</f>
        <v>0</v>
      </c>
      <c r="IIS208" s="128">
        <f>DATA!IIV35</f>
        <v>0</v>
      </c>
      <c r="IIT208" s="128">
        <f>DATA!IIW35</f>
        <v>0</v>
      </c>
      <c r="IIU208" s="128">
        <f>DATA!IIX35</f>
        <v>0</v>
      </c>
      <c r="IIV208" s="128">
        <f>DATA!IIY35</f>
        <v>0</v>
      </c>
      <c r="IIW208" s="128">
        <f>DATA!IIZ35</f>
        <v>0</v>
      </c>
      <c r="IIX208" s="128">
        <f>DATA!IJA35</f>
        <v>0</v>
      </c>
      <c r="IIY208" s="128">
        <f>DATA!IJB35</f>
        <v>0</v>
      </c>
      <c r="IIZ208" s="128">
        <f>DATA!IJC35</f>
        <v>0</v>
      </c>
      <c r="IJA208" s="128">
        <f>DATA!IJD35</f>
        <v>0</v>
      </c>
      <c r="IJB208" s="128">
        <f>DATA!IJE35</f>
        <v>0</v>
      </c>
      <c r="IJC208" s="128">
        <f>DATA!IJF35</f>
        <v>0</v>
      </c>
      <c r="IJD208" s="128">
        <f>DATA!IJG35</f>
        <v>0</v>
      </c>
      <c r="IJE208" s="128">
        <f>DATA!IJH35</f>
        <v>0</v>
      </c>
      <c r="IJF208" s="128">
        <f>DATA!IJI35</f>
        <v>0</v>
      </c>
      <c r="IJG208" s="128">
        <f>DATA!IJJ35</f>
        <v>0</v>
      </c>
      <c r="IJH208" s="128">
        <f>DATA!IJK35</f>
        <v>0</v>
      </c>
      <c r="IJI208" s="128">
        <f>DATA!IJL35</f>
        <v>0</v>
      </c>
      <c r="IJJ208" s="128">
        <f>DATA!IJM35</f>
        <v>0</v>
      </c>
      <c r="IJK208" s="128">
        <f>DATA!IJN35</f>
        <v>0</v>
      </c>
      <c r="IJL208" s="128">
        <f>DATA!IJO35</f>
        <v>0</v>
      </c>
      <c r="IJM208" s="128">
        <f>DATA!IJP35</f>
        <v>0</v>
      </c>
      <c r="IJN208" s="128">
        <f>DATA!IJQ35</f>
        <v>0</v>
      </c>
      <c r="IJO208" s="128">
        <f>DATA!IJR35</f>
        <v>0</v>
      </c>
      <c r="IJP208" s="128">
        <f>DATA!IJS35</f>
        <v>0</v>
      </c>
      <c r="IJQ208" s="128">
        <f>DATA!IJT35</f>
        <v>0</v>
      </c>
      <c r="IJR208" s="128">
        <f>DATA!IJU35</f>
        <v>0</v>
      </c>
      <c r="IJS208" s="128">
        <f>DATA!IJV35</f>
        <v>0</v>
      </c>
      <c r="IJT208" s="128">
        <f>DATA!IJW35</f>
        <v>0</v>
      </c>
      <c r="IJU208" s="128">
        <f>DATA!IJX35</f>
        <v>0</v>
      </c>
      <c r="IJV208" s="128">
        <f>DATA!IJY35</f>
        <v>0</v>
      </c>
      <c r="IJW208" s="128">
        <f>DATA!IJZ35</f>
        <v>0</v>
      </c>
      <c r="IJX208" s="128">
        <f>DATA!IKA35</f>
        <v>0</v>
      </c>
      <c r="IJY208" s="128">
        <f>DATA!IKB35</f>
        <v>0</v>
      </c>
      <c r="IJZ208" s="128">
        <f>DATA!IKC35</f>
        <v>0</v>
      </c>
      <c r="IKA208" s="128">
        <f>DATA!IKD35</f>
        <v>0</v>
      </c>
      <c r="IKB208" s="128">
        <f>DATA!IKE35</f>
        <v>0</v>
      </c>
      <c r="IKC208" s="128">
        <f>DATA!IKF35</f>
        <v>0</v>
      </c>
      <c r="IKD208" s="128">
        <f>DATA!IKG35</f>
        <v>0</v>
      </c>
      <c r="IKE208" s="128">
        <f>DATA!IKH35</f>
        <v>0</v>
      </c>
      <c r="IKF208" s="128">
        <f>DATA!IKI35</f>
        <v>0</v>
      </c>
      <c r="IKG208" s="128">
        <f>DATA!IKJ35</f>
        <v>0</v>
      </c>
      <c r="IKH208" s="128">
        <f>DATA!IKK35</f>
        <v>0</v>
      </c>
      <c r="IKI208" s="128">
        <f>DATA!IKL35</f>
        <v>0</v>
      </c>
      <c r="IKJ208" s="128">
        <f>DATA!IKM35</f>
        <v>0</v>
      </c>
      <c r="IKK208" s="128">
        <f>DATA!IKN35</f>
        <v>0</v>
      </c>
      <c r="IKL208" s="128">
        <f>DATA!IKO35</f>
        <v>0</v>
      </c>
      <c r="IKM208" s="128">
        <f>DATA!IKP35</f>
        <v>0</v>
      </c>
      <c r="IKN208" s="128">
        <f>DATA!IKQ35</f>
        <v>0</v>
      </c>
      <c r="IKO208" s="128">
        <f>DATA!IKR35</f>
        <v>0</v>
      </c>
      <c r="IKP208" s="128">
        <f>DATA!IKS35</f>
        <v>0</v>
      </c>
      <c r="IKQ208" s="128">
        <f>DATA!IKT35</f>
        <v>0</v>
      </c>
      <c r="IKR208" s="128">
        <f>DATA!IKU35</f>
        <v>0</v>
      </c>
      <c r="IKS208" s="128">
        <f>DATA!IKV35</f>
        <v>0</v>
      </c>
      <c r="IKT208" s="128">
        <f>DATA!IKW35</f>
        <v>0</v>
      </c>
      <c r="IKU208" s="128">
        <f>DATA!IKX35</f>
        <v>0</v>
      </c>
      <c r="IKV208" s="128">
        <f>DATA!IKY35</f>
        <v>0</v>
      </c>
      <c r="IKW208" s="128">
        <f>DATA!IKZ35</f>
        <v>0</v>
      </c>
      <c r="IKX208" s="128">
        <f>DATA!ILA35</f>
        <v>0</v>
      </c>
      <c r="IKY208" s="128">
        <f>DATA!ILB35</f>
        <v>0</v>
      </c>
      <c r="IKZ208" s="128">
        <f>DATA!ILC35</f>
        <v>0</v>
      </c>
      <c r="ILA208" s="128">
        <f>DATA!ILD35</f>
        <v>0</v>
      </c>
      <c r="ILB208" s="128">
        <f>DATA!ILE35</f>
        <v>0</v>
      </c>
      <c r="ILC208" s="128">
        <f>DATA!ILF35</f>
        <v>0</v>
      </c>
      <c r="ILD208" s="128">
        <f>DATA!ILG35</f>
        <v>0</v>
      </c>
      <c r="ILE208" s="128">
        <f>DATA!ILH35</f>
        <v>0</v>
      </c>
      <c r="ILF208" s="128">
        <f>DATA!ILI35</f>
        <v>0</v>
      </c>
      <c r="ILG208" s="128">
        <f>DATA!ILJ35</f>
        <v>0</v>
      </c>
      <c r="ILH208" s="128">
        <f>DATA!ILK35</f>
        <v>0</v>
      </c>
      <c r="ILI208" s="128">
        <f>DATA!ILL35</f>
        <v>0</v>
      </c>
      <c r="ILJ208" s="128">
        <f>DATA!ILM35</f>
        <v>0</v>
      </c>
      <c r="ILK208" s="128">
        <f>DATA!ILN35</f>
        <v>0</v>
      </c>
      <c r="ILL208" s="128">
        <f>DATA!ILO35</f>
        <v>0</v>
      </c>
      <c r="ILM208" s="128">
        <f>DATA!ILP35</f>
        <v>0</v>
      </c>
      <c r="ILN208" s="128">
        <f>DATA!ILQ35</f>
        <v>0</v>
      </c>
      <c r="ILO208" s="128">
        <f>DATA!ILR35</f>
        <v>0</v>
      </c>
      <c r="ILP208" s="128">
        <f>DATA!ILS35</f>
        <v>0</v>
      </c>
      <c r="ILQ208" s="128">
        <f>DATA!ILT35</f>
        <v>0</v>
      </c>
      <c r="ILR208" s="128">
        <f>DATA!ILU35</f>
        <v>0</v>
      </c>
      <c r="ILS208" s="128">
        <f>DATA!ILV35</f>
        <v>0</v>
      </c>
      <c r="ILT208" s="128">
        <f>DATA!ILW35</f>
        <v>0</v>
      </c>
      <c r="ILU208" s="128">
        <f>DATA!ILX35</f>
        <v>0</v>
      </c>
      <c r="ILV208" s="128">
        <f>DATA!ILY35</f>
        <v>0</v>
      </c>
      <c r="ILW208" s="128">
        <f>DATA!ILZ35</f>
        <v>0</v>
      </c>
      <c r="ILX208" s="128">
        <f>DATA!IMA35</f>
        <v>0</v>
      </c>
      <c r="ILY208" s="128">
        <f>DATA!IMB35</f>
        <v>0</v>
      </c>
      <c r="ILZ208" s="128">
        <f>DATA!IMC35</f>
        <v>0</v>
      </c>
      <c r="IMA208" s="128">
        <f>DATA!IMD35</f>
        <v>0</v>
      </c>
      <c r="IMB208" s="128">
        <f>DATA!IME35</f>
        <v>0</v>
      </c>
      <c r="IMC208" s="128">
        <f>DATA!IMF35</f>
        <v>0</v>
      </c>
      <c r="IMD208" s="128">
        <f>DATA!IMG35</f>
        <v>0</v>
      </c>
      <c r="IME208" s="128">
        <f>DATA!IMH35</f>
        <v>0</v>
      </c>
      <c r="IMF208" s="128">
        <f>DATA!IMI35</f>
        <v>0</v>
      </c>
      <c r="IMG208" s="128">
        <f>DATA!IMJ35</f>
        <v>0</v>
      </c>
      <c r="IMH208" s="128">
        <f>DATA!IMK35</f>
        <v>0</v>
      </c>
      <c r="IMI208" s="128">
        <f>DATA!IML35</f>
        <v>0</v>
      </c>
      <c r="IMJ208" s="128">
        <f>DATA!IMM35</f>
        <v>0</v>
      </c>
      <c r="IMK208" s="128">
        <f>DATA!IMN35</f>
        <v>0</v>
      </c>
      <c r="IML208" s="128">
        <f>DATA!IMO35</f>
        <v>0</v>
      </c>
      <c r="IMM208" s="128">
        <f>DATA!IMP35</f>
        <v>0</v>
      </c>
      <c r="IMN208" s="128">
        <f>DATA!IMQ35</f>
        <v>0</v>
      </c>
      <c r="IMO208" s="128">
        <f>DATA!IMR35</f>
        <v>0</v>
      </c>
      <c r="IMP208" s="128">
        <f>DATA!IMS35</f>
        <v>0</v>
      </c>
      <c r="IMQ208" s="128">
        <f>DATA!IMT35</f>
        <v>0</v>
      </c>
      <c r="IMR208" s="128">
        <f>DATA!IMU35</f>
        <v>0</v>
      </c>
      <c r="IMS208" s="128">
        <f>DATA!IMV35</f>
        <v>0</v>
      </c>
      <c r="IMT208" s="128">
        <f>DATA!IMW35</f>
        <v>0</v>
      </c>
      <c r="IMU208" s="128">
        <f>DATA!IMX35</f>
        <v>0</v>
      </c>
      <c r="IMV208" s="128">
        <f>DATA!IMY35</f>
        <v>0</v>
      </c>
      <c r="IMW208" s="128">
        <f>DATA!IMZ35</f>
        <v>0</v>
      </c>
      <c r="IMX208" s="128">
        <f>DATA!INA35</f>
        <v>0</v>
      </c>
      <c r="IMY208" s="128">
        <f>DATA!INB35</f>
        <v>0</v>
      </c>
      <c r="IMZ208" s="128">
        <f>DATA!INC35</f>
        <v>0</v>
      </c>
      <c r="INA208" s="128">
        <f>DATA!IND35</f>
        <v>0</v>
      </c>
      <c r="INB208" s="128">
        <f>DATA!INE35</f>
        <v>0</v>
      </c>
      <c r="INC208" s="128">
        <f>DATA!INF35</f>
        <v>0</v>
      </c>
      <c r="IND208" s="128">
        <f>DATA!ING35</f>
        <v>0</v>
      </c>
      <c r="INE208" s="128">
        <f>DATA!INH35</f>
        <v>0</v>
      </c>
      <c r="INF208" s="128">
        <f>DATA!INI35</f>
        <v>0</v>
      </c>
      <c r="ING208" s="128">
        <f>DATA!INJ35</f>
        <v>0</v>
      </c>
      <c r="INH208" s="128">
        <f>DATA!INK35</f>
        <v>0</v>
      </c>
      <c r="INI208" s="128">
        <f>DATA!INL35</f>
        <v>0</v>
      </c>
      <c r="INJ208" s="128">
        <f>DATA!INM35</f>
        <v>0</v>
      </c>
      <c r="INK208" s="128">
        <f>DATA!INN35</f>
        <v>0</v>
      </c>
      <c r="INL208" s="128">
        <f>DATA!INO35</f>
        <v>0</v>
      </c>
      <c r="INM208" s="128">
        <f>DATA!INP35</f>
        <v>0</v>
      </c>
      <c r="INN208" s="128">
        <f>DATA!INQ35</f>
        <v>0</v>
      </c>
      <c r="INO208" s="128">
        <f>DATA!INR35</f>
        <v>0</v>
      </c>
      <c r="INP208" s="128">
        <f>DATA!INS35</f>
        <v>0</v>
      </c>
      <c r="INQ208" s="128">
        <f>DATA!INT35</f>
        <v>0</v>
      </c>
      <c r="INR208" s="128">
        <f>DATA!INU35</f>
        <v>0</v>
      </c>
      <c r="INS208" s="128">
        <f>DATA!INV35</f>
        <v>0</v>
      </c>
      <c r="INT208" s="128">
        <f>DATA!INW35</f>
        <v>0</v>
      </c>
      <c r="INU208" s="128">
        <f>DATA!INX35</f>
        <v>0</v>
      </c>
      <c r="INV208" s="128">
        <f>DATA!INY35</f>
        <v>0</v>
      </c>
      <c r="INW208" s="128">
        <f>DATA!INZ35</f>
        <v>0</v>
      </c>
      <c r="INX208" s="128">
        <f>DATA!IOA35</f>
        <v>0</v>
      </c>
      <c r="INY208" s="128">
        <f>DATA!IOB35</f>
        <v>0</v>
      </c>
      <c r="INZ208" s="128">
        <f>DATA!IOC35</f>
        <v>0</v>
      </c>
      <c r="IOA208" s="128">
        <f>DATA!IOD35</f>
        <v>0</v>
      </c>
      <c r="IOB208" s="128">
        <f>DATA!IOE35</f>
        <v>0</v>
      </c>
      <c r="IOC208" s="128">
        <f>DATA!IOF35</f>
        <v>0</v>
      </c>
      <c r="IOD208" s="128">
        <f>DATA!IOG35</f>
        <v>0</v>
      </c>
      <c r="IOE208" s="128">
        <f>DATA!IOH35</f>
        <v>0</v>
      </c>
      <c r="IOF208" s="128">
        <f>DATA!IOI35</f>
        <v>0</v>
      </c>
      <c r="IOG208" s="128">
        <f>DATA!IOJ35</f>
        <v>0</v>
      </c>
      <c r="IOH208" s="128">
        <f>DATA!IOK35</f>
        <v>0</v>
      </c>
      <c r="IOI208" s="128">
        <f>DATA!IOL35</f>
        <v>0</v>
      </c>
      <c r="IOJ208" s="128">
        <f>DATA!IOM35</f>
        <v>0</v>
      </c>
      <c r="IOK208" s="128">
        <f>DATA!ION35</f>
        <v>0</v>
      </c>
      <c r="IOL208" s="128">
        <f>DATA!IOO35</f>
        <v>0</v>
      </c>
      <c r="IOM208" s="128">
        <f>DATA!IOP35</f>
        <v>0</v>
      </c>
      <c r="ION208" s="128">
        <f>DATA!IOQ35</f>
        <v>0</v>
      </c>
      <c r="IOO208" s="128">
        <f>DATA!IOR35</f>
        <v>0</v>
      </c>
      <c r="IOP208" s="128">
        <f>DATA!IOS35</f>
        <v>0</v>
      </c>
      <c r="IOQ208" s="128">
        <f>DATA!IOT35</f>
        <v>0</v>
      </c>
      <c r="IOR208" s="128">
        <f>DATA!IOU35</f>
        <v>0</v>
      </c>
      <c r="IOS208" s="128">
        <f>DATA!IOV35</f>
        <v>0</v>
      </c>
      <c r="IOT208" s="128">
        <f>DATA!IOW35</f>
        <v>0</v>
      </c>
      <c r="IOU208" s="128">
        <f>DATA!IOX35</f>
        <v>0</v>
      </c>
      <c r="IOV208" s="128">
        <f>DATA!IOY35</f>
        <v>0</v>
      </c>
      <c r="IOW208" s="128">
        <f>DATA!IOZ35</f>
        <v>0</v>
      </c>
      <c r="IOX208" s="128">
        <f>DATA!IPA35</f>
        <v>0</v>
      </c>
      <c r="IOY208" s="128">
        <f>DATA!IPB35</f>
        <v>0</v>
      </c>
      <c r="IOZ208" s="128">
        <f>DATA!IPC35</f>
        <v>0</v>
      </c>
      <c r="IPA208" s="128">
        <f>DATA!IPD35</f>
        <v>0</v>
      </c>
      <c r="IPB208" s="128">
        <f>DATA!IPE35</f>
        <v>0</v>
      </c>
      <c r="IPC208" s="128">
        <f>DATA!IPF35</f>
        <v>0</v>
      </c>
      <c r="IPD208" s="128">
        <f>DATA!IPG35</f>
        <v>0</v>
      </c>
      <c r="IPE208" s="128">
        <f>DATA!IPH35</f>
        <v>0</v>
      </c>
      <c r="IPF208" s="128">
        <f>DATA!IPI35</f>
        <v>0</v>
      </c>
      <c r="IPG208" s="128">
        <f>DATA!IPJ35</f>
        <v>0</v>
      </c>
      <c r="IPH208" s="128">
        <f>DATA!IPK35</f>
        <v>0</v>
      </c>
      <c r="IPI208" s="128">
        <f>DATA!IPL35</f>
        <v>0</v>
      </c>
      <c r="IPJ208" s="128">
        <f>DATA!IPM35</f>
        <v>0</v>
      </c>
      <c r="IPK208" s="128">
        <f>DATA!IPN35</f>
        <v>0</v>
      </c>
      <c r="IPL208" s="128">
        <f>DATA!IPO35</f>
        <v>0</v>
      </c>
      <c r="IPM208" s="128">
        <f>DATA!IPP35</f>
        <v>0</v>
      </c>
      <c r="IPN208" s="128">
        <f>DATA!IPQ35</f>
        <v>0</v>
      </c>
      <c r="IPO208" s="128">
        <f>DATA!IPR35</f>
        <v>0</v>
      </c>
      <c r="IPP208" s="128">
        <f>DATA!IPS35</f>
        <v>0</v>
      </c>
      <c r="IPQ208" s="128">
        <f>DATA!IPT35</f>
        <v>0</v>
      </c>
      <c r="IPR208" s="128">
        <f>DATA!IPU35</f>
        <v>0</v>
      </c>
      <c r="IPS208" s="128">
        <f>DATA!IPV35</f>
        <v>0</v>
      </c>
      <c r="IPT208" s="128">
        <f>DATA!IPW35</f>
        <v>0</v>
      </c>
      <c r="IPU208" s="128">
        <f>DATA!IPX35</f>
        <v>0</v>
      </c>
      <c r="IPV208" s="128">
        <f>DATA!IPY35</f>
        <v>0</v>
      </c>
      <c r="IPW208" s="128">
        <f>DATA!IPZ35</f>
        <v>0</v>
      </c>
      <c r="IPX208" s="128">
        <f>DATA!IQA35</f>
        <v>0</v>
      </c>
      <c r="IPY208" s="128">
        <f>DATA!IQB35</f>
        <v>0</v>
      </c>
      <c r="IPZ208" s="128">
        <f>DATA!IQC35</f>
        <v>0</v>
      </c>
      <c r="IQA208" s="128">
        <f>DATA!IQD35</f>
        <v>0</v>
      </c>
      <c r="IQB208" s="128">
        <f>DATA!IQE35</f>
        <v>0</v>
      </c>
      <c r="IQC208" s="128">
        <f>DATA!IQF35</f>
        <v>0</v>
      </c>
      <c r="IQD208" s="128">
        <f>DATA!IQG35</f>
        <v>0</v>
      </c>
      <c r="IQE208" s="128">
        <f>DATA!IQH35</f>
        <v>0</v>
      </c>
      <c r="IQF208" s="128">
        <f>DATA!IQI35</f>
        <v>0</v>
      </c>
      <c r="IQG208" s="128">
        <f>DATA!IQJ35</f>
        <v>0</v>
      </c>
      <c r="IQH208" s="128">
        <f>DATA!IQK35</f>
        <v>0</v>
      </c>
      <c r="IQI208" s="128">
        <f>DATA!IQL35</f>
        <v>0</v>
      </c>
      <c r="IQJ208" s="128">
        <f>DATA!IQM35</f>
        <v>0</v>
      </c>
      <c r="IQK208" s="128">
        <f>DATA!IQN35</f>
        <v>0</v>
      </c>
      <c r="IQL208" s="128">
        <f>DATA!IQO35</f>
        <v>0</v>
      </c>
      <c r="IQM208" s="128">
        <f>DATA!IQP35</f>
        <v>0</v>
      </c>
      <c r="IQN208" s="128">
        <f>DATA!IQQ35</f>
        <v>0</v>
      </c>
      <c r="IQO208" s="128">
        <f>DATA!IQR35</f>
        <v>0</v>
      </c>
      <c r="IQP208" s="128">
        <f>DATA!IQS35</f>
        <v>0</v>
      </c>
      <c r="IQQ208" s="128">
        <f>DATA!IQT35</f>
        <v>0</v>
      </c>
      <c r="IQR208" s="128">
        <f>DATA!IQU35</f>
        <v>0</v>
      </c>
      <c r="IQS208" s="128">
        <f>DATA!IQV35</f>
        <v>0</v>
      </c>
      <c r="IQT208" s="128">
        <f>DATA!IQW35</f>
        <v>0</v>
      </c>
      <c r="IQU208" s="128">
        <f>DATA!IQX35</f>
        <v>0</v>
      </c>
      <c r="IQV208" s="128">
        <f>DATA!IQY35</f>
        <v>0</v>
      </c>
      <c r="IQW208" s="128">
        <f>DATA!IQZ35</f>
        <v>0</v>
      </c>
      <c r="IQX208" s="128">
        <f>DATA!IRA35</f>
        <v>0</v>
      </c>
      <c r="IQY208" s="128">
        <f>DATA!IRB35</f>
        <v>0</v>
      </c>
      <c r="IQZ208" s="128">
        <f>DATA!IRC35</f>
        <v>0</v>
      </c>
      <c r="IRA208" s="128">
        <f>DATA!IRD35</f>
        <v>0</v>
      </c>
      <c r="IRB208" s="128">
        <f>DATA!IRE35</f>
        <v>0</v>
      </c>
      <c r="IRC208" s="128">
        <f>DATA!IRF35</f>
        <v>0</v>
      </c>
      <c r="IRD208" s="128">
        <f>DATA!IRG35</f>
        <v>0</v>
      </c>
      <c r="IRE208" s="128">
        <f>DATA!IRH35</f>
        <v>0</v>
      </c>
      <c r="IRF208" s="128">
        <f>DATA!IRI35</f>
        <v>0</v>
      </c>
      <c r="IRG208" s="128">
        <f>DATA!IRJ35</f>
        <v>0</v>
      </c>
      <c r="IRH208" s="128">
        <f>DATA!IRK35</f>
        <v>0</v>
      </c>
      <c r="IRI208" s="128">
        <f>DATA!IRL35</f>
        <v>0</v>
      </c>
      <c r="IRJ208" s="128">
        <f>DATA!IRM35</f>
        <v>0</v>
      </c>
      <c r="IRK208" s="128">
        <f>DATA!IRN35</f>
        <v>0</v>
      </c>
      <c r="IRL208" s="128">
        <f>DATA!IRO35</f>
        <v>0</v>
      </c>
      <c r="IRM208" s="128">
        <f>DATA!IRP35</f>
        <v>0</v>
      </c>
      <c r="IRN208" s="128">
        <f>DATA!IRQ35</f>
        <v>0</v>
      </c>
      <c r="IRO208" s="128">
        <f>DATA!IRR35</f>
        <v>0</v>
      </c>
      <c r="IRP208" s="128">
        <f>DATA!IRS35</f>
        <v>0</v>
      </c>
      <c r="IRQ208" s="128">
        <f>DATA!IRT35</f>
        <v>0</v>
      </c>
      <c r="IRR208" s="128">
        <f>DATA!IRU35</f>
        <v>0</v>
      </c>
      <c r="IRS208" s="128">
        <f>DATA!IRV35</f>
        <v>0</v>
      </c>
      <c r="IRT208" s="128">
        <f>DATA!IRW35</f>
        <v>0</v>
      </c>
      <c r="IRU208" s="128">
        <f>DATA!IRX35</f>
        <v>0</v>
      </c>
      <c r="IRV208" s="128">
        <f>DATA!IRY35</f>
        <v>0</v>
      </c>
      <c r="IRW208" s="128">
        <f>DATA!IRZ35</f>
        <v>0</v>
      </c>
      <c r="IRX208" s="128">
        <f>DATA!ISA35</f>
        <v>0</v>
      </c>
      <c r="IRY208" s="128">
        <f>DATA!ISB35</f>
        <v>0</v>
      </c>
      <c r="IRZ208" s="128">
        <f>DATA!ISC35</f>
        <v>0</v>
      </c>
      <c r="ISA208" s="128">
        <f>DATA!ISD35</f>
        <v>0</v>
      </c>
      <c r="ISB208" s="128">
        <f>DATA!ISE35</f>
        <v>0</v>
      </c>
      <c r="ISC208" s="128">
        <f>DATA!ISF35</f>
        <v>0</v>
      </c>
      <c r="ISD208" s="128">
        <f>DATA!ISG35</f>
        <v>0</v>
      </c>
      <c r="ISE208" s="128">
        <f>DATA!ISH35</f>
        <v>0</v>
      </c>
      <c r="ISF208" s="128">
        <f>DATA!ISI35</f>
        <v>0</v>
      </c>
      <c r="ISG208" s="128">
        <f>DATA!ISJ35</f>
        <v>0</v>
      </c>
      <c r="ISH208" s="128">
        <f>DATA!ISK35</f>
        <v>0</v>
      </c>
      <c r="ISI208" s="128">
        <f>DATA!ISL35</f>
        <v>0</v>
      </c>
      <c r="ISJ208" s="128">
        <f>DATA!ISM35</f>
        <v>0</v>
      </c>
      <c r="ISK208" s="128">
        <f>DATA!ISN35</f>
        <v>0</v>
      </c>
      <c r="ISL208" s="128">
        <f>DATA!ISO35</f>
        <v>0</v>
      </c>
      <c r="ISM208" s="128">
        <f>DATA!ISP35</f>
        <v>0</v>
      </c>
      <c r="ISN208" s="128">
        <f>DATA!ISQ35</f>
        <v>0</v>
      </c>
      <c r="ISO208" s="128">
        <f>DATA!ISR35</f>
        <v>0</v>
      </c>
      <c r="ISP208" s="128">
        <f>DATA!ISS35</f>
        <v>0</v>
      </c>
      <c r="ISQ208" s="128">
        <f>DATA!IST35</f>
        <v>0</v>
      </c>
      <c r="ISR208" s="128">
        <f>DATA!ISU35</f>
        <v>0</v>
      </c>
      <c r="ISS208" s="128">
        <f>DATA!ISV35</f>
        <v>0</v>
      </c>
      <c r="IST208" s="128">
        <f>DATA!ISW35</f>
        <v>0</v>
      </c>
      <c r="ISU208" s="128">
        <f>DATA!ISX35</f>
        <v>0</v>
      </c>
      <c r="ISV208" s="128">
        <f>DATA!ISY35</f>
        <v>0</v>
      </c>
      <c r="ISW208" s="128">
        <f>DATA!ISZ35</f>
        <v>0</v>
      </c>
      <c r="ISX208" s="128">
        <f>DATA!ITA35</f>
        <v>0</v>
      </c>
      <c r="ISY208" s="128">
        <f>DATA!ITB35</f>
        <v>0</v>
      </c>
      <c r="ISZ208" s="128">
        <f>DATA!ITC35</f>
        <v>0</v>
      </c>
      <c r="ITA208" s="128">
        <f>DATA!ITD35</f>
        <v>0</v>
      </c>
      <c r="ITB208" s="128">
        <f>DATA!ITE35</f>
        <v>0</v>
      </c>
      <c r="ITC208" s="128">
        <f>DATA!ITF35</f>
        <v>0</v>
      </c>
      <c r="ITD208" s="128">
        <f>DATA!ITG35</f>
        <v>0</v>
      </c>
      <c r="ITE208" s="128">
        <f>DATA!ITH35</f>
        <v>0</v>
      </c>
      <c r="ITF208" s="128">
        <f>DATA!ITI35</f>
        <v>0</v>
      </c>
      <c r="ITG208" s="128">
        <f>DATA!ITJ35</f>
        <v>0</v>
      </c>
      <c r="ITH208" s="128">
        <f>DATA!ITK35</f>
        <v>0</v>
      </c>
      <c r="ITI208" s="128">
        <f>DATA!ITL35</f>
        <v>0</v>
      </c>
      <c r="ITJ208" s="128">
        <f>DATA!ITM35</f>
        <v>0</v>
      </c>
      <c r="ITK208" s="128">
        <f>DATA!ITN35</f>
        <v>0</v>
      </c>
      <c r="ITL208" s="128">
        <f>DATA!ITO35</f>
        <v>0</v>
      </c>
      <c r="ITM208" s="128">
        <f>DATA!ITP35</f>
        <v>0</v>
      </c>
      <c r="ITN208" s="128">
        <f>DATA!ITQ35</f>
        <v>0</v>
      </c>
      <c r="ITO208" s="128">
        <f>DATA!ITR35</f>
        <v>0</v>
      </c>
      <c r="ITP208" s="128">
        <f>DATA!ITS35</f>
        <v>0</v>
      </c>
      <c r="ITQ208" s="128">
        <f>DATA!ITT35</f>
        <v>0</v>
      </c>
      <c r="ITR208" s="128">
        <f>DATA!ITU35</f>
        <v>0</v>
      </c>
      <c r="ITS208" s="128">
        <f>DATA!ITV35</f>
        <v>0</v>
      </c>
      <c r="ITT208" s="128">
        <f>DATA!ITW35</f>
        <v>0</v>
      </c>
      <c r="ITU208" s="128">
        <f>DATA!ITX35</f>
        <v>0</v>
      </c>
      <c r="ITV208" s="128">
        <f>DATA!ITY35</f>
        <v>0</v>
      </c>
      <c r="ITW208" s="128">
        <f>DATA!ITZ35</f>
        <v>0</v>
      </c>
      <c r="ITX208" s="128">
        <f>DATA!IUA35</f>
        <v>0</v>
      </c>
      <c r="ITY208" s="128">
        <f>DATA!IUB35</f>
        <v>0</v>
      </c>
      <c r="ITZ208" s="128">
        <f>DATA!IUC35</f>
        <v>0</v>
      </c>
      <c r="IUA208" s="128">
        <f>DATA!IUD35</f>
        <v>0</v>
      </c>
      <c r="IUB208" s="128">
        <f>DATA!IUE35</f>
        <v>0</v>
      </c>
      <c r="IUC208" s="128">
        <f>DATA!IUF35</f>
        <v>0</v>
      </c>
      <c r="IUD208" s="128">
        <f>DATA!IUG35</f>
        <v>0</v>
      </c>
      <c r="IUE208" s="128">
        <f>DATA!IUH35</f>
        <v>0</v>
      </c>
      <c r="IUF208" s="128">
        <f>DATA!IUI35</f>
        <v>0</v>
      </c>
      <c r="IUG208" s="128">
        <f>DATA!IUJ35</f>
        <v>0</v>
      </c>
      <c r="IUH208" s="128">
        <f>DATA!IUK35</f>
        <v>0</v>
      </c>
      <c r="IUI208" s="128">
        <f>DATA!IUL35</f>
        <v>0</v>
      </c>
      <c r="IUJ208" s="128">
        <f>DATA!IUM35</f>
        <v>0</v>
      </c>
      <c r="IUK208" s="128">
        <f>DATA!IUN35</f>
        <v>0</v>
      </c>
      <c r="IUL208" s="128">
        <f>DATA!IUO35</f>
        <v>0</v>
      </c>
      <c r="IUM208" s="128">
        <f>DATA!IUP35</f>
        <v>0</v>
      </c>
      <c r="IUN208" s="128">
        <f>DATA!IUQ35</f>
        <v>0</v>
      </c>
      <c r="IUO208" s="128">
        <f>DATA!IUR35</f>
        <v>0</v>
      </c>
      <c r="IUP208" s="128">
        <f>DATA!IUS35</f>
        <v>0</v>
      </c>
      <c r="IUQ208" s="128">
        <f>DATA!IUT35</f>
        <v>0</v>
      </c>
      <c r="IUR208" s="128">
        <f>DATA!IUU35</f>
        <v>0</v>
      </c>
      <c r="IUS208" s="128">
        <f>DATA!IUV35</f>
        <v>0</v>
      </c>
      <c r="IUT208" s="128">
        <f>DATA!IUW35</f>
        <v>0</v>
      </c>
      <c r="IUU208" s="128">
        <f>DATA!IUX35</f>
        <v>0</v>
      </c>
      <c r="IUV208" s="128">
        <f>DATA!IUY35</f>
        <v>0</v>
      </c>
      <c r="IUW208" s="128">
        <f>DATA!IUZ35</f>
        <v>0</v>
      </c>
      <c r="IUX208" s="128">
        <f>DATA!IVA35</f>
        <v>0</v>
      </c>
      <c r="IUY208" s="128">
        <f>DATA!IVB35</f>
        <v>0</v>
      </c>
      <c r="IUZ208" s="128">
        <f>DATA!IVC35</f>
        <v>0</v>
      </c>
      <c r="IVA208" s="128">
        <f>DATA!IVD35</f>
        <v>0</v>
      </c>
      <c r="IVB208" s="128">
        <f>DATA!IVE35</f>
        <v>0</v>
      </c>
      <c r="IVC208" s="128">
        <f>DATA!IVF35</f>
        <v>0</v>
      </c>
      <c r="IVD208" s="128">
        <f>DATA!IVG35</f>
        <v>0</v>
      </c>
      <c r="IVE208" s="128">
        <f>DATA!IVH35</f>
        <v>0</v>
      </c>
      <c r="IVF208" s="128">
        <f>DATA!IVI35</f>
        <v>0</v>
      </c>
      <c r="IVG208" s="128">
        <f>DATA!IVJ35</f>
        <v>0</v>
      </c>
      <c r="IVH208" s="128">
        <f>DATA!IVK35</f>
        <v>0</v>
      </c>
      <c r="IVI208" s="128">
        <f>DATA!IVL35</f>
        <v>0</v>
      </c>
      <c r="IVJ208" s="128">
        <f>DATA!IVM35</f>
        <v>0</v>
      </c>
      <c r="IVK208" s="128">
        <f>DATA!IVN35</f>
        <v>0</v>
      </c>
      <c r="IVL208" s="128">
        <f>DATA!IVO35</f>
        <v>0</v>
      </c>
      <c r="IVM208" s="128">
        <f>DATA!IVP35</f>
        <v>0</v>
      </c>
      <c r="IVN208" s="128">
        <f>DATA!IVQ35</f>
        <v>0</v>
      </c>
      <c r="IVO208" s="128">
        <f>DATA!IVR35</f>
        <v>0</v>
      </c>
      <c r="IVP208" s="128">
        <f>DATA!IVS35</f>
        <v>0</v>
      </c>
      <c r="IVQ208" s="128">
        <f>DATA!IVT35</f>
        <v>0</v>
      </c>
      <c r="IVR208" s="128">
        <f>DATA!IVU35</f>
        <v>0</v>
      </c>
      <c r="IVS208" s="128">
        <f>DATA!IVV35</f>
        <v>0</v>
      </c>
      <c r="IVT208" s="128">
        <f>DATA!IVW35</f>
        <v>0</v>
      </c>
      <c r="IVU208" s="128">
        <f>DATA!IVX35</f>
        <v>0</v>
      </c>
      <c r="IVV208" s="128">
        <f>DATA!IVY35</f>
        <v>0</v>
      </c>
      <c r="IVW208" s="128">
        <f>DATA!IVZ35</f>
        <v>0</v>
      </c>
      <c r="IVX208" s="128">
        <f>DATA!IWA35</f>
        <v>0</v>
      </c>
      <c r="IVY208" s="128">
        <f>DATA!IWB35</f>
        <v>0</v>
      </c>
      <c r="IVZ208" s="128">
        <f>DATA!IWC35</f>
        <v>0</v>
      </c>
      <c r="IWA208" s="128">
        <f>DATA!IWD35</f>
        <v>0</v>
      </c>
      <c r="IWB208" s="128">
        <f>DATA!IWE35</f>
        <v>0</v>
      </c>
      <c r="IWC208" s="128">
        <f>DATA!IWF35</f>
        <v>0</v>
      </c>
      <c r="IWD208" s="128">
        <f>DATA!IWG35</f>
        <v>0</v>
      </c>
      <c r="IWE208" s="128">
        <f>DATA!IWH35</f>
        <v>0</v>
      </c>
      <c r="IWF208" s="128">
        <f>DATA!IWI35</f>
        <v>0</v>
      </c>
      <c r="IWG208" s="128">
        <f>DATA!IWJ35</f>
        <v>0</v>
      </c>
      <c r="IWH208" s="128">
        <f>DATA!IWK35</f>
        <v>0</v>
      </c>
      <c r="IWI208" s="128">
        <f>DATA!IWL35</f>
        <v>0</v>
      </c>
      <c r="IWJ208" s="128">
        <f>DATA!IWM35</f>
        <v>0</v>
      </c>
      <c r="IWK208" s="128">
        <f>DATA!IWN35</f>
        <v>0</v>
      </c>
      <c r="IWL208" s="128">
        <f>DATA!IWO35</f>
        <v>0</v>
      </c>
      <c r="IWM208" s="128">
        <f>DATA!IWP35</f>
        <v>0</v>
      </c>
      <c r="IWN208" s="128">
        <f>DATA!IWQ35</f>
        <v>0</v>
      </c>
      <c r="IWO208" s="128">
        <f>DATA!IWR35</f>
        <v>0</v>
      </c>
      <c r="IWP208" s="128">
        <f>DATA!IWS35</f>
        <v>0</v>
      </c>
      <c r="IWQ208" s="128">
        <f>DATA!IWT35</f>
        <v>0</v>
      </c>
      <c r="IWR208" s="128">
        <f>DATA!IWU35</f>
        <v>0</v>
      </c>
      <c r="IWS208" s="128">
        <f>DATA!IWV35</f>
        <v>0</v>
      </c>
      <c r="IWT208" s="128">
        <f>DATA!IWW35</f>
        <v>0</v>
      </c>
      <c r="IWU208" s="128">
        <f>DATA!IWX35</f>
        <v>0</v>
      </c>
      <c r="IWV208" s="128">
        <f>DATA!IWY35</f>
        <v>0</v>
      </c>
      <c r="IWW208" s="128">
        <f>DATA!IWZ35</f>
        <v>0</v>
      </c>
      <c r="IWX208" s="128">
        <f>DATA!IXA35</f>
        <v>0</v>
      </c>
      <c r="IWY208" s="128">
        <f>DATA!IXB35</f>
        <v>0</v>
      </c>
      <c r="IWZ208" s="128">
        <f>DATA!IXC35</f>
        <v>0</v>
      </c>
      <c r="IXA208" s="128">
        <f>DATA!IXD35</f>
        <v>0</v>
      </c>
      <c r="IXB208" s="128">
        <f>DATA!IXE35</f>
        <v>0</v>
      </c>
      <c r="IXC208" s="128">
        <f>DATA!IXF35</f>
        <v>0</v>
      </c>
      <c r="IXD208" s="128">
        <f>DATA!IXG35</f>
        <v>0</v>
      </c>
      <c r="IXE208" s="128">
        <f>DATA!IXH35</f>
        <v>0</v>
      </c>
      <c r="IXF208" s="128">
        <f>DATA!IXI35</f>
        <v>0</v>
      </c>
      <c r="IXG208" s="128">
        <f>DATA!IXJ35</f>
        <v>0</v>
      </c>
      <c r="IXH208" s="128">
        <f>DATA!IXK35</f>
        <v>0</v>
      </c>
      <c r="IXI208" s="128">
        <f>DATA!IXL35</f>
        <v>0</v>
      </c>
      <c r="IXJ208" s="128">
        <f>DATA!IXM35</f>
        <v>0</v>
      </c>
      <c r="IXK208" s="128">
        <f>DATA!IXN35</f>
        <v>0</v>
      </c>
      <c r="IXL208" s="128">
        <f>DATA!IXO35</f>
        <v>0</v>
      </c>
      <c r="IXM208" s="128">
        <f>DATA!IXP35</f>
        <v>0</v>
      </c>
      <c r="IXN208" s="128">
        <f>DATA!IXQ35</f>
        <v>0</v>
      </c>
      <c r="IXO208" s="128">
        <f>DATA!IXR35</f>
        <v>0</v>
      </c>
      <c r="IXP208" s="128">
        <f>DATA!IXS35</f>
        <v>0</v>
      </c>
      <c r="IXQ208" s="128">
        <f>DATA!IXT35</f>
        <v>0</v>
      </c>
      <c r="IXR208" s="128">
        <f>DATA!IXU35</f>
        <v>0</v>
      </c>
      <c r="IXS208" s="128">
        <f>DATA!IXV35</f>
        <v>0</v>
      </c>
      <c r="IXT208" s="128">
        <f>DATA!IXW35</f>
        <v>0</v>
      </c>
      <c r="IXU208" s="128">
        <f>DATA!IXX35</f>
        <v>0</v>
      </c>
      <c r="IXV208" s="128">
        <f>DATA!IXY35</f>
        <v>0</v>
      </c>
      <c r="IXW208" s="128">
        <f>DATA!IXZ35</f>
        <v>0</v>
      </c>
      <c r="IXX208" s="128">
        <f>DATA!IYA35</f>
        <v>0</v>
      </c>
      <c r="IXY208" s="128">
        <f>DATA!IYB35</f>
        <v>0</v>
      </c>
      <c r="IXZ208" s="128">
        <f>DATA!IYC35</f>
        <v>0</v>
      </c>
      <c r="IYA208" s="128">
        <f>DATA!IYD35</f>
        <v>0</v>
      </c>
      <c r="IYB208" s="128">
        <f>DATA!IYE35</f>
        <v>0</v>
      </c>
      <c r="IYC208" s="128">
        <f>DATA!IYF35</f>
        <v>0</v>
      </c>
      <c r="IYD208" s="128">
        <f>DATA!IYG35</f>
        <v>0</v>
      </c>
      <c r="IYE208" s="128">
        <f>DATA!IYH35</f>
        <v>0</v>
      </c>
      <c r="IYF208" s="128">
        <f>DATA!IYI35</f>
        <v>0</v>
      </c>
      <c r="IYG208" s="128">
        <f>DATA!IYJ35</f>
        <v>0</v>
      </c>
      <c r="IYH208" s="128">
        <f>DATA!IYK35</f>
        <v>0</v>
      </c>
      <c r="IYI208" s="128">
        <f>DATA!IYL35</f>
        <v>0</v>
      </c>
      <c r="IYJ208" s="128">
        <f>DATA!IYM35</f>
        <v>0</v>
      </c>
      <c r="IYK208" s="128">
        <f>DATA!IYN35</f>
        <v>0</v>
      </c>
      <c r="IYL208" s="128">
        <f>DATA!IYO35</f>
        <v>0</v>
      </c>
      <c r="IYM208" s="128">
        <f>DATA!IYP35</f>
        <v>0</v>
      </c>
      <c r="IYN208" s="128">
        <f>DATA!IYQ35</f>
        <v>0</v>
      </c>
      <c r="IYO208" s="128">
        <f>DATA!IYR35</f>
        <v>0</v>
      </c>
      <c r="IYP208" s="128">
        <f>DATA!IYS35</f>
        <v>0</v>
      </c>
      <c r="IYQ208" s="128">
        <f>DATA!IYT35</f>
        <v>0</v>
      </c>
      <c r="IYR208" s="128">
        <f>DATA!IYU35</f>
        <v>0</v>
      </c>
      <c r="IYS208" s="128">
        <f>DATA!IYV35</f>
        <v>0</v>
      </c>
      <c r="IYT208" s="128">
        <f>DATA!IYW35</f>
        <v>0</v>
      </c>
      <c r="IYU208" s="128">
        <f>DATA!IYX35</f>
        <v>0</v>
      </c>
      <c r="IYV208" s="128">
        <f>DATA!IYY35</f>
        <v>0</v>
      </c>
      <c r="IYW208" s="128">
        <f>DATA!IYZ35</f>
        <v>0</v>
      </c>
      <c r="IYX208" s="128">
        <f>DATA!IZA35</f>
        <v>0</v>
      </c>
      <c r="IYY208" s="128">
        <f>DATA!IZB35</f>
        <v>0</v>
      </c>
      <c r="IYZ208" s="128">
        <f>DATA!IZC35</f>
        <v>0</v>
      </c>
      <c r="IZA208" s="128">
        <f>DATA!IZD35</f>
        <v>0</v>
      </c>
      <c r="IZB208" s="128">
        <f>DATA!IZE35</f>
        <v>0</v>
      </c>
      <c r="IZC208" s="128">
        <f>DATA!IZF35</f>
        <v>0</v>
      </c>
      <c r="IZD208" s="128">
        <f>DATA!IZG35</f>
        <v>0</v>
      </c>
      <c r="IZE208" s="128">
        <f>DATA!IZH35</f>
        <v>0</v>
      </c>
      <c r="IZF208" s="128">
        <f>DATA!IZI35</f>
        <v>0</v>
      </c>
      <c r="IZG208" s="128">
        <f>DATA!IZJ35</f>
        <v>0</v>
      </c>
      <c r="IZH208" s="128">
        <f>DATA!IZK35</f>
        <v>0</v>
      </c>
      <c r="IZI208" s="128">
        <f>DATA!IZL35</f>
        <v>0</v>
      </c>
      <c r="IZJ208" s="128">
        <f>DATA!IZM35</f>
        <v>0</v>
      </c>
      <c r="IZK208" s="128">
        <f>DATA!IZN35</f>
        <v>0</v>
      </c>
      <c r="IZL208" s="128">
        <f>DATA!IZO35</f>
        <v>0</v>
      </c>
      <c r="IZM208" s="128">
        <f>DATA!IZP35</f>
        <v>0</v>
      </c>
      <c r="IZN208" s="128">
        <f>DATA!IZQ35</f>
        <v>0</v>
      </c>
      <c r="IZO208" s="128">
        <f>DATA!IZR35</f>
        <v>0</v>
      </c>
      <c r="IZP208" s="128">
        <f>DATA!IZS35</f>
        <v>0</v>
      </c>
      <c r="IZQ208" s="128">
        <f>DATA!IZT35</f>
        <v>0</v>
      </c>
      <c r="IZR208" s="128">
        <f>DATA!IZU35</f>
        <v>0</v>
      </c>
      <c r="IZS208" s="128">
        <f>DATA!IZV35</f>
        <v>0</v>
      </c>
      <c r="IZT208" s="128">
        <f>DATA!IZW35</f>
        <v>0</v>
      </c>
      <c r="IZU208" s="128">
        <f>DATA!IZX35</f>
        <v>0</v>
      </c>
      <c r="IZV208" s="128">
        <f>DATA!IZY35</f>
        <v>0</v>
      </c>
      <c r="IZW208" s="128">
        <f>DATA!IZZ35</f>
        <v>0</v>
      </c>
      <c r="IZX208" s="128">
        <f>DATA!JAA35</f>
        <v>0</v>
      </c>
      <c r="IZY208" s="128">
        <f>DATA!JAB35</f>
        <v>0</v>
      </c>
      <c r="IZZ208" s="128">
        <f>DATA!JAC35</f>
        <v>0</v>
      </c>
      <c r="JAA208" s="128">
        <f>DATA!JAD35</f>
        <v>0</v>
      </c>
      <c r="JAB208" s="128">
        <f>DATA!JAE35</f>
        <v>0</v>
      </c>
      <c r="JAC208" s="128">
        <f>DATA!JAF35</f>
        <v>0</v>
      </c>
      <c r="JAD208" s="128">
        <f>DATA!JAG35</f>
        <v>0</v>
      </c>
      <c r="JAE208" s="128">
        <f>DATA!JAH35</f>
        <v>0</v>
      </c>
      <c r="JAF208" s="128">
        <f>DATA!JAI35</f>
        <v>0</v>
      </c>
      <c r="JAG208" s="128">
        <f>DATA!JAJ35</f>
        <v>0</v>
      </c>
      <c r="JAH208" s="128">
        <f>DATA!JAK35</f>
        <v>0</v>
      </c>
      <c r="JAI208" s="128">
        <f>DATA!JAL35</f>
        <v>0</v>
      </c>
      <c r="JAJ208" s="128">
        <f>DATA!JAM35</f>
        <v>0</v>
      </c>
      <c r="JAK208" s="128">
        <f>DATA!JAN35</f>
        <v>0</v>
      </c>
      <c r="JAL208" s="128">
        <f>DATA!JAO35</f>
        <v>0</v>
      </c>
      <c r="JAM208" s="128">
        <f>DATA!JAP35</f>
        <v>0</v>
      </c>
      <c r="JAN208" s="128">
        <f>DATA!JAQ35</f>
        <v>0</v>
      </c>
      <c r="JAO208" s="128">
        <f>DATA!JAR35</f>
        <v>0</v>
      </c>
      <c r="JAP208" s="128">
        <f>DATA!JAS35</f>
        <v>0</v>
      </c>
      <c r="JAQ208" s="128">
        <f>DATA!JAT35</f>
        <v>0</v>
      </c>
      <c r="JAR208" s="128">
        <f>DATA!JAU35</f>
        <v>0</v>
      </c>
      <c r="JAS208" s="128">
        <f>DATA!JAV35</f>
        <v>0</v>
      </c>
      <c r="JAT208" s="128">
        <f>DATA!JAW35</f>
        <v>0</v>
      </c>
      <c r="JAU208" s="128">
        <f>DATA!JAX35</f>
        <v>0</v>
      </c>
      <c r="JAV208" s="128">
        <f>DATA!JAY35</f>
        <v>0</v>
      </c>
      <c r="JAW208" s="128">
        <f>DATA!JAZ35</f>
        <v>0</v>
      </c>
      <c r="JAX208" s="128">
        <f>DATA!JBA35</f>
        <v>0</v>
      </c>
      <c r="JAY208" s="128">
        <f>DATA!JBB35</f>
        <v>0</v>
      </c>
      <c r="JAZ208" s="128">
        <f>DATA!JBC35</f>
        <v>0</v>
      </c>
      <c r="JBA208" s="128">
        <f>DATA!JBD35</f>
        <v>0</v>
      </c>
      <c r="JBB208" s="128">
        <f>DATA!JBE35</f>
        <v>0</v>
      </c>
      <c r="JBC208" s="128">
        <f>DATA!JBF35</f>
        <v>0</v>
      </c>
      <c r="JBD208" s="128">
        <f>DATA!JBG35</f>
        <v>0</v>
      </c>
      <c r="JBE208" s="128">
        <f>DATA!JBH35</f>
        <v>0</v>
      </c>
      <c r="JBF208" s="128">
        <f>DATA!JBI35</f>
        <v>0</v>
      </c>
      <c r="JBG208" s="128">
        <f>DATA!JBJ35</f>
        <v>0</v>
      </c>
      <c r="JBH208" s="128">
        <f>DATA!JBK35</f>
        <v>0</v>
      </c>
      <c r="JBI208" s="128">
        <f>DATA!JBL35</f>
        <v>0</v>
      </c>
      <c r="JBJ208" s="128">
        <f>DATA!JBM35</f>
        <v>0</v>
      </c>
      <c r="JBK208" s="128">
        <f>DATA!JBN35</f>
        <v>0</v>
      </c>
      <c r="JBL208" s="128">
        <f>DATA!JBO35</f>
        <v>0</v>
      </c>
      <c r="JBM208" s="128">
        <f>DATA!JBP35</f>
        <v>0</v>
      </c>
      <c r="JBN208" s="128">
        <f>DATA!JBQ35</f>
        <v>0</v>
      </c>
      <c r="JBO208" s="128">
        <f>DATA!JBR35</f>
        <v>0</v>
      </c>
      <c r="JBP208" s="128">
        <f>DATA!JBS35</f>
        <v>0</v>
      </c>
      <c r="JBQ208" s="128">
        <f>DATA!JBT35</f>
        <v>0</v>
      </c>
      <c r="JBR208" s="128">
        <f>DATA!JBU35</f>
        <v>0</v>
      </c>
      <c r="JBS208" s="128">
        <f>DATA!JBV35</f>
        <v>0</v>
      </c>
      <c r="JBT208" s="128">
        <f>DATA!JBW35</f>
        <v>0</v>
      </c>
      <c r="JBU208" s="128">
        <f>DATA!JBX35</f>
        <v>0</v>
      </c>
      <c r="JBV208" s="128">
        <f>DATA!JBY35</f>
        <v>0</v>
      </c>
      <c r="JBW208" s="128">
        <f>DATA!JBZ35</f>
        <v>0</v>
      </c>
      <c r="JBX208" s="128">
        <f>DATA!JCA35</f>
        <v>0</v>
      </c>
      <c r="JBY208" s="128">
        <f>DATA!JCB35</f>
        <v>0</v>
      </c>
      <c r="JBZ208" s="128">
        <f>DATA!JCC35</f>
        <v>0</v>
      </c>
      <c r="JCA208" s="128">
        <f>DATA!JCD35</f>
        <v>0</v>
      </c>
      <c r="JCB208" s="128">
        <f>DATA!JCE35</f>
        <v>0</v>
      </c>
      <c r="JCC208" s="128">
        <f>DATA!JCF35</f>
        <v>0</v>
      </c>
      <c r="JCD208" s="128">
        <f>DATA!JCG35</f>
        <v>0</v>
      </c>
      <c r="JCE208" s="128">
        <f>DATA!JCH35</f>
        <v>0</v>
      </c>
      <c r="JCF208" s="128">
        <f>DATA!JCI35</f>
        <v>0</v>
      </c>
      <c r="JCG208" s="128">
        <f>DATA!JCJ35</f>
        <v>0</v>
      </c>
      <c r="JCH208" s="128">
        <f>DATA!JCK35</f>
        <v>0</v>
      </c>
      <c r="JCI208" s="128">
        <f>DATA!JCL35</f>
        <v>0</v>
      </c>
      <c r="JCJ208" s="128">
        <f>DATA!JCM35</f>
        <v>0</v>
      </c>
      <c r="JCK208" s="128">
        <f>DATA!JCN35</f>
        <v>0</v>
      </c>
      <c r="JCL208" s="128">
        <f>DATA!JCO35</f>
        <v>0</v>
      </c>
      <c r="JCM208" s="128">
        <f>DATA!JCP35</f>
        <v>0</v>
      </c>
      <c r="JCN208" s="128">
        <f>DATA!JCQ35</f>
        <v>0</v>
      </c>
      <c r="JCO208" s="128">
        <f>DATA!JCR35</f>
        <v>0</v>
      </c>
      <c r="JCP208" s="128">
        <f>DATA!JCS35</f>
        <v>0</v>
      </c>
      <c r="JCQ208" s="128">
        <f>DATA!JCT35</f>
        <v>0</v>
      </c>
      <c r="JCR208" s="128">
        <f>DATA!JCU35</f>
        <v>0</v>
      </c>
      <c r="JCS208" s="128">
        <f>DATA!JCV35</f>
        <v>0</v>
      </c>
      <c r="JCT208" s="128">
        <f>DATA!JCW35</f>
        <v>0</v>
      </c>
      <c r="JCU208" s="128">
        <f>DATA!JCX35</f>
        <v>0</v>
      </c>
      <c r="JCV208" s="128">
        <f>DATA!JCY35</f>
        <v>0</v>
      </c>
      <c r="JCW208" s="128">
        <f>DATA!JCZ35</f>
        <v>0</v>
      </c>
      <c r="JCX208" s="128">
        <f>DATA!JDA35</f>
        <v>0</v>
      </c>
      <c r="JCY208" s="128">
        <f>DATA!JDB35</f>
        <v>0</v>
      </c>
      <c r="JCZ208" s="128">
        <f>DATA!JDC35</f>
        <v>0</v>
      </c>
      <c r="JDA208" s="128">
        <f>DATA!JDD35</f>
        <v>0</v>
      </c>
      <c r="JDB208" s="128">
        <f>DATA!JDE35</f>
        <v>0</v>
      </c>
      <c r="JDC208" s="128">
        <f>DATA!JDF35</f>
        <v>0</v>
      </c>
      <c r="JDD208" s="128">
        <f>DATA!JDG35</f>
        <v>0</v>
      </c>
      <c r="JDE208" s="128">
        <f>DATA!JDH35</f>
        <v>0</v>
      </c>
      <c r="JDF208" s="128">
        <f>DATA!JDI35</f>
        <v>0</v>
      </c>
      <c r="JDG208" s="128">
        <f>DATA!JDJ35</f>
        <v>0</v>
      </c>
      <c r="JDH208" s="128">
        <f>DATA!JDK35</f>
        <v>0</v>
      </c>
      <c r="JDI208" s="128">
        <f>DATA!JDL35</f>
        <v>0</v>
      </c>
      <c r="JDJ208" s="128">
        <f>DATA!JDM35</f>
        <v>0</v>
      </c>
      <c r="JDK208" s="128">
        <f>DATA!JDN35</f>
        <v>0</v>
      </c>
      <c r="JDL208" s="128">
        <f>DATA!JDO35</f>
        <v>0</v>
      </c>
      <c r="JDM208" s="128">
        <f>DATA!JDP35</f>
        <v>0</v>
      </c>
      <c r="JDN208" s="128">
        <f>DATA!JDQ35</f>
        <v>0</v>
      </c>
      <c r="JDO208" s="128">
        <f>DATA!JDR35</f>
        <v>0</v>
      </c>
      <c r="JDP208" s="128">
        <f>DATA!JDS35</f>
        <v>0</v>
      </c>
      <c r="JDQ208" s="128">
        <f>DATA!JDT35</f>
        <v>0</v>
      </c>
      <c r="JDR208" s="128">
        <f>DATA!JDU35</f>
        <v>0</v>
      </c>
      <c r="JDS208" s="128">
        <f>DATA!JDV35</f>
        <v>0</v>
      </c>
      <c r="JDT208" s="128">
        <f>DATA!JDW35</f>
        <v>0</v>
      </c>
      <c r="JDU208" s="128">
        <f>DATA!JDX35</f>
        <v>0</v>
      </c>
      <c r="JDV208" s="128">
        <f>DATA!JDY35</f>
        <v>0</v>
      </c>
      <c r="JDW208" s="128">
        <f>DATA!JDZ35</f>
        <v>0</v>
      </c>
      <c r="JDX208" s="128">
        <f>DATA!JEA35</f>
        <v>0</v>
      </c>
      <c r="JDY208" s="128">
        <f>DATA!JEB35</f>
        <v>0</v>
      </c>
      <c r="JDZ208" s="128">
        <f>DATA!JEC35</f>
        <v>0</v>
      </c>
      <c r="JEA208" s="128">
        <f>DATA!JED35</f>
        <v>0</v>
      </c>
      <c r="JEB208" s="128">
        <f>DATA!JEE35</f>
        <v>0</v>
      </c>
      <c r="JEC208" s="128">
        <f>DATA!JEF35</f>
        <v>0</v>
      </c>
      <c r="JED208" s="128">
        <f>DATA!JEG35</f>
        <v>0</v>
      </c>
      <c r="JEE208" s="128">
        <f>DATA!JEH35</f>
        <v>0</v>
      </c>
      <c r="JEF208" s="128">
        <f>DATA!JEI35</f>
        <v>0</v>
      </c>
      <c r="JEG208" s="128">
        <f>DATA!JEJ35</f>
        <v>0</v>
      </c>
      <c r="JEH208" s="128">
        <f>DATA!JEK35</f>
        <v>0</v>
      </c>
      <c r="JEI208" s="128">
        <f>DATA!JEL35</f>
        <v>0</v>
      </c>
      <c r="JEJ208" s="128">
        <f>DATA!JEM35</f>
        <v>0</v>
      </c>
      <c r="JEK208" s="128">
        <f>DATA!JEN35</f>
        <v>0</v>
      </c>
      <c r="JEL208" s="128">
        <f>DATA!JEO35</f>
        <v>0</v>
      </c>
      <c r="JEM208" s="128">
        <f>DATA!JEP35</f>
        <v>0</v>
      </c>
      <c r="JEN208" s="128">
        <f>DATA!JEQ35</f>
        <v>0</v>
      </c>
      <c r="JEO208" s="128">
        <f>DATA!JER35</f>
        <v>0</v>
      </c>
      <c r="JEP208" s="128">
        <f>DATA!JES35</f>
        <v>0</v>
      </c>
      <c r="JEQ208" s="128">
        <f>DATA!JET35</f>
        <v>0</v>
      </c>
      <c r="JER208" s="128">
        <f>DATA!JEU35</f>
        <v>0</v>
      </c>
      <c r="JES208" s="128">
        <f>DATA!JEV35</f>
        <v>0</v>
      </c>
      <c r="JET208" s="128">
        <f>DATA!JEW35</f>
        <v>0</v>
      </c>
      <c r="JEU208" s="128">
        <f>DATA!JEX35</f>
        <v>0</v>
      </c>
      <c r="JEV208" s="128">
        <f>DATA!JEY35</f>
        <v>0</v>
      </c>
      <c r="JEW208" s="128">
        <f>DATA!JEZ35</f>
        <v>0</v>
      </c>
      <c r="JEX208" s="128">
        <f>DATA!JFA35</f>
        <v>0</v>
      </c>
      <c r="JEY208" s="128">
        <f>DATA!JFB35</f>
        <v>0</v>
      </c>
      <c r="JEZ208" s="128">
        <f>DATA!JFC35</f>
        <v>0</v>
      </c>
      <c r="JFA208" s="128">
        <f>DATA!JFD35</f>
        <v>0</v>
      </c>
      <c r="JFB208" s="128">
        <f>DATA!JFE35</f>
        <v>0</v>
      </c>
      <c r="JFC208" s="128">
        <f>DATA!JFF35</f>
        <v>0</v>
      </c>
      <c r="JFD208" s="128">
        <f>DATA!JFG35</f>
        <v>0</v>
      </c>
      <c r="JFE208" s="128">
        <f>DATA!JFH35</f>
        <v>0</v>
      </c>
      <c r="JFF208" s="128">
        <f>DATA!JFI35</f>
        <v>0</v>
      </c>
      <c r="JFG208" s="128">
        <f>DATA!JFJ35</f>
        <v>0</v>
      </c>
      <c r="JFH208" s="128">
        <f>DATA!JFK35</f>
        <v>0</v>
      </c>
      <c r="JFI208" s="128">
        <f>DATA!JFL35</f>
        <v>0</v>
      </c>
      <c r="JFJ208" s="128">
        <f>DATA!JFM35</f>
        <v>0</v>
      </c>
      <c r="JFK208" s="128">
        <f>DATA!JFN35</f>
        <v>0</v>
      </c>
      <c r="JFL208" s="128">
        <f>DATA!JFO35</f>
        <v>0</v>
      </c>
      <c r="JFM208" s="128">
        <f>DATA!JFP35</f>
        <v>0</v>
      </c>
      <c r="JFN208" s="128">
        <f>DATA!JFQ35</f>
        <v>0</v>
      </c>
      <c r="JFO208" s="128">
        <f>DATA!JFR35</f>
        <v>0</v>
      </c>
      <c r="JFP208" s="128">
        <f>DATA!JFS35</f>
        <v>0</v>
      </c>
      <c r="JFQ208" s="128">
        <f>DATA!JFT35</f>
        <v>0</v>
      </c>
      <c r="JFR208" s="128">
        <f>DATA!JFU35</f>
        <v>0</v>
      </c>
      <c r="JFS208" s="128">
        <f>DATA!JFV35</f>
        <v>0</v>
      </c>
      <c r="JFT208" s="128">
        <f>DATA!JFW35</f>
        <v>0</v>
      </c>
      <c r="JFU208" s="128">
        <f>DATA!JFX35</f>
        <v>0</v>
      </c>
      <c r="JFV208" s="128">
        <f>DATA!JFY35</f>
        <v>0</v>
      </c>
      <c r="JFW208" s="128">
        <f>DATA!JFZ35</f>
        <v>0</v>
      </c>
      <c r="JFX208" s="128">
        <f>DATA!JGA35</f>
        <v>0</v>
      </c>
      <c r="JFY208" s="128">
        <f>DATA!JGB35</f>
        <v>0</v>
      </c>
      <c r="JFZ208" s="128">
        <f>DATA!JGC35</f>
        <v>0</v>
      </c>
      <c r="JGA208" s="128">
        <f>DATA!JGD35</f>
        <v>0</v>
      </c>
      <c r="JGB208" s="128">
        <f>DATA!JGE35</f>
        <v>0</v>
      </c>
      <c r="JGC208" s="128">
        <f>DATA!JGF35</f>
        <v>0</v>
      </c>
      <c r="JGD208" s="128">
        <f>DATA!JGG35</f>
        <v>0</v>
      </c>
      <c r="JGE208" s="128">
        <f>DATA!JGH35</f>
        <v>0</v>
      </c>
      <c r="JGF208" s="128">
        <f>DATA!JGI35</f>
        <v>0</v>
      </c>
      <c r="JGG208" s="128">
        <f>DATA!JGJ35</f>
        <v>0</v>
      </c>
      <c r="JGH208" s="128">
        <f>DATA!JGK35</f>
        <v>0</v>
      </c>
      <c r="JGI208" s="128">
        <f>DATA!JGL35</f>
        <v>0</v>
      </c>
      <c r="JGJ208" s="128">
        <f>DATA!JGM35</f>
        <v>0</v>
      </c>
      <c r="JGK208" s="128">
        <f>DATA!JGN35</f>
        <v>0</v>
      </c>
      <c r="JGL208" s="128">
        <f>DATA!JGO35</f>
        <v>0</v>
      </c>
      <c r="JGM208" s="128">
        <f>DATA!JGP35</f>
        <v>0</v>
      </c>
      <c r="JGN208" s="128">
        <f>DATA!JGQ35</f>
        <v>0</v>
      </c>
      <c r="JGO208" s="128">
        <f>DATA!JGR35</f>
        <v>0</v>
      </c>
      <c r="JGP208" s="128">
        <f>DATA!JGS35</f>
        <v>0</v>
      </c>
      <c r="JGQ208" s="128">
        <f>DATA!JGT35</f>
        <v>0</v>
      </c>
      <c r="JGR208" s="128">
        <f>DATA!JGU35</f>
        <v>0</v>
      </c>
      <c r="JGS208" s="128">
        <f>DATA!JGV35</f>
        <v>0</v>
      </c>
      <c r="JGT208" s="128">
        <f>DATA!JGW35</f>
        <v>0</v>
      </c>
      <c r="JGU208" s="128">
        <f>DATA!JGX35</f>
        <v>0</v>
      </c>
      <c r="JGV208" s="128">
        <f>DATA!JGY35</f>
        <v>0</v>
      </c>
      <c r="JGW208" s="128">
        <f>DATA!JGZ35</f>
        <v>0</v>
      </c>
      <c r="JGX208" s="128">
        <f>DATA!JHA35</f>
        <v>0</v>
      </c>
      <c r="JGY208" s="128">
        <f>DATA!JHB35</f>
        <v>0</v>
      </c>
      <c r="JGZ208" s="128">
        <f>DATA!JHC35</f>
        <v>0</v>
      </c>
      <c r="JHA208" s="128">
        <f>DATA!JHD35</f>
        <v>0</v>
      </c>
      <c r="JHB208" s="128">
        <f>DATA!JHE35</f>
        <v>0</v>
      </c>
      <c r="JHC208" s="128">
        <f>DATA!JHF35</f>
        <v>0</v>
      </c>
      <c r="JHD208" s="128">
        <f>DATA!JHG35</f>
        <v>0</v>
      </c>
      <c r="JHE208" s="128">
        <f>DATA!JHH35</f>
        <v>0</v>
      </c>
      <c r="JHF208" s="128">
        <f>DATA!JHI35</f>
        <v>0</v>
      </c>
      <c r="JHG208" s="128">
        <f>DATA!JHJ35</f>
        <v>0</v>
      </c>
      <c r="JHH208" s="128">
        <f>DATA!JHK35</f>
        <v>0</v>
      </c>
      <c r="JHI208" s="128">
        <f>DATA!JHL35</f>
        <v>0</v>
      </c>
      <c r="JHJ208" s="128">
        <f>DATA!JHM35</f>
        <v>0</v>
      </c>
      <c r="JHK208" s="128">
        <f>DATA!JHN35</f>
        <v>0</v>
      </c>
      <c r="JHL208" s="128">
        <f>DATA!JHO35</f>
        <v>0</v>
      </c>
      <c r="JHM208" s="128">
        <f>DATA!JHP35</f>
        <v>0</v>
      </c>
      <c r="JHN208" s="128">
        <f>DATA!JHQ35</f>
        <v>0</v>
      </c>
      <c r="JHO208" s="128">
        <f>DATA!JHR35</f>
        <v>0</v>
      </c>
      <c r="JHP208" s="128">
        <f>DATA!JHS35</f>
        <v>0</v>
      </c>
      <c r="JHQ208" s="128">
        <f>DATA!JHT35</f>
        <v>0</v>
      </c>
      <c r="JHR208" s="128">
        <f>DATA!JHU35</f>
        <v>0</v>
      </c>
      <c r="JHS208" s="128">
        <f>DATA!JHV35</f>
        <v>0</v>
      </c>
      <c r="JHT208" s="128">
        <f>DATA!JHW35</f>
        <v>0</v>
      </c>
      <c r="JHU208" s="128">
        <f>DATA!JHX35</f>
        <v>0</v>
      </c>
      <c r="JHV208" s="128">
        <f>DATA!JHY35</f>
        <v>0</v>
      </c>
      <c r="JHW208" s="128">
        <f>DATA!JHZ35</f>
        <v>0</v>
      </c>
      <c r="JHX208" s="128">
        <f>DATA!JIA35</f>
        <v>0</v>
      </c>
      <c r="JHY208" s="128">
        <f>DATA!JIB35</f>
        <v>0</v>
      </c>
      <c r="JHZ208" s="128">
        <f>DATA!JIC35</f>
        <v>0</v>
      </c>
      <c r="JIA208" s="128">
        <f>DATA!JID35</f>
        <v>0</v>
      </c>
      <c r="JIB208" s="128">
        <f>DATA!JIE35</f>
        <v>0</v>
      </c>
      <c r="JIC208" s="128">
        <f>DATA!JIF35</f>
        <v>0</v>
      </c>
      <c r="JID208" s="128">
        <f>DATA!JIG35</f>
        <v>0</v>
      </c>
      <c r="JIE208" s="128">
        <f>DATA!JIH35</f>
        <v>0</v>
      </c>
      <c r="JIF208" s="128">
        <f>DATA!JII35</f>
        <v>0</v>
      </c>
      <c r="JIG208" s="128">
        <f>DATA!JIJ35</f>
        <v>0</v>
      </c>
      <c r="JIH208" s="128">
        <f>DATA!JIK35</f>
        <v>0</v>
      </c>
      <c r="JII208" s="128">
        <f>DATA!JIL35</f>
        <v>0</v>
      </c>
      <c r="JIJ208" s="128">
        <f>DATA!JIM35</f>
        <v>0</v>
      </c>
      <c r="JIK208" s="128">
        <f>DATA!JIN35</f>
        <v>0</v>
      </c>
      <c r="JIL208" s="128">
        <f>DATA!JIO35</f>
        <v>0</v>
      </c>
      <c r="JIM208" s="128">
        <f>DATA!JIP35</f>
        <v>0</v>
      </c>
      <c r="JIN208" s="128">
        <f>DATA!JIQ35</f>
        <v>0</v>
      </c>
      <c r="JIO208" s="128">
        <f>DATA!JIR35</f>
        <v>0</v>
      </c>
      <c r="JIP208" s="128">
        <f>DATA!JIS35</f>
        <v>0</v>
      </c>
      <c r="JIQ208" s="128">
        <f>DATA!JIT35</f>
        <v>0</v>
      </c>
      <c r="JIR208" s="128">
        <f>DATA!JIU35</f>
        <v>0</v>
      </c>
      <c r="JIS208" s="128">
        <f>DATA!JIV35</f>
        <v>0</v>
      </c>
      <c r="JIT208" s="128">
        <f>DATA!JIW35</f>
        <v>0</v>
      </c>
      <c r="JIU208" s="128">
        <f>DATA!JIX35</f>
        <v>0</v>
      </c>
      <c r="JIV208" s="128">
        <f>DATA!JIY35</f>
        <v>0</v>
      </c>
      <c r="JIW208" s="128">
        <f>DATA!JIZ35</f>
        <v>0</v>
      </c>
      <c r="JIX208" s="128">
        <f>DATA!JJA35</f>
        <v>0</v>
      </c>
      <c r="JIY208" s="128">
        <f>DATA!JJB35</f>
        <v>0</v>
      </c>
      <c r="JIZ208" s="128">
        <f>DATA!JJC35</f>
        <v>0</v>
      </c>
      <c r="JJA208" s="128">
        <f>DATA!JJD35</f>
        <v>0</v>
      </c>
      <c r="JJB208" s="128">
        <f>DATA!JJE35</f>
        <v>0</v>
      </c>
      <c r="JJC208" s="128">
        <f>DATA!JJF35</f>
        <v>0</v>
      </c>
      <c r="JJD208" s="128">
        <f>DATA!JJG35</f>
        <v>0</v>
      </c>
      <c r="JJE208" s="128">
        <f>DATA!JJH35</f>
        <v>0</v>
      </c>
      <c r="JJF208" s="128">
        <f>DATA!JJI35</f>
        <v>0</v>
      </c>
      <c r="JJG208" s="128">
        <f>DATA!JJJ35</f>
        <v>0</v>
      </c>
      <c r="JJH208" s="128">
        <f>DATA!JJK35</f>
        <v>0</v>
      </c>
      <c r="JJI208" s="128">
        <f>DATA!JJL35</f>
        <v>0</v>
      </c>
      <c r="JJJ208" s="128">
        <f>DATA!JJM35</f>
        <v>0</v>
      </c>
      <c r="JJK208" s="128">
        <f>DATA!JJN35</f>
        <v>0</v>
      </c>
      <c r="JJL208" s="128">
        <f>DATA!JJO35</f>
        <v>0</v>
      </c>
      <c r="JJM208" s="128">
        <f>DATA!JJP35</f>
        <v>0</v>
      </c>
      <c r="JJN208" s="128">
        <f>DATA!JJQ35</f>
        <v>0</v>
      </c>
      <c r="JJO208" s="128">
        <f>DATA!JJR35</f>
        <v>0</v>
      </c>
      <c r="JJP208" s="128">
        <f>DATA!JJS35</f>
        <v>0</v>
      </c>
      <c r="JJQ208" s="128">
        <f>DATA!JJT35</f>
        <v>0</v>
      </c>
      <c r="JJR208" s="128">
        <f>DATA!JJU35</f>
        <v>0</v>
      </c>
      <c r="JJS208" s="128">
        <f>DATA!JJV35</f>
        <v>0</v>
      </c>
      <c r="JJT208" s="128">
        <f>DATA!JJW35</f>
        <v>0</v>
      </c>
      <c r="JJU208" s="128">
        <f>DATA!JJX35</f>
        <v>0</v>
      </c>
      <c r="JJV208" s="128">
        <f>DATA!JJY35</f>
        <v>0</v>
      </c>
      <c r="JJW208" s="128">
        <f>DATA!JJZ35</f>
        <v>0</v>
      </c>
      <c r="JJX208" s="128">
        <f>DATA!JKA35</f>
        <v>0</v>
      </c>
      <c r="JJY208" s="128">
        <f>DATA!JKB35</f>
        <v>0</v>
      </c>
      <c r="JJZ208" s="128">
        <f>DATA!JKC35</f>
        <v>0</v>
      </c>
      <c r="JKA208" s="128">
        <f>DATA!JKD35</f>
        <v>0</v>
      </c>
      <c r="JKB208" s="128">
        <f>DATA!JKE35</f>
        <v>0</v>
      </c>
      <c r="JKC208" s="128">
        <f>DATA!JKF35</f>
        <v>0</v>
      </c>
      <c r="JKD208" s="128">
        <f>DATA!JKG35</f>
        <v>0</v>
      </c>
      <c r="JKE208" s="128">
        <f>DATA!JKH35</f>
        <v>0</v>
      </c>
      <c r="JKF208" s="128">
        <f>DATA!JKI35</f>
        <v>0</v>
      </c>
      <c r="JKG208" s="128">
        <f>DATA!JKJ35</f>
        <v>0</v>
      </c>
      <c r="JKH208" s="128">
        <f>DATA!JKK35</f>
        <v>0</v>
      </c>
      <c r="JKI208" s="128">
        <f>DATA!JKL35</f>
        <v>0</v>
      </c>
      <c r="JKJ208" s="128">
        <f>DATA!JKM35</f>
        <v>0</v>
      </c>
      <c r="JKK208" s="128">
        <f>DATA!JKN35</f>
        <v>0</v>
      </c>
      <c r="JKL208" s="128">
        <f>DATA!JKO35</f>
        <v>0</v>
      </c>
      <c r="JKM208" s="128">
        <f>DATA!JKP35</f>
        <v>0</v>
      </c>
      <c r="JKN208" s="128">
        <f>DATA!JKQ35</f>
        <v>0</v>
      </c>
      <c r="JKO208" s="128">
        <f>DATA!JKR35</f>
        <v>0</v>
      </c>
      <c r="JKP208" s="128">
        <f>DATA!JKS35</f>
        <v>0</v>
      </c>
      <c r="JKQ208" s="128">
        <f>DATA!JKT35</f>
        <v>0</v>
      </c>
      <c r="JKR208" s="128">
        <f>DATA!JKU35</f>
        <v>0</v>
      </c>
      <c r="JKS208" s="128">
        <f>DATA!JKV35</f>
        <v>0</v>
      </c>
      <c r="JKT208" s="128">
        <f>DATA!JKW35</f>
        <v>0</v>
      </c>
      <c r="JKU208" s="128">
        <f>DATA!JKX35</f>
        <v>0</v>
      </c>
      <c r="JKV208" s="128">
        <f>DATA!JKY35</f>
        <v>0</v>
      </c>
      <c r="JKW208" s="128">
        <f>DATA!JKZ35</f>
        <v>0</v>
      </c>
      <c r="JKX208" s="128">
        <f>DATA!JLA35</f>
        <v>0</v>
      </c>
      <c r="JKY208" s="128">
        <f>DATA!JLB35</f>
        <v>0</v>
      </c>
      <c r="JKZ208" s="128">
        <f>DATA!JLC35</f>
        <v>0</v>
      </c>
      <c r="JLA208" s="128">
        <f>DATA!JLD35</f>
        <v>0</v>
      </c>
      <c r="JLB208" s="128">
        <f>DATA!JLE35</f>
        <v>0</v>
      </c>
      <c r="JLC208" s="128">
        <f>DATA!JLF35</f>
        <v>0</v>
      </c>
      <c r="JLD208" s="128">
        <f>DATA!JLG35</f>
        <v>0</v>
      </c>
      <c r="JLE208" s="128">
        <f>DATA!JLH35</f>
        <v>0</v>
      </c>
      <c r="JLF208" s="128">
        <f>DATA!JLI35</f>
        <v>0</v>
      </c>
      <c r="JLG208" s="128">
        <f>DATA!JLJ35</f>
        <v>0</v>
      </c>
      <c r="JLH208" s="128">
        <f>DATA!JLK35</f>
        <v>0</v>
      </c>
      <c r="JLI208" s="128">
        <f>DATA!JLL35</f>
        <v>0</v>
      </c>
      <c r="JLJ208" s="128">
        <f>DATA!JLM35</f>
        <v>0</v>
      </c>
      <c r="JLK208" s="128">
        <f>DATA!JLN35</f>
        <v>0</v>
      </c>
      <c r="JLL208" s="128">
        <f>DATA!JLO35</f>
        <v>0</v>
      </c>
      <c r="JLM208" s="128">
        <f>DATA!JLP35</f>
        <v>0</v>
      </c>
      <c r="JLN208" s="128">
        <f>DATA!JLQ35</f>
        <v>0</v>
      </c>
      <c r="JLO208" s="128">
        <f>DATA!JLR35</f>
        <v>0</v>
      </c>
      <c r="JLP208" s="128">
        <f>DATA!JLS35</f>
        <v>0</v>
      </c>
      <c r="JLQ208" s="128">
        <f>DATA!JLT35</f>
        <v>0</v>
      </c>
      <c r="JLR208" s="128">
        <f>DATA!JLU35</f>
        <v>0</v>
      </c>
      <c r="JLS208" s="128">
        <f>DATA!JLV35</f>
        <v>0</v>
      </c>
      <c r="JLT208" s="128">
        <f>DATA!JLW35</f>
        <v>0</v>
      </c>
      <c r="JLU208" s="128">
        <f>DATA!JLX35</f>
        <v>0</v>
      </c>
      <c r="JLV208" s="128">
        <f>DATA!JLY35</f>
        <v>0</v>
      </c>
      <c r="JLW208" s="128">
        <f>DATA!JLZ35</f>
        <v>0</v>
      </c>
      <c r="JLX208" s="128">
        <f>DATA!JMA35</f>
        <v>0</v>
      </c>
      <c r="JLY208" s="128">
        <f>DATA!JMB35</f>
        <v>0</v>
      </c>
      <c r="JLZ208" s="128">
        <f>DATA!JMC35</f>
        <v>0</v>
      </c>
      <c r="JMA208" s="128">
        <f>DATA!JMD35</f>
        <v>0</v>
      </c>
      <c r="JMB208" s="128">
        <f>DATA!JME35</f>
        <v>0</v>
      </c>
      <c r="JMC208" s="128">
        <f>DATA!JMF35</f>
        <v>0</v>
      </c>
      <c r="JMD208" s="128">
        <f>DATA!JMG35</f>
        <v>0</v>
      </c>
      <c r="JME208" s="128">
        <f>DATA!JMH35</f>
        <v>0</v>
      </c>
      <c r="JMF208" s="128">
        <f>DATA!JMI35</f>
        <v>0</v>
      </c>
      <c r="JMG208" s="128">
        <f>DATA!JMJ35</f>
        <v>0</v>
      </c>
      <c r="JMH208" s="128">
        <f>DATA!JMK35</f>
        <v>0</v>
      </c>
      <c r="JMI208" s="128">
        <f>DATA!JML35</f>
        <v>0</v>
      </c>
      <c r="JMJ208" s="128">
        <f>DATA!JMM35</f>
        <v>0</v>
      </c>
      <c r="JMK208" s="128">
        <f>DATA!JMN35</f>
        <v>0</v>
      </c>
      <c r="JML208" s="128">
        <f>DATA!JMO35</f>
        <v>0</v>
      </c>
      <c r="JMM208" s="128">
        <f>DATA!JMP35</f>
        <v>0</v>
      </c>
      <c r="JMN208" s="128">
        <f>DATA!JMQ35</f>
        <v>0</v>
      </c>
      <c r="JMO208" s="128">
        <f>DATA!JMR35</f>
        <v>0</v>
      </c>
      <c r="JMP208" s="128">
        <f>DATA!JMS35</f>
        <v>0</v>
      </c>
      <c r="JMQ208" s="128">
        <f>DATA!JMT35</f>
        <v>0</v>
      </c>
      <c r="JMR208" s="128">
        <f>DATA!JMU35</f>
        <v>0</v>
      </c>
      <c r="JMS208" s="128">
        <f>DATA!JMV35</f>
        <v>0</v>
      </c>
      <c r="JMT208" s="128">
        <f>DATA!JMW35</f>
        <v>0</v>
      </c>
      <c r="JMU208" s="128">
        <f>DATA!JMX35</f>
        <v>0</v>
      </c>
      <c r="JMV208" s="128">
        <f>DATA!JMY35</f>
        <v>0</v>
      </c>
      <c r="JMW208" s="128">
        <f>DATA!JMZ35</f>
        <v>0</v>
      </c>
      <c r="JMX208" s="128">
        <f>DATA!JNA35</f>
        <v>0</v>
      </c>
      <c r="JMY208" s="128">
        <f>DATA!JNB35</f>
        <v>0</v>
      </c>
      <c r="JMZ208" s="128">
        <f>DATA!JNC35</f>
        <v>0</v>
      </c>
      <c r="JNA208" s="128">
        <f>DATA!JND35</f>
        <v>0</v>
      </c>
      <c r="JNB208" s="128">
        <f>DATA!JNE35</f>
        <v>0</v>
      </c>
      <c r="JNC208" s="128">
        <f>DATA!JNF35</f>
        <v>0</v>
      </c>
      <c r="JND208" s="128">
        <f>DATA!JNG35</f>
        <v>0</v>
      </c>
      <c r="JNE208" s="128">
        <f>DATA!JNH35</f>
        <v>0</v>
      </c>
      <c r="JNF208" s="128">
        <f>DATA!JNI35</f>
        <v>0</v>
      </c>
      <c r="JNG208" s="128">
        <f>DATA!JNJ35</f>
        <v>0</v>
      </c>
      <c r="JNH208" s="128">
        <f>DATA!JNK35</f>
        <v>0</v>
      </c>
      <c r="JNI208" s="128">
        <f>DATA!JNL35</f>
        <v>0</v>
      </c>
      <c r="JNJ208" s="128">
        <f>DATA!JNM35</f>
        <v>0</v>
      </c>
      <c r="JNK208" s="128">
        <f>DATA!JNN35</f>
        <v>0</v>
      </c>
      <c r="JNL208" s="128">
        <f>DATA!JNO35</f>
        <v>0</v>
      </c>
      <c r="JNM208" s="128">
        <f>DATA!JNP35</f>
        <v>0</v>
      </c>
      <c r="JNN208" s="128">
        <f>DATA!JNQ35</f>
        <v>0</v>
      </c>
      <c r="JNO208" s="128">
        <f>DATA!JNR35</f>
        <v>0</v>
      </c>
      <c r="JNP208" s="128">
        <f>DATA!JNS35</f>
        <v>0</v>
      </c>
      <c r="JNQ208" s="128">
        <f>DATA!JNT35</f>
        <v>0</v>
      </c>
      <c r="JNR208" s="128">
        <f>DATA!JNU35</f>
        <v>0</v>
      </c>
      <c r="JNS208" s="128">
        <f>DATA!JNV35</f>
        <v>0</v>
      </c>
      <c r="JNT208" s="128">
        <f>DATA!JNW35</f>
        <v>0</v>
      </c>
      <c r="JNU208" s="128">
        <f>DATA!JNX35</f>
        <v>0</v>
      </c>
      <c r="JNV208" s="128">
        <f>DATA!JNY35</f>
        <v>0</v>
      </c>
      <c r="JNW208" s="128">
        <f>DATA!JNZ35</f>
        <v>0</v>
      </c>
      <c r="JNX208" s="128">
        <f>DATA!JOA35</f>
        <v>0</v>
      </c>
      <c r="JNY208" s="128">
        <f>DATA!JOB35</f>
        <v>0</v>
      </c>
      <c r="JNZ208" s="128">
        <f>DATA!JOC35</f>
        <v>0</v>
      </c>
      <c r="JOA208" s="128">
        <f>DATA!JOD35</f>
        <v>0</v>
      </c>
      <c r="JOB208" s="128">
        <f>DATA!JOE35</f>
        <v>0</v>
      </c>
      <c r="JOC208" s="128">
        <f>DATA!JOF35</f>
        <v>0</v>
      </c>
      <c r="JOD208" s="128">
        <f>DATA!JOG35</f>
        <v>0</v>
      </c>
      <c r="JOE208" s="128">
        <f>DATA!JOH35</f>
        <v>0</v>
      </c>
      <c r="JOF208" s="128">
        <f>DATA!JOI35</f>
        <v>0</v>
      </c>
      <c r="JOG208" s="128">
        <f>DATA!JOJ35</f>
        <v>0</v>
      </c>
      <c r="JOH208" s="128">
        <f>DATA!JOK35</f>
        <v>0</v>
      </c>
      <c r="JOI208" s="128">
        <f>DATA!JOL35</f>
        <v>0</v>
      </c>
      <c r="JOJ208" s="128">
        <f>DATA!JOM35</f>
        <v>0</v>
      </c>
      <c r="JOK208" s="128">
        <f>DATA!JON35</f>
        <v>0</v>
      </c>
      <c r="JOL208" s="128">
        <f>DATA!JOO35</f>
        <v>0</v>
      </c>
      <c r="JOM208" s="128">
        <f>DATA!JOP35</f>
        <v>0</v>
      </c>
      <c r="JON208" s="128">
        <f>DATA!JOQ35</f>
        <v>0</v>
      </c>
      <c r="JOO208" s="128">
        <f>DATA!JOR35</f>
        <v>0</v>
      </c>
      <c r="JOP208" s="128">
        <f>DATA!JOS35</f>
        <v>0</v>
      </c>
      <c r="JOQ208" s="128">
        <f>DATA!JOT35</f>
        <v>0</v>
      </c>
      <c r="JOR208" s="128">
        <f>DATA!JOU35</f>
        <v>0</v>
      </c>
      <c r="JOS208" s="128">
        <f>DATA!JOV35</f>
        <v>0</v>
      </c>
      <c r="JOT208" s="128">
        <f>DATA!JOW35</f>
        <v>0</v>
      </c>
      <c r="JOU208" s="128">
        <f>DATA!JOX35</f>
        <v>0</v>
      </c>
      <c r="JOV208" s="128">
        <f>DATA!JOY35</f>
        <v>0</v>
      </c>
      <c r="JOW208" s="128">
        <f>DATA!JOZ35</f>
        <v>0</v>
      </c>
      <c r="JOX208" s="128">
        <f>DATA!JPA35</f>
        <v>0</v>
      </c>
      <c r="JOY208" s="128">
        <f>DATA!JPB35</f>
        <v>0</v>
      </c>
      <c r="JOZ208" s="128">
        <f>DATA!JPC35</f>
        <v>0</v>
      </c>
      <c r="JPA208" s="128">
        <f>DATA!JPD35</f>
        <v>0</v>
      </c>
      <c r="JPB208" s="128">
        <f>DATA!JPE35</f>
        <v>0</v>
      </c>
      <c r="JPC208" s="128">
        <f>DATA!JPF35</f>
        <v>0</v>
      </c>
      <c r="JPD208" s="128">
        <f>DATA!JPG35</f>
        <v>0</v>
      </c>
      <c r="JPE208" s="128">
        <f>DATA!JPH35</f>
        <v>0</v>
      </c>
      <c r="JPF208" s="128">
        <f>DATA!JPI35</f>
        <v>0</v>
      </c>
      <c r="JPG208" s="128">
        <f>DATA!JPJ35</f>
        <v>0</v>
      </c>
      <c r="JPH208" s="128">
        <f>DATA!JPK35</f>
        <v>0</v>
      </c>
      <c r="JPI208" s="128">
        <f>DATA!JPL35</f>
        <v>0</v>
      </c>
      <c r="JPJ208" s="128">
        <f>DATA!JPM35</f>
        <v>0</v>
      </c>
      <c r="JPK208" s="128">
        <f>DATA!JPN35</f>
        <v>0</v>
      </c>
      <c r="JPL208" s="128">
        <f>DATA!JPO35</f>
        <v>0</v>
      </c>
      <c r="JPM208" s="128">
        <f>DATA!JPP35</f>
        <v>0</v>
      </c>
      <c r="JPN208" s="128">
        <f>DATA!JPQ35</f>
        <v>0</v>
      </c>
      <c r="JPO208" s="128">
        <f>DATA!JPR35</f>
        <v>0</v>
      </c>
      <c r="JPP208" s="128">
        <f>DATA!JPS35</f>
        <v>0</v>
      </c>
      <c r="JPQ208" s="128">
        <f>DATA!JPT35</f>
        <v>0</v>
      </c>
      <c r="JPR208" s="128">
        <f>DATA!JPU35</f>
        <v>0</v>
      </c>
      <c r="JPS208" s="128">
        <f>DATA!JPV35</f>
        <v>0</v>
      </c>
      <c r="JPT208" s="128">
        <f>DATA!JPW35</f>
        <v>0</v>
      </c>
      <c r="JPU208" s="128">
        <f>DATA!JPX35</f>
        <v>0</v>
      </c>
      <c r="JPV208" s="128">
        <f>DATA!JPY35</f>
        <v>0</v>
      </c>
      <c r="JPW208" s="128">
        <f>DATA!JPZ35</f>
        <v>0</v>
      </c>
      <c r="JPX208" s="128">
        <f>DATA!JQA35</f>
        <v>0</v>
      </c>
      <c r="JPY208" s="128">
        <f>DATA!JQB35</f>
        <v>0</v>
      </c>
      <c r="JPZ208" s="128">
        <f>DATA!JQC35</f>
        <v>0</v>
      </c>
      <c r="JQA208" s="128">
        <f>DATA!JQD35</f>
        <v>0</v>
      </c>
      <c r="JQB208" s="128">
        <f>DATA!JQE35</f>
        <v>0</v>
      </c>
      <c r="JQC208" s="128">
        <f>DATA!JQF35</f>
        <v>0</v>
      </c>
      <c r="JQD208" s="128">
        <f>DATA!JQG35</f>
        <v>0</v>
      </c>
      <c r="JQE208" s="128">
        <f>DATA!JQH35</f>
        <v>0</v>
      </c>
      <c r="JQF208" s="128">
        <f>DATA!JQI35</f>
        <v>0</v>
      </c>
      <c r="JQG208" s="128">
        <f>DATA!JQJ35</f>
        <v>0</v>
      </c>
      <c r="JQH208" s="128">
        <f>DATA!JQK35</f>
        <v>0</v>
      </c>
      <c r="JQI208" s="128">
        <f>DATA!JQL35</f>
        <v>0</v>
      </c>
      <c r="JQJ208" s="128">
        <f>DATA!JQM35</f>
        <v>0</v>
      </c>
      <c r="JQK208" s="128">
        <f>DATA!JQN35</f>
        <v>0</v>
      </c>
      <c r="JQL208" s="128">
        <f>DATA!JQO35</f>
        <v>0</v>
      </c>
      <c r="JQM208" s="128">
        <f>DATA!JQP35</f>
        <v>0</v>
      </c>
      <c r="JQN208" s="128">
        <f>DATA!JQQ35</f>
        <v>0</v>
      </c>
      <c r="JQO208" s="128">
        <f>DATA!JQR35</f>
        <v>0</v>
      </c>
      <c r="JQP208" s="128">
        <f>DATA!JQS35</f>
        <v>0</v>
      </c>
      <c r="JQQ208" s="128">
        <f>DATA!JQT35</f>
        <v>0</v>
      </c>
      <c r="JQR208" s="128">
        <f>DATA!JQU35</f>
        <v>0</v>
      </c>
      <c r="JQS208" s="128">
        <f>DATA!JQV35</f>
        <v>0</v>
      </c>
      <c r="JQT208" s="128">
        <f>DATA!JQW35</f>
        <v>0</v>
      </c>
      <c r="JQU208" s="128">
        <f>DATA!JQX35</f>
        <v>0</v>
      </c>
      <c r="JQV208" s="128">
        <f>DATA!JQY35</f>
        <v>0</v>
      </c>
      <c r="JQW208" s="128">
        <f>DATA!JQZ35</f>
        <v>0</v>
      </c>
      <c r="JQX208" s="128">
        <f>DATA!JRA35</f>
        <v>0</v>
      </c>
      <c r="JQY208" s="128">
        <f>DATA!JRB35</f>
        <v>0</v>
      </c>
      <c r="JQZ208" s="128">
        <f>DATA!JRC35</f>
        <v>0</v>
      </c>
      <c r="JRA208" s="128">
        <f>DATA!JRD35</f>
        <v>0</v>
      </c>
      <c r="JRB208" s="128">
        <f>DATA!JRE35</f>
        <v>0</v>
      </c>
      <c r="JRC208" s="128">
        <f>DATA!JRF35</f>
        <v>0</v>
      </c>
      <c r="JRD208" s="128">
        <f>DATA!JRG35</f>
        <v>0</v>
      </c>
      <c r="JRE208" s="128">
        <f>DATA!JRH35</f>
        <v>0</v>
      </c>
      <c r="JRF208" s="128">
        <f>DATA!JRI35</f>
        <v>0</v>
      </c>
      <c r="JRG208" s="128">
        <f>DATA!JRJ35</f>
        <v>0</v>
      </c>
      <c r="JRH208" s="128">
        <f>DATA!JRK35</f>
        <v>0</v>
      </c>
      <c r="JRI208" s="128">
        <f>DATA!JRL35</f>
        <v>0</v>
      </c>
      <c r="JRJ208" s="128">
        <f>DATA!JRM35</f>
        <v>0</v>
      </c>
      <c r="JRK208" s="128">
        <f>DATA!JRN35</f>
        <v>0</v>
      </c>
      <c r="JRL208" s="128">
        <f>DATA!JRO35</f>
        <v>0</v>
      </c>
      <c r="JRM208" s="128">
        <f>DATA!JRP35</f>
        <v>0</v>
      </c>
      <c r="JRN208" s="128">
        <f>DATA!JRQ35</f>
        <v>0</v>
      </c>
      <c r="JRO208" s="128">
        <f>DATA!JRR35</f>
        <v>0</v>
      </c>
      <c r="JRP208" s="128">
        <f>DATA!JRS35</f>
        <v>0</v>
      </c>
      <c r="JRQ208" s="128">
        <f>DATA!JRT35</f>
        <v>0</v>
      </c>
      <c r="JRR208" s="128">
        <f>DATA!JRU35</f>
        <v>0</v>
      </c>
      <c r="JRS208" s="128">
        <f>DATA!JRV35</f>
        <v>0</v>
      </c>
      <c r="JRT208" s="128">
        <f>DATA!JRW35</f>
        <v>0</v>
      </c>
      <c r="JRU208" s="128">
        <f>DATA!JRX35</f>
        <v>0</v>
      </c>
      <c r="JRV208" s="128">
        <f>DATA!JRY35</f>
        <v>0</v>
      </c>
      <c r="JRW208" s="128">
        <f>DATA!JRZ35</f>
        <v>0</v>
      </c>
      <c r="JRX208" s="128">
        <f>DATA!JSA35</f>
        <v>0</v>
      </c>
      <c r="JRY208" s="128">
        <f>DATA!JSB35</f>
        <v>0</v>
      </c>
      <c r="JRZ208" s="128">
        <f>DATA!JSC35</f>
        <v>0</v>
      </c>
      <c r="JSA208" s="128">
        <f>DATA!JSD35</f>
        <v>0</v>
      </c>
      <c r="JSB208" s="128">
        <f>DATA!JSE35</f>
        <v>0</v>
      </c>
      <c r="JSC208" s="128">
        <f>DATA!JSF35</f>
        <v>0</v>
      </c>
      <c r="JSD208" s="128">
        <f>DATA!JSG35</f>
        <v>0</v>
      </c>
      <c r="JSE208" s="128">
        <f>DATA!JSH35</f>
        <v>0</v>
      </c>
      <c r="JSF208" s="128">
        <f>DATA!JSI35</f>
        <v>0</v>
      </c>
      <c r="JSG208" s="128">
        <f>DATA!JSJ35</f>
        <v>0</v>
      </c>
      <c r="JSH208" s="128">
        <f>DATA!JSK35</f>
        <v>0</v>
      </c>
      <c r="JSI208" s="128">
        <f>DATA!JSL35</f>
        <v>0</v>
      </c>
      <c r="JSJ208" s="128">
        <f>DATA!JSM35</f>
        <v>0</v>
      </c>
      <c r="JSK208" s="128">
        <f>DATA!JSN35</f>
        <v>0</v>
      </c>
      <c r="JSL208" s="128">
        <f>DATA!JSO35</f>
        <v>0</v>
      </c>
      <c r="JSM208" s="128">
        <f>DATA!JSP35</f>
        <v>0</v>
      </c>
      <c r="JSN208" s="128">
        <f>DATA!JSQ35</f>
        <v>0</v>
      </c>
      <c r="JSO208" s="128">
        <f>DATA!JSR35</f>
        <v>0</v>
      </c>
      <c r="JSP208" s="128">
        <f>DATA!JSS35</f>
        <v>0</v>
      </c>
      <c r="JSQ208" s="128">
        <f>DATA!JST35</f>
        <v>0</v>
      </c>
      <c r="JSR208" s="128">
        <f>DATA!JSU35</f>
        <v>0</v>
      </c>
      <c r="JSS208" s="128">
        <f>DATA!JSV35</f>
        <v>0</v>
      </c>
      <c r="JST208" s="128">
        <f>DATA!JSW35</f>
        <v>0</v>
      </c>
      <c r="JSU208" s="128">
        <f>DATA!JSX35</f>
        <v>0</v>
      </c>
      <c r="JSV208" s="128">
        <f>DATA!JSY35</f>
        <v>0</v>
      </c>
      <c r="JSW208" s="128">
        <f>DATA!JSZ35</f>
        <v>0</v>
      </c>
      <c r="JSX208" s="128">
        <f>DATA!JTA35</f>
        <v>0</v>
      </c>
      <c r="JSY208" s="128">
        <f>DATA!JTB35</f>
        <v>0</v>
      </c>
      <c r="JSZ208" s="128">
        <f>DATA!JTC35</f>
        <v>0</v>
      </c>
      <c r="JTA208" s="128">
        <f>DATA!JTD35</f>
        <v>0</v>
      </c>
      <c r="JTB208" s="128">
        <f>DATA!JTE35</f>
        <v>0</v>
      </c>
      <c r="JTC208" s="128">
        <f>DATA!JTF35</f>
        <v>0</v>
      </c>
      <c r="JTD208" s="128">
        <f>DATA!JTG35</f>
        <v>0</v>
      </c>
      <c r="JTE208" s="128">
        <f>DATA!JTH35</f>
        <v>0</v>
      </c>
      <c r="JTF208" s="128">
        <f>DATA!JTI35</f>
        <v>0</v>
      </c>
      <c r="JTG208" s="128">
        <f>DATA!JTJ35</f>
        <v>0</v>
      </c>
      <c r="JTH208" s="128">
        <f>DATA!JTK35</f>
        <v>0</v>
      </c>
      <c r="JTI208" s="128">
        <f>DATA!JTL35</f>
        <v>0</v>
      </c>
      <c r="JTJ208" s="128">
        <f>DATA!JTM35</f>
        <v>0</v>
      </c>
      <c r="JTK208" s="128">
        <f>DATA!JTN35</f>
        <v>0</v>
      </c>
      <c r="JTL208" s="128">
        <f>DATA!JTO35</f>
        <v>0</v>
      </c>
      <c r="JTM208" s="128">
        <f>DATA!JTP35</f>
        <v>0</v>
      </c>
      <c r="JTN208" s="128">
        <f>DATA!JTQ35</f>
        <v>0</v>
      </c>
      <c r="JTO208" s="128">
        <f>DATA!JTR35</f>
        <v>0</v>
      </c>
      <c r="JTP208" s="128">
        <f>DATA!JTS35</f>
        <v>0</v>
      </c>
      <c r="JTQ208" s="128">
        <f>DATA!JTT35</f>
        <v>0</v>
      </c>
      <c r="JTR208" s="128">
        <f>DATA!JTU35</f>
        <v>0</v>
      </c>
      <c r="JTS208" s="128">
        <f>DATA!JTV35</f>
        <v>0</v>
      </c>
      <c r="JTT208" s="128">
        <f>DATA!JTW35</f>
        <v>0</v>
      </c>
      <c r="JTU208" s="128">
        <f>DATA!JTX35</f>
        <v>0</v>
      </c>
      <c r="JTV208" s="128">
        <f>DATA!JTY35</f>
        <v>0</v>
      </c>
      <c r="JTW208" s="128">
        <f>DATA!JTZ35</f>
        <v>0</v>
      </c>
      <c r="JTX208" s="128">
        <f>DATA!JUA35</f>
        <v>0</v>
      </c>
      <c r="JTY208" s="128">
        <f>DATA!JUB35</f>
        <v>0</v>
      </c>
      <c r="JTZ208" s="128">
        <f>DATA!JUC35</f>
        <v>0</v>
      </c>
      <c r="JUA208" s="128">
        <f>DATA!JUD35</f>
        <v>0</v>
      </c>
      <c r="JUB208" s="128">
        <f>DATA!JUE35</f>
        <v>0</v>
      </c>
      <c r="JUC208" s="128">
        <f>DATA!JUF35</f>
        <v>0</v>
      </c>
      <c r="JUD208" s="128">
        <f>DATA!JUG35</f>
        <v>0</v>
      </c>
      <c r="JUE208" s="128">
        <f>DATA!JUH35</f>
        <v>0</v>
      </c>
      <c r="JUF208" s="128">
        <f>DATA!JUI35</f>
        <v>0</v>
      </c>
      <c r="JUG208" s="128">
        <f>DATA!JUJ35</f>
        <v>0</v>
      </c>
      <c r="JUH208" s="128">
        <f>DATA!JUK35</f>
        <v>0</v>
      </c>
      <c r="JUI208" s="128">
        <f>DATA!JUL35</f>
        <v>0</v>
      </c>
      <c r="JUJ208" s="128">
        <f>DATA!JUM35</f>
        <v>0</v>
      </c>
      <c r="JUK208" s="128">
        <f>DATA!JUN35</f>
        <v>0</v>
      </c>
      <c r="JUL208" s="128">
        <f>DATA!JUO35</f>
        <v>0</v>
      </c>
      <c r="JUM208" s="128">
        <f>DATA!JUP35</f>
        <v>0</v>
      </c>
      <c r="JUN208" s="128">
        <f>DATA!JUQ35</f>
        <v>0</v>
      </c>
      <c r="JUO208" s="128">
        <f>DATA!JUR35</f>
        <v>0</v>
      </c>
      <c r="JUP208" s="128">
        <f>DATA!JUS35</f>
        <v>0</v>
      </c>
      <c r="JUQ208" s="128">
        <f>DATA!JUT35</f>
        <v>0</v>
      </c>
      <c r="JUR208" s="128">
        <f>DATA!JUU35</f>
        <v>0</v>
      </c>
      <c r="JUS208" s="128">
        <f>DATA!JUV35</f>
        <v>0</v>
      </c>
      <c r="JUT208" s="128">
        <f>DATA!JUW35</f>
        <v>0</v>
      </c>
      <c r="JUU208" s="128">
        <f>DATA!JUX35</f>
        <v>0</v>
      </c>
      <c r="JUV208" s="128">
        <f>DATA!JUY35</f>
        <v>0</v>
      </c>
      <c r="JUW208" s="128">
        <f>DATA!JUZ35</f>
        <v>0</v>
      </c>
      <c r="JUX208" s="128">
        <f>DATA!JVA35</f>
        <v>0</v>
      </c>
      <c r="JUY208" s="128">
        <f>DATA!JVB35</f>
        <v>0</v>
      </c>
      <c r="JUZ208" s="128">
        <f>DATA!JVC35</f>
        <v>0</v>
      </c>
      <c r="JVA208" s="128">
        <f>DATA!JVD35</f>
        <v>0</v>
      </c>
      <c r="JVB208" s="128">
        <f>DATA!JVE35</f>
        <v>0</v>
      </c>
      <c r="JVC208" s="128">
        <f>DATA!JVF35</f>
        <v>0</v>
      </c>
      <c r="JVD208" s="128">
        <f>DATA!JVG35</f>
        <v>0</v>
      </c>
      <c r="JVE208" s="128">
        <f>DATA!JVH35</f>
        <v>0</v>
      </c>
      <c r="JVF208" s="128">
        <f>DATA!JVI35</f>
        <v>0</v>
      </c>
      <c r="JVG208" s="128">
        <f>DATA!JVJ35</f>
        <v>0</v>
      </c>
      <c r="JVH208" s="128">
        <f>DATA!JVK35</f>
        <v>0</v>
      </c>
      <c r="JVI208" s="128">
        <f>DATA!JVL35</f>
        <v>0</v>
      </c>
      <c r="JVJ208" s="128">
        <f>DATA!JVM35</f>
        <v>0</v>
      </c>
      <c r="JVK208" s="128">
        <f>DATA!JVN35</f>
        <v>0</v>
      </c>
      <c r="JVL208" s="128">
        <f>DATA!JVO35</f>
        <v>0</v>
      </c>
      <c r="JVM208" s="128">
        <f>DATA!JVP35</f>
        <v>0</v>
      </c>
      <c r="JVN208" s="128">
        <f>DATA!JVQ35</f>
        <v>0</v>
      </c>
      <c r="JVO208" s="128">
        <f>DATA!JVR35</f>
        <v>0</v>
      </c>
      <c r="JVP208" s="128">
        <f>DATA!JVS35</f>
        <v>0</v>
      </c>
      <c r="JVQ208" s="128">
        <f>DATA!JVT35</f>
        <v>0</v>
      </c>
      <c r="JVR208" s="128">
        <f>DATA!JVU35</f>
        <v>0</v>
      </c>
      <c r="JVS208" s="128">
        <f>DATA!JVV35</f>
        <v>0</v>
      </c>
      <c r="JVT208" s="128">
        <f>DATA!JVW35</f>
        <v>0</v>
      </c>
      <c r="JVU208" s="128">
        <f>DATA!JVX35</f>
        <v>0</v>
      </c>
      <c r="JVV208" s="128">
        <f>DATA!JVY35</f>
        <v>0</v>
      </c>
      <c r="JVW208" s="128">
        <f>DATA!JVZ35</f>
        <v>0</v>
      </c>
      <c r="JVX208" s="128">
        <f>DATA!JWA35</f>
        <v>0</v>
      </c>
      <c r="JVY208" s="128">
        <f>DATA!JWB35</f>
        <v>0</v>
      </c>
      <c r="JVZ208" s="128">
        <f>DATA!JWC35</f>
        <v>0</v>
      </c>
      <c r="JWA208" s="128">
        <f>DATA!JWD35</f>
        <v>0</v>
      </c>
      <c r="JWB208" s="128">
        <f>DATA!JWE35</f>
        <v>0</v>
      </c>
      <c r="JWC208" s="128">
        <f>DATA!JWF35</f>
        <v>0</v>
      </c>
      <c r="JWD208" s="128">
        <f>DATA!JWG35</f>
        <v>0</v>
      </c>
      <c r="JWE208" s="128">
        <f>DATA!JWH35</f>
        <v>0</v>
      </c>
      <c r="JWF208" s="128">
        <f>DATA!JWI35</f>
        <v>0</v>
      </c>
      <c r="JWG208" s="128">
        <f>DATA!JWJ35</f>
        <v>0</v>
      </c>
      <c r="JWH208" s="128">
        <f>DATA!JWK35</f>
        <v>0</v>
      </c>
      <c r="JWI208" s="128">
        <f>DATA!JWL35</f>
        <v>0</v>
      </c>
      <c r="JWJ208" s="128">
        <f>DATA!JWM35</f>
        <v>0</v>
      </c>
      <c r="JWK208" s="128">
        <f>DATA!JWN35</f>
        <v>0</v>
      </c>
      <c r="JWL208" s="128">
        <f>DATA!JWO35</f>
        <v>0</v>
      </c>
      <c r="JWM208" s="128">
        <f>DATA!JWP35</f>
        <v>0</v>
      </c>
      <c r="JWN208" s="128">
        <f>DATA!JWQ35</f>
        <v>0</v>
      </c>
      <c r="JWO208" s="128">
        <f>DATA!JWR35</f>
        <v>0</v>
      </c>
      <c r="JWP208" s="128">
        <f>DATA!JWS35</f>
        <v>0</v>
      </c>
      <c r="JWQ208" s="128">
        <f>DATA!JWT35</f>
        <v>0</v>
      </c>
      <c r="JWR208" s="128">
        <f>DATA!JWU35</f>
        <v>0</v>
      </c>
      <c r="JWS208" s="128">
        <f>DATA!JWV35</f>
        <v>0</v>
      </c>
      <c r="JWT208" s="128">
        <f>DATA!JWW35</f>
        <v>0</v>
      </c>
      <c r="JWU208" s="128">
        <f>DATA!JWX35</f>
        <v>0</v>
      </c>
      <c r="JWV208" s="128">
        <f>DATA!JWY35</f>
        <v>0</v>
      </c>
      <c r="JWW208" s="128">
        <f>DATA!JWZ35</f>
        <v>0</v>
      </c>
      <c r="JWX208" s="128">
        <f>DATA!JXA35</f>
        <v>0</v>
      </c>
      <c r="JWY208" s="128">
        <f>DATA!JXB35</f>
        <v>0</v>
      </c>
      <c r="JWZ208" s="128">
        <f>DATA!JXC35</f>
        <v>0</v>
      </c>
      <c r="JXA208" s="128">
        <f>DATA!JXD35</f>
        <v>0</v>
      </c>
      <c r="JXB208" s="128">
        <f>DATA!JXE35</f>
        <v>0</v>
      </c>
      <c r="JXC208" s="128">
        <f>DATA!JXF35</f>
        <v>0</v>
      </c>
      <c r="JXD208" s="128">
        <f>DATA!JXG35</f>
        <v>0</v>
      </c>
      <c r="JXE208" s="128">
        <f>DATA!JXH35</f>
        <v>0</v>
      </c>
      <c r="JXF208" s="128">
        <f>DATA!JXI35</f>
        <v>0</v>
      </c>
      <c r="JXG208" s="128">
        <f>DATA!JXJ35</f>
        <v>0</v>
      </c>
      <c r="JXH208" s="128">
        <f>DATA!JXK35</f>
        <v>0</v>
      </c>
      <c r="JXI208" s="128">
        <f>DATA!JXL35</f>
        <v>0</v>
      </c>
      <c r="JXJ208" s="128">
        <f>DATA!JXM35</f>
        <v>0</v>
      </c>
      <c r="JXK208" s="128">
        <f>DATA!JXN35</f>
        <v>0</v>
      </c>
      <c r="JXL208" s="128">
        <f>DATA!JXO35</f>
        <v>0</v>
      </c>
      <c r="JXM208" s="128">
        <f>DATA!JXP35</f>
        <v>0</v>
      </c>
      <c r="JXN208" s="128">
        <f>DATA!JXQ35</f>
        <v>0</v>
      </c>
      <c r="JXO208" s="128">
        <f>DATA!JXR35</f>
        <v>0</v>
      </c>
      <c r="JXP208" s="128">
        <f>DATA!JXS35</f>
        <v>0</v>
      </c>
      <c r="JXQ208" s="128">
        <f>DATA!JXT35</f>
        <v>0</v>
      </c>
      <c r="JXR208" s="128">
        <f>DATA!JXU35</f>
        <v>0</v>
      </c>
      <c r="JXS208" s="128">
        <f>DATA!JXV35</f>
        <v>0</v>
      </c>
      <c r="JXT208" s="128">
        <f>DATA!JXW35</f>
        <v>0</v>
      </c>
      <c r="JXU208" s="128">
        <f>DATA!JXX35</f>
        <v>0</v>
      </c>
      <c r="JXV208" s="128">
        <f>DATA!JXY35</f>
        <v>0</v>
      </c>
      <c r="JXW208" s="128">
        <f>DATA!JXZ35</f>
        <v>0</v>
      </c>
      <c r="JXX208" s="128">
        <f>DATA!JYA35</f>
        <v>0</v>
      </c>
      <c r="JXY208" s="128">
        <f>DATA!JYB35</f>
        <v>0</v>
      </c>
      <c r="JXZ208" s="128">
        <f>DATA!JYC35</f>
        <v>0</v>
      </c>
      <c r="JYA208" s="128">
        <f>DATA!JYD35</f>
        <v>0</v>
      </c>
      <c r="JYB208" s="128">
        <f>DATA!JYE35</f>
        <v>0</v>
      </c>
      <c r="JYC208" s="128">
        <f>DATA!JYF35</f>
        <v>0</v>
      </c>
      <c r="JYD208" s="128">
        <f>DATA!JYG35</f>
        <v>0</v>
      </c>
      <c r="JYE208" s="128">
        <f>DATA!JYH35</f>
        <v>0</v>
      </c>
      <c r="JYF208" s="128">
        <f>DATA!JYI35</f>
        <v>0</v>
      </c>
      <c r="JYG208" s="128">
        <f>DATA!JYJ35</f>
        <v>0</v>
      </c>
      <c r="JYH208" s="128">
        <f>DATA!JYK35</f>
        <v>0</v>
      </c>
      <c r="JYI208" s="128">
        <f>DATA!JYL35</f>
        <v>0</v>
      </c>
      <c r="JYJ208" s="128">
        <f>DATA!JYM35</f>
        <v>0</v>
      </c>
      <c r="JYK208" s="128">
        <f>DATA!JYN35</f>
        <v>0</v>
      </c>
      <c r="JYL208" s="128">
        <f>DATA!JYO35</f>
        <v>0</v>
      </c>
      <c r="JYM208" s="128">
        <f>DATA!JYP35</f>
        <v>0</v>
      </c>
      <c r="JYN208" s="128">
        <f>DATA!JYQ35</f>
        <v>0</v>
      </c>
      <c r="JYO208" s="128">
        <f>DATA!JYR35</f>
        <v>0</v>
      </c>
      <c r="JYP208" s="128">
        <f>DATA!JYS35</f>
        <v>0</v>
      </c>
      <c r="JYQ208" s="128">
        <f>DATA!JYT35</f>
        <v>0</v>
      </c>
      <c r="JYR208" s="128">
        <f>DATA!JYU35</f>
        <v>0</v>
      </c>
      <c r="JYS208" s="128">
        <f>DATA!JYV35</f>
        <v>0</v>
      </c>
      <c r="JYT208" s="128">
        <f>DATA!JYW35</f>
        <v>0</v>
      </c>
      <c r="JYU208" s="128">
        <f>DATA!JYX35</f>
        <v>0</v>
      </c>
      <c r="JYV208" s="128">
        <f>DATA!JYY35</f>
        <v>0</v>
      </c>
      <c r="JYW208" s="128">
        <f>DATA!JYZ35</f>
        <v>0</v>
      </c>
      <c r="JYX208" s="128">
        <f>DATA!JZA35</f>
        <v>0</v>
      </c>
      <c r="JYY208" s="128">
        <f>DATA!JZB35</f>
        <v>0</v>
      </c>
      <c r="JYZ208" s="128">
        <f>DATA!JZC35</f>
        <v>0</v>
      </c>
      <c r="JZA208" s="128">
        <f>DATA!JZD35</f>
        <v>0</v>
      </c>
      <c r="JZB208" s="128">
        <f>DATA!JZE35</f>
        <v>0</v>
      </c>
      <c r="JZC208" s="128">
        <f>DATA!JZF35</f>
        <v>0</v>
      </c>
      <c r="JZD208" s="128">
        <f>DATA!JZG35</f>
        <v>0</v>
      </c>
      <c r="JZE208" s="128">
        <f>DATA!JZH35</f>
        <v>0</v>
      </c>
      <c r="JZF208" s="128">
        <f>DATA!JZI35</f>
        <v>0</v>
      </c>
      <c r="JZG208" s="128">
        <f>DATA!JZJ35</f>
        <v>0</v>
      </c>
      <c r="JZH208" s="128">
        <f>DATA!JZK35</f>
        <v>0</v>
      </c>
      <c r="JZI208" s="128">
        <f>DATA!JZL35</f>
        <v>0</v>
      </c>
      <c r="JZJ208" s="128">
        <f>DATA!JZM35</f>
        <v>0</v>
      </c>
      <c r="JZK208" s="128">
        <f>DATA!JZN35</f>
        <v>0</v>
      </c>
      <c r="JZL208" s="128">
        <f>DATA!JZO35</f>
        <v>0</v>
      </c>
      <c r="JZM208" s="128">
        <f>DATA!JZP35</f>
        <v>0</v>
      </c>
      <c r="JZN208" s="128">
        <f>DATA!JZQ35</f>
        <v>0</v>
      </c>
      <c r="JZO208" s="128">
        <f>DATA!JZR35</f>
        <v>0</v>
      </c>
      <c r="JZP208" s="128">
        <f>DATA!JZS35</f>
        <v>0</v>
      </c>
      <c r="JZQ208" s="128">
        <f>DATA!JZT35</f>
        <v>0</v>
      </c>
      <c r="JZR208" s="128">
        <f>DATA!JZU35</f>
        <v>0</v>
      </c>
      <c r="JZS208" s="128">
        <f>DATA!JZV35</f>
        <v>0</v>
      </c>
      <c r="JZT208" s="128">
        <f>DATA!JZW35</f>
        <v>0</v>
      </c>
      <c r="JZU208" s="128">
        <f>DATA!JZX35</f>
        <v>0</v>
      </c>
      <c r="JZV208" s="128">
        <f>DATA!JZY35</f>
        <v>0</v>
      </c>
      <c r="JZW208" s="128">
        <f>DATA!JZZ35</f>
        <v>0</v>
      </c>
      <c r="JZX208" s="128">
        <f>DATA!KAA35</f>
        <v>0</v>
      </c>
      <c r="JZY208" s="128">
        <f>DATA!KAB35</f>
        <v>0</v>
      </c>
      <c r="JZZ208" s="128">
        <f>DATA!KAC35</f>
        <v>0</v>
      </c>
      <c r="KAA208" s="128">
        <f>DATA!KAD35</f>
        <v>0</v>
      </c>
      <c r="KAB208" s="128">
        <f>DATA!KAE35</f>
        <v>0</v>
      </c>
      <c r="KAC208" s="128">
        <f>DATA!KAF35</f>
        <v>0</v>
      </c>
      <c r="KAD208" s="128">
        <f>DATA!KAG35</f>
        <v>0</v>
      </c>
      <c r="KAE208" s="128">
        <f>DATA!KAH35</f>
        <v>0</v>
      </c>
      <c r="KAF208" s="128">
        <f>DATA!KAI35</f>
        <v>0</v>
      </c>
      <c r="KAG208" s="128">
        <f>DATA!KAJ35</f>
        <v>0</v>
      </c>
      <c r="KAH208" s="128">
        <f>DATA!KAK35</f>
        <v>0</v>
      </c>
      <c r="KAI208" s="128">
        <f>DATA!KAL35</f>
        <v>0</v>
      </c>
      <c r="KAJ208" s="128">
        <f>DATA!KAM35</f>
        <v>0</v>
      </c>
      <c r="KAK208" s="128">
        <f>DATA!KAN35</f>
        <v>0</v>
      </c>
      <c r="KAL208" s="128">
        <f>DATA!KAO35</f>
        <v>0</v>
      </c>
      <c r="KAM208" s="128">
        <f>DATA!KAP35</f>
        <v>0</v>
      </c>
      <c r="KAN208" s="128">
        <f>DATA!KAQ35</f>
        <v>0</v>
      </c>
      <c r="KAO208" s="128">
        <f>DATA!KAR35</f>
        <v>0</v>
      </c>
      <c r="KAP208" s="128">
        <f>DATA!KAS35</f>
        <v>0</v>
      </c>
      <c r="KAQ208" s="128">
        <f>DATA!KAT35</f>
        <v>0</v>
      </c>
      <c r="KAR208" s="128">
        <f>DATA!KAU35</f>
        <v>0</v>
      </c>
      <c r="KAS208" s="128">
        <f>DATA!KAV35</f>
        <v>0</v>
      </c>
      <c r="KAT208" s="128">
        <f>DATA!KAW35</f>
        <v>0</v>
      </c>
      <c r="KAU208" s="128">
        <f>DATA!KAX35</f>
        <v>0</v>
      </c>
      <c r="KAV208" s="128">
        <f>DATA!KAY35</f>
        <v>0</v>
      </c>
      <c r="KAW208" s="128">
        <f>DATA!KAZ35</f>
        <v>0</v>
      </c>
      <c r="KAX208" s="128">
        <f>DATA!KBA35</f>
        <v>0</v>
      </c>
      <c r="KAY208" s="128">
        <f>DATA!KBB35</f>
        <v>0</v>
      </c>
      <c r="KAZ208" s="128">
        <f>DATA!KBC35</f>
        <v>0</v>
      </c>
      <c r="KBA208" s="128">
        <f>DATA!KBD35</f>
        <v>0</v>
      </c>
      <c r="KBB208" s="128">
        <f>DATA!KBE35</f>
        <v>0</v>
      </c>
      <c r="KBC208" s="128">
        <f>DATA!KBF35</f>
        <v>0</v>
      </c>
      <c r="KBD208" s="128">
        <f>DATA!KBG35</f>
        <v>0</v>
      </c>
      <c r="KBE208" s="128">
        <f>DATA!KBH35</f>
        <v>0</v>
      </c>
      <c r="KBF208" s="128">
        <f>DATA!KBI35</f>
        <v>0</v>
      </c>
      <c r="KBG208" s="128">
        <f>DATA!KBJ35</f>
        <v>0</v>
      </c>
      <c r="KBH208" s="128">
        <f>DATA!KBK35</f>
        <v>0</v>
      </c>
      <c r="KBI208" s="128">
        <f>DATA!KBL35</f>
        <v>0</v>
      </c>
      <c r="KBJ208" s="128">
        <f>DATA!KBM35</f>
        <v>0</v>
      </c>
      <c r="KBK208" s="128">
        <f>DATA!KBN35</f>
        <v>0</v>
      </c>
      <c r="KBL208" s="128">
        <f>DATA!KBO35</f>
        <v>0</v>
      </c>
      <c r="KBM208" s="128">
        <f>DATA!KBP35</f>
        <v>0</v>
      </c>
      <c r="KBN208" s="128">
        <f>DATA!KBQ35</f>
        <v>0</v>
      </c>
      <c r="KBO208" s="128">
        <f>DATA!KBR35</f>
        <v>0</v>
      </c>
      <c r="KBP208" s="128">
        <f>DATA!KBS35</f>
        <v>0</v>
      </c>
      <c r="KBQ208" s="128">
        <f>DATA!KBT35</f>
        <v>0</v>
      </c>
      <c r="KBR208" s="128">
        <f>DATA!KBU35</f>
        <v>0</v>
      </c>
      <c r="KBS208" s="128">
        <f>DATA!KBV35</f>
        <v>0</v>
      </c>
      <c r="KBT208" s="128">
        <f>DATA!KBW35</f>
        <v>0</v>
      </c>
      <c r="KBU208" s="128">
        <f>DATA!KBX35</f>
        <v>0</v>
      </c>
      <c r="KBV208" s="128">
        <f>DATA!KBY35</f>
        <v>0</v>
      </c>
      <c r="KBW208" s="128">
        <f>DATA!KBZ35</f>
        <v>0</v>
      </c>
      <c r="KBX208" s="128">
        <f>DATA!KCA35</f>
        <v>0</v>
      </c>
      <c r="KBY208" s="128">
        <f>DATA!KCB35</f>
        <v>0</v>
      </c>
      <c r="KBZ208" s="128">
        <f>DATA!KCC35</f>
        <v>0</v>
      </c>
      <c r="KCA208" s="128">
        <f>DATA!KCD35</f>
        <v>0</v>
      </c>
      <c r="KCB208" s="128">
        <f>DATA!KCE35</f>
        <v>0</v>
      </c>
      <c r="KCC208" s="128">
        <f>DATA!KCF35</f>
        <v>0</v>
      </c>
      <c r="KCD208" s="128">
        <f>DATA!KCG35</f>
        <v>0</v>
      </c>
      <c r="KCE208" s="128">
        <f>DATA!KCH35</f>
        <v>0</v>
      </c>
      <c r="KCF208" s="128">
        <f>DATA!KCI35</f>
        <v>0</v>
      </c>
      <c r="KCG208" s="128">
        <f>DATA!KCJ35</f>
        <v>0</v>
      </c>
      <c r="KCH208" s="128">
        <f>DATA!KCK35</f>
        <v>0</v>
      </c>
      <c r="KCI208" s="128">
        <f>DATA!KCL35</f>
        <v>0</v>
      </c>
      <c r="KCJ208" s="128">
        <f>DATA!KCM35</f>
        <v>0</v>
      </c>
      <c r="KCK208" s="128">
        <f>DATA!KCN35</f>
        <v>0</v>
      </c>
      <c r="KCL208" s="128">
        <f>DATA!KCO35</f>
        <v>0</v>
      </c>
      <c r="KCM208" s="128">
        <f>DATA!KCP35</f>
        <v>0</v>
      </c>
      <c r="KCN208" s="128">
        <f>DATA!KCQ35</f>
        <v>0</v>
      </c>
      <c r="KCO208" s="128">
        <f>DATA!KCR35</f>
        <v>0</v>
      </c>
      <c r="KCP208" s="128">
        <f>DATA!KCS35</f>
        <v>0</v>
      </c>
      <c r="KCQ208" s="128">
        <f>DATA!KCT35</f>
        <v>0</v>
      </c>
      <c r="KCR208" s="128">
        <f>DATA!KCU35</f>
        <v>0</v>
      </c>
      <c r="KCS208" s="128">
        <f>DATA!KCV35</f>
        <v>0</v>
      </c>
      <c r="KCT208" s="128">
        <f>DATA!KCW35</f>
        <v>0</v>
      </c>
      <c r="KCU208" s="128">
        <f>DATA!KCX35</f>
        <v>0</v>
      </c>
      <c r="KCV208" s="128">
        <f>DATA!KCY35</f>
        <v>0</v>
      </c>
      <c r="KCW208" s="128">
        <f>DATA!KCZ35</f>
        <v>0</v>
      </c>
      <c r="KCX208" s="128">
        <f>DATA!KDA35</f>
        <v>0</v>
      </c>
      <c r="KCY208" s="128">
        <f>DATA!KDB35</f>
        <v>0</v>
      </c>
      <c r="KCZ208" s="128">
        <f>DATA!KDC35</f>
        <v>0</v>
      </c>
      <c r="KDA208" s="128">
        <f>DATA!KDD35</f>
        <v>0</v>
      </c>
      <c r="KDB208" s="128">
        <f>DATA!KDE35</f>
        <v>0</v>
      </c>
      <c r="KDC208" s="128">
        <f>DATA!KDF35</f>
        <v>0</v>
      </c>
      <c r="KDD208" s="128">
        <f>DATA!KDG35</f>
        <v>0</v>
      </c>
      <c r="KDE208" s="128">
        <f>DATA!KDH35</f>
        <v>0</v>
      </c>
      <c r="KDF208" s="128">
        <f>DATA!KDI35</f>
        <v>0</v>
      </c>
      <c r="KDG208" s="128">
        <f>DATA!KDJ35</f>
        <v>0</v>
      </c>
      <c r="KDH208" s="128">
        <f>DATA!KDK35</f>
        <v>0</v>
      </c>
      <c r="KDI208" s="128">
        <f>DATA!KDL35</f>
        <v>0</v>
      </c>
      <c r="KDJ208" s="128">
        <f>DATA!KDM35</f>
        <v>0</v>
      </c>
      <c r="KDK208" s="128">
        <f>DATA!KDN35</f>
        <v>0</v>
      </c>
      <c r="KDL208" s="128">
        <f>DATA!KDO35</f>
        <v>0</v>
      </c>
      <c r="KDM208" s="128">
        <f>DATA!KDP35</f>
        <v>0</v>
      </c>
      <c r="KDN208" s="128">
        <f>DATA!KDQ35</f>
        <v>0</v>
      </c>
      <c r="KDO208" s="128">
        <f>DATA!KDR35</f>
        <v>0</v>
      </c>
      <c r="KDP208" s="128">
        <f>DATA!KDS35</f>
        <v>0</v>
      </c>
      <c r="KDQ208" s="128">
        <f>DATA!KDT35</f>
        <v>0</v>
      </c>
      <c r="KDR208" s="128">
        <f>DATA!KDU35</f>
        <v>0</v>
      </c>
      <c r="KDS208" s="128">
        <f>DATA!KDV35</f>
        <v>0</v>
      </c>
      <c r="KDT208" s="128">
        <f>DATA!KDW35</f>
        <v>0</v>
      </c>
      <c r="KDU208" s="128">
        <f>DATA!KDX35</f>
        <v>0</v>
      </c>
      <c r="KDV208" s="128">
        <f>DATA!KDY35</f>
        <v>0</v>
      </c>
      <c r="KDW208" s="128">
        <f>DATA!KDZ35</f>
        <v>0</v>
      </c>
      <c r="KDX208" s="128">
        <f>DATA!KEA35</f>
        <v>0</v>
      </c>
      <c r="KDY208" s="128">
        <f>DATA!KEB35</f>
        <v>0</v>
      </c>
      <c r="KDZ208" s="128">
        <f>DATA!KEC35</f>
        <v>0</v>
      </c>
      <c r="KEA208" s="128">
        <f>DATA!KED35</f>
        <v>0</v>
      </c>
      <c r="KEB208" s="128">
        <f>DATA!KEE35</f>
        <v>0</v>
      </c>
      <c r="KEC208" s="128">
        <f>DATA!KEF35</f>
        <v>0</v>
      </c>
      <c r="KED208" s="128">
        <f>DATA!KEG35</f>
        <v>0</v>
      </c>
      <c r="KEE208" s="128">
        <f>DATA!KEH35</f>
        <v>0</v>
      </c>
      <c r="KEF208" s="128">
        <f>DATA!KEI35</f>
        <v>0</v>
      </c>
      <c r="KEG208" s="128">
        <f>DATA!KEJ35</f>
        <v>0</v>
      </c>
      <c r="KEH208" s="128">
        <f>DATA!KEK35</f>
        <v>0</v>
      </c>
      <c r="KEI208" s="128">
        <f>DATA!KEL35</f>
        <v>0</v>
      </c>
      <c r="KEJ208" s="128">
        <f>DATA!KEM35</f>
        <v>0</v>
      </c>
      <c r="KEK208" s="128">
        <f>DATA!KEN35</f>
        <v>0</v>
      </c>
      <c r="KEL208" s="128">
        <f>DATA!KEO35</f>
        <v>0</v>
      </c>
      <c r="KEM208" s="128">
        <f>DATA!KEP35</f>
        <v>0</v>
      </c>
      <c r="KEN208" s="128">
        <f>DATA!KEQ35</f>
        <v>0</v>
      </c>
      <c r="KEO208" s="128">
        <f>DATA!KER35</f>
        <v>0</v>
      </c>
      <c r="KEP208" s="128">
        <f>DATA!KES35</f>
        <v>0</v>
      </c>
      <c r="KEQ208" s="128">
        <f>DATA!KET35</f>
        <v>0</v>
      </c>
      <c r="KER208" s="128">
        <f>DATA!KEU35</f>
        <v>0</v>
      </c>
      <c r="KES208" s="128">
        <f>DATA!KEV35</f>
        <v>0</v>
      </c>
      <c r="KET208" s="128">
        <f>DATA!KEW35</f>
        <v>0</v>
      </c>
      <c r="KEU208" s="128">
        <f>DATA!KEX35</f>
        <v>0</v>
      </c>
      <c r="KEV208" s="128">
        <f>DATA!KEY35</f>
        <v>0</v>
      </c>
      <c r="KEW208" s="128">
        <f>DATA!KEZ35</f>
        <v>0</v>
      </c>
      <c r="KEX208" s="128">
        <f>DATA!KFA35</f>
        <v>0</v>
      </c>
      <c r="KEY208" s="128">
        <f>DATA!KFB35</f>
        <v>0</v>
      </c>
      <c r="KEZ208" s="128">
        <f>DATA!KFC35</f>
        <v>0</v>
      </c>
      <c r="KFA208" s="128">
        <f>DATA!KFD35</f>
        <v>0</v>
      </c>
      <c r="KFB208" s="128">
        <f>DATA!KFE35</f>
        <v>0</v>
      </c>
      <c r="KFC208" s="128">
        <f>DATA!KFF35</f>
        <v>0</v>
      </c>
      <c r="KFD208" s="128">
        <f>DATA!KFG35</f>
        <v>0</v>
      </c>
      <c r="KFE208" s="128">
        <f>DATA!KFH35</f>
        <v>0</v>
      </c>
      <c r="KFF208" s="128">
        <f>DATA!KFI35</f>
        <v>0</v>
      </c>
      <c r="KFG208" s="128">
        <f>DATA!KFJ35</f>
        <v>0</v>
      </c>
      <c r="KFH208" s="128">
        <f>DATA!KFK35</f>
        <v>0</v>
      </c>
      <c r="KFI208" s="128">
        <f>DATA!KFL35</f>
        <v>0</v>
      </c>
      <c r="KFJ208" s="128">
        <f>DATA!KFM35</f>
        <v>0</v>
      </c>
      <c r="KFK208" s="128">
        <f>DATA!KFN35</f>
        <v>0</v>
      </c>
      <c r="KFL208" s="128">
        <f>DATA!KFO35</f>
        <v>0</v>
      </c>
      <c r="KFM208" s="128">
        <f>DATA!KFP35</f>
        <v>0</v>
      </c>
      <c r="KFN208" s="128">
        <f>DATA!KFQ35</f>
        <v>0</v>
      </c>
      <c r="KFO208" s="128">
        <f>DATA!KFR35</f>
        <v>0</v>
      </c>
      <c r="KFP208" s="128">
        <f>DATA!KFS35</f>
        <v>0</v>
      </c>
      <c r="KFQ208" s="128">
        <f>DATA!KFT35</f>
        <v>0</v>
      </c>
      <c r="KFR208" s="128">
        <f>DATA!KFU35</f>
        <v>0</v>
      </c>
      <c r="KFS208" s="128">
        <f>DATA!KFV35</f>
        <v>0</v>
      </c>
      <c r="KFT208" s="128">
        <f>DATA!KFW35</f>
        <v>0</v>
      </c>
      <c r="KFU208" s="128">
        <f>DATA!KFX35</f>
        <v>0</v>
      </c>
      <c r="KFV208" s="128">
        <f>DATA!KFY35</f>
        <v>0</v>
      </c>
      <c r="KFW208" s="128">
        <f>DATA!KFZ35</f>
        <v>0</v>
      </c>
      <c r="KFX208" s="128">
        <f>DATA!KGA35</f>
        <v>0</v>
      </c>
      <c r="KFY208" s="128">
        <f>DATA!KGB35</f>
        <v>0</v>
      </c>
      <c r="KFZ208" s="128">
        <f>DATA!KGC35</f>
        <v>0</v>
      </c>
      <c r="KGA208" s="128">
        <f>DATA!KGD35</f>
        <v>0</v>
      </c>
      <c r="KGB208" s="128">
        <f>DATA!KGE35</f>
        <v>0</v>
      </c>
      <c r="KGC208" s="128">
        <f>DATA!KGF35</f>
        <v>0</v>
      </c>
      <c r="KGD208" s="128">
        <f>DATA!KGG35</f>
        <v>0</v>
      </c>
      <c r="KGE208" s="128">
        <f>DATA!KGH35</f>
        <v>0</v>
      </c>
      <c r="KGF208" s="128">
        <f>DATA!KGI35</f>
        <v>0</v>
      </c>
      <c r="KGG208" s="128">
        <f>DATA!KGJ35</f>
        <v>0</v>
      </c>
      <c r="KGH208" s="128">
        <f>DATA!KGK35</f>
        <v>0</v>
      </c>
      <c r="KGI208" s="128">
        <f>DATA!KGL35</f>
        <v>0</v>
      </c>
      <c r="KGJ208" s="128">
        <f>DATA!KGM35</f>
        <v>0</v>
      </c>
      <c r="KGK208" s="128">
        <f>DATA!KGN35</f>
        <v>0</v>
      </c>
      <c r="KGL208" s="128">
        <f>DATA!KGO35</f>
        <v>0</v>
      </c>
      <c r="KGM208" s="128">
        <f>DATA!KGP35</f>
        <v>0</v>
      </c>
      <c r="KGN208" s="128">
        <f>DATA!KGQ35</f>
        <v>0</v>
      </c>
      <c r="KGO208" s="128">
        <f>DATA!KGR35</f>
        <v>0</v>
      </c>
      <c r="KGP208" s="128">
        <f>DATA!KGS35</f>
        <v>0</v>
      </c>
      <c r="KGQ208" s="128">
        <f>DATA!KGT35</f>
        <v>0</v>
      </c>
      <c r="KGR208" s="128">
        <f>DATA!KGU35</f>
        <v>0</v>
      </c>
      <c r="KGS208" s="128">
        <f>DATA!KGV35</f>
        <v>0</v>
      </c>
      <c r="KGT208" s="128">
        <f>DATA!KGW35</f>
        <v>0</v>
      </c>
      <c r="KGU208" s="128">
        <f>DATA!KGX35</f>
        <v>0</v>
      </c>
      <c r="KGV208" s="128">
        <f>DATA!KGY35</f>
        <v>0</v>
      </c>
      <c r="KGW208" s="128">
        <f>DATA!KGZ35</f>
        <v>0</v>
      </c>
      <c r="KGX208" s="128">
        <f>DATA!KHA35</f>
        <v>0</v>
      </c>
      <c r="KGY208" s="128">
        <f>DATA!KHB35</f>
        <v>0</v>
      </c>
      <c r="KGZ208" s="128">
        <f>DATA!KHC35</f>
        <v>0</v>
      </c>
      <c r="KHA208" s="128">
        <f>DATA!KHD35</f>
        <v>0</v>
      </c>
      <c r="KHB208" s="128">
        <f>DATA!KHE35</f>
        <v>0</v>
      </c>
      <c r="KHC208" s="128">
        <f>DATA!KHF35</f>
        <v>0</v>
      </c>
      <c r="KHD208" s="128">
        <f>DATA!KHG35</f>
        <v>0</v>
      </c>
      <c r="KHE208" s="128">
        <f>DATA!KHH35</f>
        <v>0</v>
      </c>
      <c r="KHF208" s="128">
        <f>DATA!KHI35</f>
        <v>0</v>
      </c>
      <c r="KHG208" s="128">
        <f>DATA!KHJ35</f>
        <v>0</v>
      </c>
      <c r="KHH208" s="128">
        <f>DATA!KHK35</f>
        <v>0</v>
      </c>
      <c r="KHI208" s="128">
        <f>DATA!KHL35</f>
        <v>0</v>
      </c>
      <c r="KHJ208" s="128">
        <f>DATA!KHM35</f>
        <v>0</v>
      </c>
      <c r="KHK208" s="128">
        <f>DATA!KHN35</f>
        <v>0</v>
      </c>
      <c r="KHL208" s="128">
        <f>DATA!KHO35</f>
        <v>0</v>
      </c>
      <c r="KHM208" s="128">
        <f>DATA!KHP35</f>
        <v>0</v>
      </c>
      <c r="KHN208" s="128">
        <f>DATA!KHQ35</f>
        <v>0</v>
      </c>
      <c r="KHO208" s="128">
        <f>DATA!KHR35</f>
        <v>0</v>
      </c>
      <c r="KHP208" s="128">
        <f>DATA!KHS35</f>
        <v>0</v>
      </c>
      <c r="KHQ208" s="128">
        <f>DATA!KHT35</f>
        <v>0</v>
      </c>
      <c r="KHR208" s="128">
        <f>DATA!KHU35</f>
        <v>0</v>
      </c>
      <c r="KHS208" s="128">
        <f>DATA!KHV35</f>
        <v>0</v>
      </c>
      <c r="KHT208" s="128">
        <f>DATA!KHW35</f>
        <v>0</v>
      </c>
      <c r="KHU208" s="128">
        <f>DATA!KHX35</f>
        <v>0</v>
      </c>
      <c r="KHV208" s="128">
        <f>DATA!KHY35</f>
        <v>0</v>
      </c>
      <c r="KHW208" s="128">
        <f>DATA!KHZ35</f>
        <v>0</v>
      </c>
      <c r="KHX208" s="128">
        <f>DATA!KIA35</f>
        <v>0</v>
      </c>
      <c r="KHY208" s="128">
        <f>DATA!KIB35</f>
        <v>0</v>
      </c>
      <c r="KHZ208" s="128">
        <f>DATA!KIC35</f>
        <v>0</v>
      </c>
      <c r="KIA208" s="128">
        <f>DATA!KID35</f>
        <v>0</v>
      </c>
      <c r="KIB208" s="128">
        <f>DATA!KIE35</f>
        <v>0</v>
      </c>
      <c r="KIC208" s="128">
        <f>DATA!KIF35</f>
        <v>0</v>
      </c>
      <c r="KID208" s="128">
        <f>DATA!KIG35</f>
        <v>0</v>
      </c>
      <c r="KIE208" s="128">
        <f>DATA!KIH35</f>
        <v>0</v>
      </c>
      <c r="KIF208" s="128">
        <f>DATA!KII35</f>
        <v>0</v>
      </c>
      <c r="KIG208" s="128">
        <f>DATA!KIJ35</f>
        <v>0</v>
      </c>
      <c r="KIH208" s="128">
        <f>DATA!KIK35</f>
        <v>0</v>
      </c>
      <c r="KII208" s="128">
        <f>DATA!KIL35</f>
        <v>0</v>
      </c>
      <c r="KIJ208" s="128">
        <f>DATA!KIM35</f>
        <v>0</v>
      </c>
      <c r="KIK208" s="128">
        <f>DATA!KIN35</f>
        <v>0</v>
      </c>
      <c r="KIL208" s="128">
        <f>DATA!KIO35</f>
        <v>0</v>
      </c>
      <c r="KIM208" s="128">
        <f>DATA!KIP35</f>
        <v>0</v>
      </c>
      <c r="KIN208" s="128">
        <f>DATA!KIQ35</f>
        <v>0</v>
      </c>
      <c r="KIO208" s="128">
        <f>DATA!KIR35</f>
        <v>0</v>
      </c>
      <c r="KIP208" s="128">
        <f>DATA!KIS35</f>
        <v>0</v>
      </c>
      <c r="KIQ208" s="128">
        <f>DATA!KIT35</f>
        <v>0</v>
      </c>
      <c r="KIR208" s="128">
        <f>DATA!KIU35</f>
        <v>0</v>
      </c>
      <c r="KIS208" s="128">
        <f>DATA!KIV35</f>
        <v>0</v>
      </c>
      <c r="KIT208" s="128">
        <f>DATA!KIW35</f>
        <v>0</v>
      </c>
      <c r="KIU208" s="128">
        <f>DATA!KIX35</f>
        <v>0</v>
      </c>
      <c r="KIV208" s="128">
        <f>DATA!KIY35</f>
        <v>0</v>
      </c>
      <c r="KIW208" s="128">
        <f>DATA!KIZ35</f>
        <v>0</v>
      </c>
      <c r="KIX208" s="128">
        <f>DATA!KJA35</f>
        <v>0</v>
      </c>
      <c r="KIY208" s="128">
        <f>DATA!KJB35</f>
        <v>0</v>
      </c>
      <c r="KIZ208" s="128">
        <f>DATA!KJC35</f>
        <v>0</v>
      </c>
      <c r="KJA208" s="128">
        <f>DATA!KJD35</f>
        <v>0</v>
      </c>
      <c r="KJB208" s="128">
        <f>DATA!KJE35</f>
        <v>0</v>
      </c>
      <c r="KJC208" s="128">
        <f>DATA!KJF35</f>
        <v>0</v>
      </c>
      <c r="KJD208" s="128">
        <f>DATA!KJG35</f>
        <v>0</v>
      </c>
      <c r="KJE208" s="128">
        <f>DATA!KJH35</f>
        <v>0</v>
      </c>
      <c r="KJF208" s="128">
        <f>DATA!KJI35</f>
        <v>0</v>
      </c>
      <c r="KJG208" s="128">
        <f>DATA!KJJ35</f>
        <v>0</v>
      </c>
      <c r="KJH208" s="128">
        <f>DATA!KJK35</f>
        <v>0</v>
      </c>
      <c r="KJI208" s="128">
        <f>DATA!KJL35</f>
        <v>0</v>
      </c>
      <c r="KJJ208" s="128">
        <f>DATA!KJM35</f>
        <v>0</v>
      </c>
      <c r="KJK208" s="128">
        <f>DATA!KJN35</f>
        <v>0</v>
      </c>
      <c r="KJL208" s="128">
        <f>DATA!KJO35</f>
        <v>0</v>
      </c>
      <c r="KJM208" s="128">
        <f>DATA!KJP35</f>
        <v>0</v>
      </c>
      <c r="KJN208" s="128">
        <f>DATA!KJQ35</f>
        <v>0</v>
      </c>
      <c r="KJO208" s="128">
        <f>DATA!KJR35</f>
        <v>0</v>
      </c>
      <c r="KJP208" s="128">
        <f>DATA!KJS35</f>
        <v>0</v>
      </c>
      <c r="KJQ208" s="128">
        <f>DATA!KJT35</f>
        <v>0</v>
      </c>
      <c r="KJR208" s="128">
        <f>DATA!KJU35</f>
        <v>0</v>
      </c>
      <c r="KJS208" s="128">
        <f>DATA!KJV35</f>
        <v>0</v>
      </c>
      <c r="KJT208" s="128">
        <f>DATA!KJW35</f>
        <v>0</v>
      </c>
      <c r="KJU208" s="128">
        <f>DATA!KJX35</f>
        <v>0</v>
      </c>
      <c r="KJV208" s="128">
        <f>DATA!KJY35</f>
        <v>0</v>
      </c>
      <c r="KJW208" s="128">
        <f>DATA!KJZ35</f>
        <v>0</v>
      </c>
      <c r="KJX208" s="128">
        <f>DATA!KKA35</f>
        <v>0</v>
      </c>
      <c r="KJY208" s="128">
        <f>DATA!KKB35</f>
        <v>0</v>
      </c>
      <c r="KJZ208" s="128">
        <f>DATA!KKC35</f>
        <v>0</v>
      </c>
      <c r="KKA208" s="128">
        <f>DATA!KKD35</f>
        <v>0</v>
      </c>
      <c r="KKB208" s="128">
        <f>DATA!KKE35</f>
        <v>0</v>
      </c>
      <c r="KKC208" s="128">
        <f>DATA!KKF35</f>
        <v>0</v>
      </c>
      <c r="KKD208" s="128">
        <f>DATA!KKG35</f>
        <v>0</v>
      </c>
      <c r="KKE208" s="128">
        <f>DATA!KKH35</f>
        <v>0</v>
      </c>
      <c r="KKF208" s="128">
        <f>DATA!KKI35</f>
        <v>0</v>
      </c>
      <c r="KKG208" s="128">
        <f>DATA!KKJ35</f>
        <v>0</v>
      </c>
      <c r="KKH208" s="128">
        <f>DATA!KKK35</f>
        <v>0</v>
      </c>
      <c r="KKI208" s="128">
        <f>DATA!KKL35</f>
        <v>0</v>
      </c>
      <c r="KKJ208" s="128">
        <f>DATA!KKM35</f>
        <v>0</v>
      </c>
      <c r="KKK208" s="128">
        <f>DATA!KKN35</f>
        <v>0</v>
      </c>
      <c r="KKL208" s="128">
        <f>DATA!KKO35</f>
        <v>0</v>
      </c>
      <c r="KKM208" s="128">
        <f>DATA!KKP35</f>
        <v>0</v>
      </c>
      <c r="KKN208" s="128">
        <f>DATA!KKQ35</f>
        <v>0</v>
      </c>
      <c r="KKO208" s="128">
        <f>DATA!KKR35</f>
        <v>0</v>
      </c>
      <c r="KKP208" s="128">
        <f>DATA!KKS35</f>
        <v>0</v>
      </c>
      <c r="KKQ208" s="128">
        <f>DATA!KKT35</f>
        <v>0</v>
      </c>
      <c r="KKR208" s="128">
        <f>DATA!KKU35</f>
        <v>0</v>
      </c>
      <c r="KKS208" s="128">
        <f>DATA!KKV35</f>
        <v>0</v>
      </c>
      <c r="KKT208" s="128">
        <f>DATA!KKW35</f>
        <v>0</v>
      </c>
      <c r="KKU208" s="128">
        <f>DATA!KKX35</f>
        <v>0</v>
      </c>
      <c r="KKV208" s="128">
        <f>DATA!KKY35</f>
        <v>0</v>
      </c>
      <c r="KKW208" s="128">
        <f>DATA!KKZ35</f>
        <v>0</v>
      </c>
      <c r="KKX208" s="128">
        <f>DATA!KLA35</f>
        <v>0</v>
      </c>
      <c r="KKY208" s="128">
        <f>DATA!KLB35</f>
        <v>0</v>
      </c>
      <c r="KKZ208" s="128">
        <f>DATA!KLC35</f>
        <v>0</v>
      </c>
      <c r="KLA208" s="128">
        <f>DATA!KLD35</f>
        <v>0</v>
      </c>
      <c r="KLB208" s="128">
        <f>DATA!KLE35</f>
        <v>0</v>
      </c>
      <c r="KLC208" s="128">
        <f>DATA!KLF35</f>
        <v>0</v>
      </c>
      <c r="KLD208" s="128">
        <f>DATA!KLG35</f>
        <v>0</v>
      </c>
      <c r="KLE208" s="128">
        <f>DATA!KLH35</f>
        <v>0</v>
      </c>
      <c r="KLF208" s="128">
        <f>DATA!KLI35</f>
        <v>0</v>
      </c>
      <c r="KLG208" s="128">
        <f>DATA!KLJ35</f>
        <v>0</v>
      </c>
      <c r="KLH208" s="128">
        <f>DATA!KLK35</f>
        <v>0</v>
      </c>
      <c r="KLI208" s="128">
        <f>DATA!KLL35</f>
        <v>0</v>
      </c>
      <c r="KLJ208" s="128">
        <f>DATA!KLM35</f>
        <v>0</v>
      </c>
      <c r="KLK208" s="128">
        <f>DATA!KLN35</f>
        <v>0</v>
      </c>
      <c r="KLL208" s="128">
        <f>DATA!KLO35</f>
        <v>0</v>
      </c>
      <c r="KLM208" s="128">
        <f>DATA!KLP35</f>
        <v>0</v>
      </c>
      <c r="KLN208" s="128">
        <f>DATA!KLQ35</f>
        <v>0</v>
      </c>
      <c r="KLO208" s="128">
        <f>DATA!KLR35</f>
        <v>0</v>
      </c>
      <c r="KLP208" s="128">
        <f>DATA!KLS35</f>
        <v>0</v>
      </c>
      <c r="KLQ208" s="128">
        <f>DATA!KLT35</f>
        <v>0</v>
      </c>
      <c r="KLR208" s="128">
        <f>DATA!KLU35</f>
        <v>0</v>
      </c>
      <c r="KLS208" s="128">
        <f>DATA!KLV35</f>
        <v>0</v>
      </c>
      <c r="KLT208" s="128">
        <f>DATA!KLW35</f>
        <v>0</v>
      </c>
      <c r="KLU208" s="128">
        <f>DATA!KLX35</f>
        <v>0</v>
      </c>
      <c r="KLV208" s="128">
        <f>DATA!KLY35</f>
        <v>0</v>
      </c>
      <c r="KLW208" s="128">
        <f>DATA!KLZ35</f>
        <v>0</v>
      </c>
      <c r="KLX208" s="128">
        <f>DATA!KMA35</f>
        <v>0</v>
      </c>
      <c r="KLY208" s="128">
        <f>DATA!KMB35</f>
        <v>0</v>
      </c>
      <c r="KLZ208" s="128">
        <f>DATA!KMC35</f>
        <v>0</v>
      </c>
      <c r="KMA208" s="128">
        <f>DATA!KMD35</f>
        <v>0</v>
      </c>
      <c r="KMB208" s="128">
        <f>DATA!KME35</f>
        <v>0</v>
      </c>
      <c r="KMC208" s="128">
        <f>DATA!KMF35</f>
        <v>0</v>
      </c>
      <c r="KMD208" s="128">
        <f>DATA!KMG35</f>
        <v>0</v>
      </c>
      <c r="KME208" s="128">
        <f>DATA!KMH35</f>
        <v>0</v>
      </c>
      <c r="KMF208" s="128">
        <f>DATA!KMI35</f>
        <v>0</v>
      </c>
      <c r="KMG208" s="128">
        <f>DATA!KMJ35</f>
        <v>0</v>
      </c>
      <c r="KMH208" s="128">
        <f>DATA!KMK35</f>
        <v>0</v>
      </c>
      <c r="KMI208" s="128">
        <f>DATA!KML35</f>
        <v>0</v>
      </c>
      <c r="KMJ208" s="128">
        <f>DATA!KMM35</f>
        <v>0</v>
      </c>
      <c r="KMK208" s="128">
        <f>DATA!KMN35</f>
        <v>0</v>
      </c>
      <c r="KML208" s="128">
        <f>DATA!KMO35</f>
        <v>0</v>
      </c>
      <c r="KMM208" s="128">
        <f>DATA!KMP35</f>
        <v>0</v>
      </c>
      <c r="KMN208" s="128">
        <f>DATA!KMQ35</f>
        <v>0</v>
      </c>
      <c r="KMO208" s="128">
        <f>DATA!KMR35</f>
        <v>0</v>
      </c>
      <c r="KMP208" s="128">
        <f>DATA!KMS35</f>
        <v>0</v>
      </c>
      <c r="KMQ208" s="128">
        <f>DATA!KMT35</f>
        <v>0</v>
      </c>
      <c r="KMR208" s="128">
        <f>DATA!KMU35</f>
        <v>0</v>
      </c>
      <c r="KMS208" s="128">
        <f>DATA!KMV35</f>
        <v>0</v>
      </c>
      <c r="KMT208" s="128">
        <f>DATA!KMW35</f>
        <v>0</v>
      </c>
      <c r="KMU208" s="128">
        <f>DATA!KMX35</f>
        <v>0</v>
      </c>
      <c r="KMV208" s="128">
        <f>DATA!KMY35</f>
        <v>0</v>
      </c>
      <c r="KMW208" s="128">
        <f>DATA!KMZ35</f>
        <v>0</v>
      </c>
      <c r="KMX208" s="128">
        <f>DATA!KNA35</f>
        <v>0</v>
      </c>
      <c r="KMY208" s="128">
        <f>DATA!KNB35</f>
        <v>0</v>
      </c>
      <c r="KMZ208" s="128">
        <f>DATA!KNC35</f>
        <v>0</v>
      </c>
      <c r="KNA208" s="128">
        <f>DATA!KND35</f>
        <v>0</v>
      </c>
      <c r="KNB208" s="128">
        <f>DATA!KNE35</f>
        <v>0</v>
      </c>
      <c r="KNC208" s="128">
        <f>DATA!KNF35</f>
        <v>0</v>
      </c>
      <c r="KND208" s="128">
        <f>DATA!KNG35</f>
        <v>0</v>
      </c>
      <c r="KNE208" s="128">
        <f>DATA!KNH35</f>
        <v>0</v>
      </c>
      <c r="KNF208" s="128">
        <f>DATA!KNI35</f>
        <v>0</v>
      </c>
      <c r="KNG208" s="128">
        <f>DATA!KNJ35</f>
        <v>0</v>
      </c>
      <c r="KNH208" s="128">
        <f>DATA!KNK35</f>
        <v>0</v>
      </c>
      <c r="KNI208" s="128">
        <f>DATA!KNL35</f>
        <v>0</v>
      </c>
      <c r="KNJ208" s="128">
        <f>DATA!KNM35</f>
        <v>0</v>
      </c>
      <c r="KNK208" s="128">
        <f>DATA!KNN35</f>
        <v>0</v>
      </c>
      <c r="KNL208" s="128">
        <f>DATA!KNO35</f>
        <v>0</v>
      </c>
      <c r="KNM208" s="128">
        <f>DATA!KNP35</f>
        <v>0</v>
      </c>
      <c r="KNN208" s="128">
        <f>DATA!KNQ35</f>
        <v>0</v>
      </c>
      <c r="KNO208" s="128">
        <f>DATA!KNR35</f>
        <v>0</v>
      </c>
      <c r="KNP208" s="128">
        <f>DATA!KNS35</f>
        <v>0</v>
      </c>
      <c r="KNQ208" s="128">
        <f>DATA!KNT35</f>
        <v>0</v>
      </c>
      <c r="KNR208" s="128">
        <f>DATA!KNU35</f>
        <v>0</v>
      </c>
      <c r="KNS208" s="128">
        <f>DATA!KNV35</f>
        <v>0</v>
      </c>
      <c r="KNT208" s="128">
        <f>DATA!KNW35</f>
        <v>0</v>
      </c>
      <c r="KNU208" s="128">
        <f>DATA!KNX35</f>
        <v>0</v>
      </c>
      <c r="KNV208" s="128">
        <f>DATA!KNY35</f>
        <v>0</v>
      </c>
      <c r="KNW208" s="128">
        <f>DATA!KNZ35</f>
        <v>0</v>
      </c>
      <c r="KNX208" s="128">
        <f>DATA!KOA35</f>
        <v>0</v>
      </c>
      <c r="KNY208" s="128">
        <f>DATA!KOB35</f>
        <v>0</v>
      </c>
      <c r="KNZ208" s="128">
        <f>DATA!KOC35</f>
        <v>0</v>
      </c>
      <c r="KOA208" s="128">
        <f>DATA!KOD35</f>
        <v>0</v>
      </c>
      <c r="KOB208" s="128">
        <f>DATA!KOE35</f>
        <v>0</v>
      </c>
      <c r="KOC208" s="128">
        <f>DATA!KOF35</f>
        <v>0</v>
      </c>
      <c r="KOD208" s="128">
        <f>DATA!KOG35</f>
        <v>0</v>
      </c>
      <c r="KOE208" s="128">
        <f>DATA!KOH35</f>
        <v>0</v>
      </c>
      <c r="KOF208" s="128">
        <f>DATA!KOI35</f>
        <v>0</v>
      </c>
      <c r="KOG208" s="128">
        <f>DATA!KOJ35</f>
        <v>0</v>
      </c>
      <c r="KOH208" s="128">
        <f>DATA!KOK35</f>
        <v>0</v>
      </c>
      <c r="KOI208" s="128">
        <f>DATA!KOL35</f>
        <v>0</v>
      </c>
      <c r="KOJ208" s="128">
        <f>DATA!KOM35</f>
        <v>0</v>
      </c>
      <c r="KOK208" s="128">
        <f>DATA!KON35</f>
        <v>0</v>
      </c>
      <c r="KOL208" s="128">
        <f>DATA!KOO35</f>
        <v>0</v>
      </c>
      <c r="KOM208" s="128">
        <f>DATA!KOP35</f>
        <v>0</v>
      </c>
      <c r="KON208" s="128">
        <f>DATA!KOQ35</f>
        <v>0</v>
      </c>
      <c r="KOO208" s="128">
        <f>DATA!KOR35</f>
        <v>0</v>
      </c>
      <c r="KOP208" s="128">
        <f>DATA!KOS35</f>
        <v>0</v>
      </c>
      <c r="KOQ208" s="128">
        <f>DATA!KOT35</f>
        <v>0</v>
      </c>
      <c r="KOR208" s="128">
        <f>DATA!KOU35</f>
        <v>0</v>
      </c>
      <c r="KOS208" s="128">
        <f>DATA!KOV35</f>
        <v>0</v>
      </c>
      <c r="KOT208" s="128">
        <f>DATA!KOW35</f>
        <v>0</v>
      </c>
      <c r="KOU208" s="128">
        <f>DATA!KOX35</f>
        <v>0</v>
      </c>
      <c r="KOV208" s="128">
        <f>DATA!KOY35</f>
        <v>0</v>
      </c>
      <c r="KOW208" s="128">
        <f>DATA!KOZ35</f>
        <v>0</v>
      </c>
      <c r="KOX208" s="128">
        <f>DATA!KPA35</f>
        <v>0</v>
      </c>
      <c r="KOY208" s="128">
        <f>DATA!KPB35</f>
        <v>0</v>
      </c>
      <c r="KOZ208" s="128">
        <f>DATA!KPC35</f>
        <v>0</v>
      </c>
      <c r="KPA208" s="128">
        <f>DATA!KPD35</f>
        <v>0</v>
      </c>
      <c r="KPB208" s="128">
        <f>DATA!KPE35</f>
        <v>0</v>
      </c>
      <c r="KPC208" s="128">
        <f>DATA!KPF35</f>
        <v>0</v>
      </c>
      <c r="KPD208" s="128">
        <f>DATA!KPG35</f>
        <v>0</v>
      </c>
      <c r="KPE208" s="128">
        <f>DATA!KPH35</f>
        <v>0</v>
      </c>
      <c r="KPF208" s="128">
        <f>DATA!KPI35</f>
        <v>0</v>
      </c>
      <c r="KPG208" s="128">
        <f>DATA!KPJ35</f>
        <v>0</v>
      </c>
      <c r="KPH208" s="128">
        <f>DATA!KPK35</f>
        <v>0</v>
      </c>
      <c r="KPI208" s="128">
        <f>DATA!KPL35</f>
        <v>0</v>
      </c>
      <c r="KPJ208" s="128">
        <f>DATA!KPM35</f>
        <v>0</v>
      </c>
      <c r="KPK208" s="128">
        <f>DATA!KPN35</f>
        <v>0</v>
      </c>
      <c r="KPL208" s="128">
        <f>DATA!KPO35</f>
        <v>0</v>
      </c>
      <c r="KPM208" s="128">
        <f>DATA!KPP35</f>
        <v>0</v>
      </c>
      <c r="KPN208" s="128">
        <f>DATA!KPQ35</f>
        <v>0</v>
      </c>
      <c r="KPO208" s="128">
        <f>DATA!KPR35</f>
        <v>0</v>
      </c>
      <c r="KPP208" s="128">
        <f>DATA!KPS35</f>
        <v>0</v>
      </c>
      <c r="KPQ208" s="128">
        <f>DATA!KPT35</f>
        <v>0</v>
      </c>
      <c r="KPR208" s="128">
        <f>DATA!KPU35</f>
        <v>0</v>
      </c>
      <c r="KPS208" s="128">
        <f>DATA!KPV35</f>
        <v>0</v>
      </c>
      <c r="KPT208" s="128">
        <f>DATA!KPW35</f>
        <v>0</v>
      </c>
      <c r="KPU208" s="128">
        <f>DATA!KPX35</f>
        <v>0</v>
      </c>
      <c r="KPV208" s="128">
        <f>DATA!KPY35</f>
        <v>0</v>
      </c>
      <c r="KPW208" s="128">
        <f>DATA!KPZ35</f>
        <v>0</v>
      </c>
      <c r="KPX208" s="128">
        <f>DATA!KQA35</f>
        <v>0</v>
      </c>
      <c r="KPY208" s="128">
        <f>DATA!KQB35</f>
        <v>0</v>
      </c>
      <c r="KPZ208" s="128">
        <f>DATA!KQC35</f>
        <v>0</v>
      </c>
      <c r="KQA208" s="128">
        <f>DATA!KQD35</f>
        <v>0</v>
      </c>
      <c r="KQB208" s="128">
        <f>DATA!KQE35</f>
        <v>0</v>
      </c>
      <c r="KQC208" s="128">
        <f>DATA!KQF35</f>
        <v>0</v>
      </c>
      <c r="KQD208" s="128">
        <f>DATA!KQG35</f>
        <v>0</v>
      </c>
      <c r="KQE208" s="128">
        <f>DATA!KQH35</f>
        <v>0</v>
      </c>
      <c r="KQF208" s="128">
        <f>DATA!KQI35</f>
        <v>0</v>
      </c>
      <c r="KQG208" s="128">
        <f>DATA!KQJ35</f>
        <v>0</v>
      </c>
      <c r="KQH208" s="128">
        <f>DATA!KQK35</f>
        <v>0</v>
      </c>
      <c r="KQI208" s="128">
        <f>DATA!KQL35</f>
        <v>0</v>
      </c>
      <c r="KQJ208" s="128">
        <f>DATA!KQM35</f>
        <v>0</v>
      </c>
      <c r="KQK208" s="128">
        <f>DATA!KQN35</f>
        <v>0</v>
      </c>
      <c r="KQL208" s="128">
        <f>DATA!KQO35</f>
        <v>0</v>
      </c>
      <c r="KQM208" s="128">
        <f>DATA!KQP35</f>
        <v>0</v>
      </c>
      <c r="KQN208" s="128">
        <f>DATA!KQQ35</f>
        <v>0</v>
      </c>
      <c r="KQO208" s="128">
        <f>DATA!KQR35</f>
        <v>0</v>
      </c>
      <c r="KQP208" s="128">
        <f>DATA!KQS35</f>
        <v>0</v>
      </c>
      <c r="KQQ208" s="128">
        <f>DATA!KQT35</f>
        <v>0</v>
      </c>
      <c r="KQR208" s="128">
        <f>DATA!KQU35</f>
        <v>0</v>
      </c>
      <c r="KQS208" s="128">
        <f>DATA!KQV35</f>
        <v>0</v>
      </c>
      <c r="KQT208" s="128">
        <f>DATA!KQW35</f>
        <v>0</v>
      </c>
      <c r="KQU208" s="128">
        <f>DATA!KQX35</f>
        <v>0</v>
      </c>
      <c r="KQV208" s="128">
        <f>DATA!KQY35</f>
        <v>0</v>
      </c>
      <c r="KQW208" s="128">
        <f>DATA!KQZ35</f>
        <v>0</v>
      </c>
      <c r="KQX208" s="128">
        <f>DATA!KRA35</f>
        <v>0</v>
      </c>
      <c r="KQY208" s="128">
        <f>DATA!KRB35</f>
        <v>0</v>
      </c>
      <c r="KQZ208" s="128">
        <f>DATA!KRC35</f>
        <v>0</v>
      </c>
      <c r="KRA208" s="128">
        <f>DATA!KRD35</f>
        <v>0</v>
      </c>
      <c r="KRB208" s="128">
        <f>DATA!KRE35</f>
        <v>0</v>
      </c>
      <c r="KRC208" s="128">
        <f>DATA!KRF35</f>
        <v>0</v>
      </c>
      <c r="KRD208" s="128">
        <f>DATA!KRG35</f>
        <v>0</v>
      </c>
      <c r="KRE208" s="128">
        <f>DATA!KRH35</f>
        <v>0</v>
      </c>
      <c r="KRF208" s="128">
        <f>DATA!KRI35</f>
        <v>0</v>
      </c>
      <c r="KRG208" s="128">
        <f>DATA!KRJ35</f>
        <v>0</v>
      </c>
      <c r="KRH208" s="128">
        <f>DATA!KRK35</f>
        <v>0</v>
      </c>
      <c r="KRI208" s="128">
        <f>DATA!KRL35</f>
        <v>0</v>
      </c>
      <c r="KRJ208" s="128">
        <f>DATA!KRM35</f>
        <v>0</v>
      </c>
      <c r="KRK208" s="128">
        <f>DATA!KRN35</f>
        <v>0</v>
      </c>
      <c r="KRL208" s="128">
        <f>DATA!KRO35</f>
        <v>0</v>
      </c>
      <c r="KRM208" s="128">
        <f>DATA!KRP35</f>
        <v>0</v>
      </c>
      <c r="KRN208" s="128">
        <f>DATA!KRQ35</f>
        <v>0</v>
      </c>
      <c r="KRO208" s="128">
        <f>DATA!KRR35</f>
        <v>0</v>
      </c>
      <c r="KRP208" s="128">
        <f>DATA!KRS35</f>
        <v>0</v>
      </c>
      <c r="KRQ208" s="128">
        <f>DATA!KRT35</f>
        <v>0</v>
      </c>
      <c r="KRR208" s="128">
        <f>DATA!KRU35</f>
        <v>0</v>
      </c>
      <c r="KRS208" s="128">
        <f>DATA!KRV35</f>
        <v>0</v>
      </c>
      <c r="KRT208" s="128">
        <f>DATA!KRW35</f>
        <v>0</v>
      </c>
      <c r="KRU208" s="128">
        <f>DATA!KRX35</f>
        <v>0</v>
      </c>
      <c r="KRV208" s="128">
        <f>DATA!KRY35</f>
        <v>0</v>
      </c>
      <c r="KRW208" s="128">
        <f>DATA!KRZ35</f>
        <v>0</v>
      </c>
      <c r="KRX208" s="128">
        <f>DATA!KSA35</f>
        <v>0</v>
      </c>
      <c r="KRY208" s="128">
        <f>DATA!KSB35</f>
        <v>0</v>
      </c>
      <c r="KRZ208" s="128">
        <f>DATA!KSC35</f>
        <v>0</v>
      </c>
      <c r="KSA208" s="128">
        <f>DATA!KSD35</f>
        <v>0</v>
      </c>
      <c r="KSB208" s="128">
        <f>DATA!KSE35</f>
        <v>0</v>
      </c>
      <c r="KSC208" s="128">
        <f>DATA!KSF35</f>
        <v>0</v>
      </c>
      <c r="KSD208" s="128">
        <f>DATA!KSG35</f>
        <v>0</v>
      </c>
      <c r="KSE208" s="128">
        <f>DATA!KSH35</f>
        <v>0</v>
      </c>
      <c r="KSF208" s="128">
        <f>DATA!KSI35</f>
        <v>0</v>
      </c>
      <c r="KSG208" s="128">
        <f>DATA!KSJ35</f>
        <v>0</v>
      </c>
      <c r="KSH208" s="128">
        <f>DATA!KSK35</f>
        <v>0</v>
      </c>
      <c r="KSI208" s="128">
        <f>DATA!KSL35</f>
        <v>0</v>
      </c>
      <c r="KSJ208" s="128">
        <f>DATA!KSM35</f>
        <v>0</v>
      </c>
      <c r="KSK208" s="128">
        <f>DATA!KSN35</f>
        <v>0</v>
      </c>
      <c r="KSL208" s="128">
        <f>DATA!KSO35</f>
        <v>0</v>
      </c>
      <c r="KSM208" s="128">
        <f>DATA!KSP35</f>
        <v>0</v>
      </c>
      <c r="KSN208" s="128">
        <f>DATA!KSQ35</f>
        <v>0</v>
      </c>
      <c r="KSO208" s="128">
        <f>DATA!KSR35</f>
        <v>0</v>
      </c>
      <c r="KSP208" s="128">
        <f>DATA!KSS35</f>
        <v>0</v>
      </c>
      <c r="KSQ208" s="128">
        <f>DATA!KST35</f>
        <v>0</v>
      </c>
      <c r="KSR208" s="128">
        <f>DATA!KSU35</f>
        <v>0</v>
      </c>
      <c r="KSS208" s="128">
        <f>DATA!KSV35</f>
        <v>0</v>
      </c>
      <c r="KST208" s="128">
        <f>DATA!KSW35</f>
        <v>0</v>
      </c>
      <c r="KSU208" s="128">
        <f>DATA!KSX35</f>
        <v>0</v>
      </c>
      <c r="KSV208" s="128">
        <f>DATA!KSY35</f>
        <v>0</v>
      </c>
      <c r="KSW208" s="128">
        <f>DATA!KSZ35</f>
        <v>0</v>
      </c>
      <c r="KSX208" s="128">
        <f>DATA!KTA35</f>
        <v>0</v>
      </c>
      <c r="KSY208" s="128">
        <f>DATA!KTB35</f>
        <v>0</v>
      </c>
      <c r="KSZ208" s="128">
        <f>DATA!KTC35</f>
        <v>0</v>
      </c>
      <c r="KTA208" s="128">
        <f>DATA!KTD35</f>
        <v>0</v>
      </c>
      <c r="KTB208" s="128">
        <f>DATA!KTE35</f>
        <v>0</v>
      </c>
      <c r="KTC208" s="128">
        <f>DATA!KTF35</f>
        <v>0</v>
      </c>
      <c r="KTD208" s="128">
        <f>DATA!KTG35</f>
        <v>0</v>
      </c>
      <c r="KTE208" s="128">
        <f>DATA!KTH35</f>
        <v>0</v>
      </c>
      <c r="KTF208" s="128">
        <f>DATA!KTI35</f>
        <v>0</v>
      </c>
      <c r="KTG208" s="128">
        <f>DATA!KTJ35</f>
        <v>0</v>
      </c>
      <c r="KTH208" s="128">
        <f>DATA!KTK35</f>
        <v>0</v>
      </c>
      <c r="KTI208" s="128">
        <f>DATA!KTL35</f>
        <v>0</v>
      </c>
      <c r="KTJ208" s="128">
        <f>DATA!KTM35</f>
        <v>0</v>
      </c>
      <c r="KTK208" s="128">
        <f>DATA!KTN35</f>
        <v>0</v>
      </c>
      <c r="KTL208" s="128">
        <f>DATA!KTO35</f>
        <v>0</v>
      </c>
      <c r="KTM208" s="128">
        <f>DATA!KTP35</f>
        <v>0</v>
      </c>
      <c r="KTN208" s="128">
        <f>DATA!KTQ35</f>
        <v>0</v>
      </c>
      <c r="KTO208" s="128">
        <f>DATA!KTR35</f>
        <v>0</v>
      </c>
      <c r="KTP208" s="128">
        <f>DATA!KTS35</f>
        <v>0</v>
      </c>
      <c r="KTQ208" s="128">
        <f>DATA!KTT35</f>
        <v>0</v>
      </c>
      <c r="KTR208" s="128">
        <f>DATA!KTU35</f>
        <v>0</v>
      </c>
      <c r="KTS208" s="128">
        <f>DATA!KTV35</f>
        <v>0</v>
      </c>
      <c r="KTT208" s="128">
        <f>DATA!KTW35</f>
        <v>0</v>
      </c>
      <c r="KTU208" s="128">
        <f>DATA!KTX35</f>
        <v>0</v>
      </c>
      <c r="KTV208" s="128">
        <f>DATA!KTY35</f>
        <v>0</v>
      </c>
      <c r="KTW208" s="128">
        <f>DATA!KTZ35</f>
        <v>0</v>
      </c>
      <c r="KTX208" s="128">
        <f>DATA!KUA35</f>
        <v>0</v>
      </c>
      <c r="KTY208" s="128">
        <f>DATA!KUB35</f>
        <v>0</v>
      </c>
      <c r="KTZ208" s="128">
        <f>DATA!KUC35</f>
        <v>0</v>
      </c>
      <c r="KUA208" s="128">
        <f>DATA!KUD35</f>
        <v>0</v>
      </c>
      <c r="KUB208" s="128">
        <f>DATA!KUE35</f>
        <v>0</v>
      </c>
      <c r="KUC208" s="128">
        <f>DATA!KUF35</f>
        <v>0</v>
      </c>
      <c r="KUD208" s="128">
        <f>DATA!KUG35</f>
        <v>0</v>
      </c>
      <c r="KUE208" s="128">
        <f>DATA!KUH35</f>
        <v>0</v>
      </c>
      <c r="KUF208" s="128">
        <f>DATA!KUI35</f>
        <v>0</v>
      </c>
      <c r="KUG208" s="128">
        <f>DATA!KUJ35</f>
        <v>0</v>
      </c>
      <c r="KUH208" s="128">
        <f>DATA!KUK35</f>
        <v>0</v>
      </c>
      <c r="KUI208" s="128">
        <f>DATA!KUL35</f>
        <v>0</v>
      </c>
      <c r="KUJ208" s="128">
        <f>DATA!KUM35</f>
        <v>0</v>
      </c>
      <c r="KUK208" s="128">
        <f>DATA!KUN35</f>
        <v>0</v>
      </c>
      <c r="KUL208" s="128">
        <f>DATA!KUO35</f>
        <v>0</v>
      </c>
      <c r="KUM208" s="128">
        <f>DATA!KUP35</f>
        <v>0</v>
      </c>
      <c r="KUN208" s="128">
        <f>DATA!KUQ35</f>
        <v>0</v>
      </c>
      <c r="KUO208" s="128">
        <f>DATA!KUR35</f>
        <v>0</v>
      </c>
      <c r="KUP208" s="128">
        <f>DATA!KUS35</f>
        <v>0</v>
      </c>
      <c r="KUQ208" s="128">
        <f>DATA!KUT35</f>
        <v>0</v>
      </c>
      <c r="KUR208" s="128">
        <f>DATA!KUU35</f>
        <v>0</v>
      </c>
      <c r="KUS208" s="128">
        <f>DATA!KUV35</f>
        <v>0</v>
      </c>
      <c r="KUT208" s="128">
        <f>DATA!KUW35</f>
        <v>0</v>
      </c>
      <c r="KUU208" s="128">
        <f>DATA!KUX35</f>
        <v>0</v>
      </c>
      <c r="KUV208" s="128">
        <f>DATA!KUY35</f>
        <v>0</v>
      </c>
      <c r="KUW208" s="128">
        <f>DATA!KUZ35</f>
        <v>0</v>
      </c>
      <c r="KUX208" s="128">
        <f>DATA!KVA35</f>
        <v>0</v>
      </c>
      <c r="KUY208" s="128">
        <f>DATA!KVB35</f>
        <v>0</v>
      </c>
      <c r="KUZ208" s="128">
        <f>DATA!KVC35</f>
        <v>0</v>
      </c>
      <c r="KVA208" s="128">
        <f>DATA!KVD35</f>
        <v>0</v>
      </c>
      <c r="KVB208" s="128">
        <f>DATA!KVE35</f>
        <v>0</v>
      </c>
      <c r="KVC208" s="128">
        <f>DATA!KVF35</f>
        <v>0</v>
      </c>
      <c r="KVD208" s="128">
        <f>DATA!KVG35</f>
        <v>0</v>
      </c>
      <c r="KVE208" s="128">
        <f>DATA!KVH35</f>
        <v>0</v>
      </c>
      <c r="KVF208" s="128">
        <f>DATA!KVI35</f>
        <v>0</v>
      </c>
      <c r="KVG208" s="128">
        <f>DATA!KVJ35</f>
        <v>0</v>
      </c>
      <c r="KVH208" s="128">
        <f>DATA!KVK35</f>
        <v>0</v>
      </c>
      <c r="KVI208" s="128">
        <f>DATA!KVL35</f>
        <v>0</v>
      </c>
      <c r="KVJ208" s="128">
        <f>DATA!KVM35</f>
        <v>0</v>
      </c>
      <c r="KVK208" s="128">
        <f>DATA!KVN35</f>
        <v>0</v>
      </c>
      <c r="KVL208" s="128">
        <f>DATA!KVO35</f>
        <v>0</v>
      </c>
      <c r="KVM208" s="128">
        <f>DATA!KVP35</f>
        <v>0</v>
      </c>
      <c r="KVN208" s="128">
        <f>DATA!KVQ35</f>
        <v>0</v>
      </c>
      <c r="KVO208" s="128">
        <f>DATA!KVR35</f>
        <v>0</v>
      </c>
      <c r="KVP208" s="128">
        <f>DATA!KVS35</f>
        <v>0</v>
      </c>
      <c r="KVQ208" s="128">
        <f>DATA!KVT35</f>
        <v>0</v>
      </c>
      <c r="KVR208" s="128">
        <f>DATA!KVU35</f>
        <v>0</v>
      </c>
      <c r="KVS208" s="128">
        <f>DATA!KVV35</f>
        <v>0</v>
      </c>
      <c r="KVT208" s="128">
        <f>DATA!KVW35</f>
        <v>0</v>
      </c>
      <c r="KVU208" s="128">
        <f>DATA!KVX35</f>
        <v>0</v>
      </c>
      <c r="KVV208" s="128">
        <f>DATA!KVY35</f>
        <v>0</v>
      </c>
      <c r="KVW208" s="128">
        <f>DATA!KVZ35</f>
        <v>0</v>
      </c>
      <c r="KVX208" s="128">
        <f>DATA!KWA35</f>
        <v>0</v>
      </c>
      <c r="KVY208" s="128">
        <f>DATA!KWB35</f>
        <v>0</v>
      </c>
      <c r="KVZ208" s="128">
        <f>DATA!KWC35</f>
        <v>0</v>
      </c>
      <c r="KWA208" s="128">
        <f>DATA!KWD35</f>
        <v>0</v>
      </c>
      <c r="KWB208" s="128">
        <f>DATA!KWE35</f>
        <v>0</v>
      </c>
      <c r="KWC208" s="128">
        <f>DATA!KWF35</f>
        <v>0</v>
      </c>
      <c r="KWD208" s="128">
        <f>DATA!KWG35</f>
        <v>0</v>
      </c>
      <c r="KWE208" s="128">
        <f>DATA!KWH35</f>
        <v>0</v>
      </c>
      <c r="KWF208" s="128">
        <f>DATA!KWI35</f>
        <v>0</v>
      </c>
      <c r="KWG208" s="128">
        <f>DATA!KWJ35</f>
        <v>0</v>
      </c>
      <c r="KWH208" s="128">
        <f>DATA!KWK35</f>
        <v>0</v>
      </c>
      <c r="KWI208" s="128">
        <f>DATA!KWL35</f>
        <v>0</v>
      </c>
      <c r="KWJ208" s="128">
        <f>DATA!KWM35</f>
        <v>0</v>
      </c>
      <c r="KWK208" s="128">
        <f>DATA!KWN35</f>
        <v>0</v>
      </c>
      <c r="KWL208" s="128">
        <f>DATA!KWO35</f>
        <v>0</v>
      </c>
      <c r="KWM208" s="128">
        <f>DATA!KWP35</f>
        <v>0</v>
      </c>
      <c r="KWN208" s="128">
        <f>DATA!KWQ35</f>
        <v>0</v>
      </c>
      <c r="KWO208" s="128">
        <f>DATA!KWR35</f>
        <v>0</v>
      </c>
      <c r="KWP208" s="128">
        <f>DATA!KWS35</f>
        <v>0</v>
      </c>
      <c r="KWQ208" s="128">
        <f>DATA!KWT35</f>
        <v>0</v>
      </c>
      <c r="KWR208" s="128">
        <f>DATA!KWU35</f>
        <v>0</v>
      </c>
      <c r="KWS208" s="128">
        <f>DATA!KWV35</f>
        <v>0</v>
      </c>
      <c r="KWT208" s="128">
        <f>DATA!KWW35</f>
        <v>0</v>
      </c>
      <c r="KWU208" s="128">
        <f>DATA!KWX35</f>
        <v>0</v>
      </c>
      <c r="KWV208" s="128">
        <f>DATA!KWY35</f>
        <v>0</v>
      </c>
      <c r="KWW208" s="128">
        <f>DATA!KWZ35</f>
        <v>0</v>
      </c>
      <c r="KWX208" s="128">
        <f>DATA!KXA35</f>
        <v>0</v>
      </c>
      <c r="KWY208" s="128">
        <f>DATA!KXB35</f>
        <v>0</v>
      </c>
      <c r="KWZ208" s="128">
        <f>DATA!KXC35</f>
        <v>0</v>
      </c>
      <c r="KXA208" s="128">
        <f>DATA!KXD35</f>
        <v>0</v>
      </c>
      <c r="KXB208" s="128">
        <f>DATA!KXE35</f>
        <v>0</v>
      </c>
      <c r="KXC208" s="128">
        <f>DATA!KXF35</f>
        <v>0</v>
      </c>
      <c r="KXD208" s="128">
        <f>DATA!KXG35</f>
        <v>0</v>
      </c>
      <c r="KXE208" s="128">
        <f>DATA!KXH35</f>
        <v>0</v>
      </c>
      <c r="KXF208" s="128">
        <f>DATA!KXI35</f>
        <v>0</v>
      </c>
      <c r="KXG208" s="128">
        <f>DATA!KXJ35</f>
        <v>0</v>
      </c>
      <c r="KXH208" s="128">
        <f>DATA!KXK35</f>
        <v>0</v>
      </c>
      <c r="KXI208" s="128">
        <f>DATA!KXL35</f>
        <v>0</v>
      </c>
      <c r="KXJ208" s="128">
        <f>DATA!KXM35</f>
        <v>0</v>
      </c>
      <c r="KXK208" s="128">
        <f>DATA!KXN35</f>
        <v>0</v>
      </c>
      <c r="KXL208" s="128">
        <f>DATA!KXO35</f>
        <v>0</v>
      </c>
      <c r="KXM208" s="128">
        <f>DATA!KXP35</f>
        <v>0</v>
      </c>
      <c r="KXN208" s="128">
        <f>DATA!KXQ35</f>
        <v>0</v>
      </c>
      <c r="KXO208" s="128">
        <f>DATA!KXR35</f>
        <v>0</v>
      </c>
      <c r="KXP208" s="128">
        <f>DATA!KXS35</f>
        <v>0</v>
      </c>
      <c r="KXQ208" s="128">
        <f>DATA!KXT35</f>
        <v>0</v>
      </c>
      <c r="KXR208" s="128">
        <f>DATA!KXU35</f>
        <v>0</v>
      </c>
      <c r="KXS208" s="128">
        <f>DATA!KXV35</f>
        <v>0</v>
      </c>
      <c r="KXT208" s="128">
        <f>DATA!KXW35</f>
        <v>0</v>
      </c>
      <c r="KXU208" s="128">
        <f>DATA!KXX35</f>
        <v>0</v>
      </c>
      <c r="KXV208" s="128">
        <f>DATA!KXY35</f>
        <v>0</v>
      </c>
      <c r="KXW208" s="128">
        <f>DATA!KXZ35</f>
        <v>0</v>
      </c>
      <c r="KXX208" s="128">
        <f>DATA!KYA35</f>
        <v>0</v>
      </c>
      <c r="KXY208" s="128">
        <f>DATA!KYB35</f>
        <v>0</v>
      </c>
      <c r="KXZ208" s="128">
        <f>DATA!KYC35</f>
        <v>0</v>
      </c>
      <c r="KYA208" s="128">
        <f>DATA!KYD35</f>
        <v>0</v>
      </c>
      <c r="KYB208" s="128">
        <f>DATA!KYE35</f>
        <v>0</v>
      </c>
      <c r="KYC208" s="128">
        <f>DATA!KYF35</f>
        <v>0</v>
      </c>
      <c r="KYD208" s="128">
        <f>DATA!KYG35</f>
        <v>0</v>
      </c>
      <c r="KYE208" s="128">
        <f>DATA!KYH35</f>
        <v>0</v>
      </c>
      <c r="KYF208" s="128">
        <f>DATA!KYI35</f>
        <v>0</v>
      </c>
      <c r="KYG208" s="128">
        <f>DATA!KYJ35</f>
        <v>0</v>
      </c>
      <c r="KYH208" s="128">
        <f>DATA!KYK35</f>
        <v>0</v>
      </c>
      <c r="KYI208" s="128">
        <f>DATA!KYL35</f>
        <v>0</v>
      </c>
      <c r="KYJ208" s="128">
        <f>DATA!KYM35</f>
        <v>0</v>
      </c>
      <c r="KYK208" s="128">
        <f>DATA!KYN35</f>
        <v>0</v>
      </c>
      <c r="KYL208" s="128">
        <f>DATA!KYO35</f>
        <v>0</v>
      </c>
      <c r="KYM208" s="128">
        <f>DATA!KYP35</f>
        <v>0</v>
      </c>
      <c r="KYN208" s="128">
        <f>DATA!KYQ35</f>
        <v>0</v>
      </c>
      <c r="KYO208" s="128">
        <f>DATA!KYR35</f>
        <v>0</v>
      </c>
      <c r="KYP208" s="128">
        <f>DATA!KYS35</f>
        <v>0</v>
      </c>
      <c r="KYQ208" s="128">
        <f>DATA!KYT35</f>
        <v>0</v>
      </c>
      <c r="KYR208" s="128">
        <f>DATA!KYU35</f>
        <v>0</v>
      </c>
      <c r="KYS208" s="128">
        <f>DATA!KYV35</f>
        <v>0</v>
      </c>
      <c r="KYT208" s="128">
        <f>DATA!KYW35</f>
        <v>0</v>
      </c>
      <c r="KYU208" s="128">
        <f>DATA!KYX35</f>
        <v>0</v>
      </c>
      <c r="KYV208" s="128">
        <f>DATA!KYY35</f>
        <v>0</v>
      </c>
      <c r="KYW208" s="128">
        <f>DATA!KYZ35</f>
        <v>0</v>
      </c>
      <c r="KYX208" s="128">
        <f>DATA!KZA35</f>
        <v>0</v>
      </c>
      <c r="KYY208" s="128">
        <f>DATA!KZB35</f>
        <v>0</v>
      </c>
      <c r="KYZ208" s="128">
        <f>DATA!KZC35</f>
        <v>0</v>
      </c>
      <c r="KZA208" s="128">
        <f>DATA!KZD35</f>
        <v>0</v>
      </c>
      <c r="KZB208" s="128">
        <f>DATA!KZE35</f>
        <v>0</v>
      </c>
      <c r="KZC208" s="128">
        <f>DATA!KZF35</f>
        <v>0</v>
      </c>
      <c r="KZD208" s="128">
        <f>DATA!KZG35</f>
        <v>0</v>
      </c>
      <c r="KZE208" s="128">
        <f>DATA!KZH35</f>
        <v>0</v>
      </c>
      <c r="KZF208" s="128">
        <f>DATA!KZI35</f>
        <v>0</v>
      </c>
      <c r="KZG208" s="128">
        <f>DATA!KZJ35</f>
        <v>0</v>
      </c>
      <c r="KZH208" s="128">
        <f>DATA!KZK35</f>
        <v>0</v>
      </c>
      <c r="KZI208" s="128">
        <f>DATA!KZL35</f>
        <v>0</v>
      </c>
      <c r="KZJ208" s="128">
        <f>DATA!KZM35</f>
        <v>0</v>
      </c>
      <c r="KZK208" s="128">
        <f>DATA!KZN35</f>
        <v>0</v>
      </c>
      <c r="KZL208" s="128">
        <f>DATA!KZO35</f>
        <v>0</v>
      </c>
      <c r="KZM208" s="128">
        <f>DATA!KZP35</f>
        <v>0</v>
      </c>
      <c r="KZN208" s="128">
        <f>DATA!KZQ35</f>
        <v>0</v>
      </c>
      <c r="KZO208" s="128">
        <f>DATA!KZR35</f>
        <v>0</v>
      </c>
      <c r="KZP208" s="128">
        <f>DATA!KZS35</f>
        <v>0</v>
      </c>
      <c r="KZQ208" s="128">
        <f>DATA!KZT35</f>
        <v>0</v>
      </c>
      <c r="KZR208" s="128">
        <f>DATA!KZU35</f>
        <v>0</v>
      </c>
      <c r="KZS208" s="128">
        <f>DATA!KZV35</f>
        <v>0</v>
      </c>
      <c r="KZT208" s="128">
        <f>DATA!KZW35</f>
        <v>0</v>
      </c>
      <c r="KZU208" s="128">
        <f>DATA!KZX35</f>
        <v>0</v>
      </c>
      <c r="KZV208" s="128">
        <f>DATA!KZY35</f>
        <v>0</v>
      </c>
      <c r="KZW208" s="128">
        <f>DATA!KZZ35</f>
        <v>0</v>
      </c>
      <c r="KZX208" s="128">
        <f>DATA!LAA35</f>
        <v>0</v>
      </c>
      <c r="KZY208" s="128">
        <f>DATA!LAB35</f>
        <v>0</v>
      </c>
      <c r="KZZ208" s="128">
        <f>DATA!LAC35</f>
        <v>0</v>
      </c>
      <c r="LAA208" s="128">
        <f>DATA!LAD35</f>
        <v>0</v>
      </c>
      <c r="LAB208" s="128">
        <f>DATA!LAE35</f>
        <v>0</v>
      </c>
      <c r="LAC208" s="128">
        <f>DATA!LAF35</f>
        <v>0</v>
      </c>
      <c r="LAD208" s="128">
        <f>DATA!LAG35</f>
        <v>0</v>
      </c>
      <c r="LAE208" s="128">
        <f>DATA!LAH35</f>
        <v>0</v>
      </c>
      <c r="LAF208" s="128">
        <f>DATA!LAI35</f>
        <v>0</v>
      </c>
      <c r="LAG208" s="128">
        <f>DATA!LAJ35</f>
        <v>0</v>
      </c>
      <c r="LAH208" s="128">
        <f>DATA!LAK35</f>
        <v>0</v>
      </c>
      <c r="LAI208" s="128">
        <f>DATA!LAL35</f>
        <v>0</v>
      </c>
      <c r="LAJ208" s="128">
        <f>DATA!LAM35</f>
        <v>0</v>
      </c>
      <c r="LAK208" s="128">
        <f>DATA!LAN35</f>
        <v>0</v>
      </c>
      <c r="LAL208" s="128">
        <f>DATA!LAO35</f>
        <v>0</v>
      </c>
      <c r="LAM208" s="128">
        <f>DATA!LAP35</f>
        <v>0</v>
      </c>
      <c r="LAN208" s="128">
        <f>DATA!LAQ35</f>
        <v>0</v>
      </c>
      <c r="LAO208" s="128">
        <f>DATA!LAR35</f>
        <v>0</v>
      </c>
      <c r="LAP208" s="128">
        <f>DATA!LAS35</f>
        <v>0</v>
      </c>
      <c r="LAQ208" s="128">
        <f>DATA!LAT35</f>
        <v>0</v>
      </c>
      <c r="LAR208" s="128">
        <f>DATA!LAU35</f>
        <v>0</v>
      </c>
      <c r="LAS208" s="128">
        <f>DATA!LAV35</f>
        <v>0</v>
      </c>
      <c r="LAT208" s="128">
        <f>DATA!LAW35</f>
        <v>0</v>
      </c>
      <c r="LAU208" s="128">
        <f>DATA!LAX35</f>
        <v>0</v>
      </c>
      <c r="LAV208" s="128">
        <f>DATA!LAY35</f>
        <v>0</v>
      </c>
      <c r="LAW208" s="128">
        <f>DATA!LAZ35</f>
        <v>0</v>
      </c>
      <c r="LAX208" s="128">
        <f>DATA!LBA35</f>
        <v>0</v>
      </c>
      <c r="LAY208" s="128">
        <f>DATA!LBB35</f>
        <v>0</v>
      </c>
      <c r="LAZ208" s="128">
        <f>DATA!LBC35</f>
        <v>0</v>
      </c>
      <c r="LBA208" s="128">
        <f>DATA!LBD35</f>
        <v>0</v>
      </c>
      <c r="LBB208" s="128">
        <f>DATA!LBE35</f>
        <v>0</v>
      </c>
      <c r="LBC208" s="128">
        <f>DATA!LBF35</f>
        <v>0</v>
      </c>
      <c r="LBD208" s="128">
        <f>DATA!LBG35</f>
        <v>0</v>
      </c>
      <c r="LBE208" s="128">
        <f>DATA!LBH35</f>
        <v>0</v>
      </c>
      <c r="LBF208" s="128">
        <f>DATA!LBI35</f>
        <v>0</v>
      </c>
      <c r="LBG208" s="128">
        <f>DATA!LBJ35</f>
        <v>0</v>
      </c>
      <c r="LBH208" s="128">
        <f>DATA!LBK35</f>
        <v>0</v>
      </c>
      <c r="LBI208" s="128">
        <f>DATA!LBL35</f>
        <v>0</v>
      </c>
      <c r="LBJ208" s="128">
        <f>DATA!LBM35</f>
        <v>0</v>
      </c>
      <c r="LBK208" s="128">
        <f>DATA!LBN35</f>
        <v>0</v>
      </c>
      <c r="LBL208" s="128">
        <f>DATA!LBO35</f>
        <v>0</v>
      </c>
      <c r="LBM208" s="128">
        <f>DATA!LBP35</f>
        <v>0</v>
      </c>
      <c r="LBN208" s="128">
        <f>DATA!LBQ35</f>
        <v>0</v>
      </c>
      <c r="LBO208" s="128">
        <f>DATA!LBR35</f>
        <v>0</v>
      </c>
      <c r="LBP208" s="128">
        <f>DATA!LBS35</f>
        <v>0</v>
      </c>
      <c r="LBQ208" s="128">
        <f>DATA!LBT35</f>
        <v>0</v>
      </c>
      <c r="LBR208" s="128">
        <f>DATA!LBU35</f>
        <v>0</v>
      </c>
      <c r="LBS208" s="128">
        <f>DATA!LBV35</f>
        <v>0</v>
      </c>
      <c r="LBT208" s="128">
        <f>DATA!LBW35</f>
        <v>0</v>
      </c>
      <c r="LBU208" s="128">
        <f>DATA!LBX35</f>
        <v>0</v>
      </c>
      <c r="LBV208" s="128">
        <f>DATA!LBY35</f>
        <v>0</v>
      </c>
      <c r="LBW208" s="128">
        <f>DATA!LBZ35</f>
        <v>0</v>
      </c>
      <c r="LBX208" s="128">
        <f>DATA!LCA35</f>
        <v>0</v>
      </c>
      <c r="LBY208" s="128">
        <f>DATA!LCB35</f>
        <v>0</v>
      </c>
      <c r="LBZ208" s="128">
        <f>DATA!LCC35</f>
        <v>0</v>
      </c>
      <c r="LCA208" s="128">
        <f>DATA!LCD35</f>
        <v>0</v>
      </c>
      <c r="LCB208" s="128">
        <f>DATA!LCE35</f>
        <v>0</v>
      </c>
      <c r="LCC208" s="128">
        <f>DATA!LCF35</f>
        <v>0</v>
      </c>
      <c r="LCD208" s="128">
        <f>DATA!LCG35</f>
        <v>0</v>
      </c>
      <c r="LCE208" s="128">
        <f>DATA!LCH35</f>
        <v>0</v>
      </c>
      <c r="LCF208" s="128">
        <f>DATA!LCI35</f>
        <v>0</v>
      </c>
      <c r="LCG208" s="128">
        <f>DATA!LCJ35</f>
        <v>0</v>
      </c>
      <c r="LCH208" s="128">
        <f>DATA!LCK35</f>
        <v>0</v>
      </c>
      <c r="LCI208" s="128">
        <f>DATA!LCL35</f>
        <v>0</v>
      </c>
      <c r="LCJ208" s="128">
        <f>DATA!LCM35</f>
        <v>0</v>
      </c>
      <c r="LCK208" s="128">
        <f>DATA!LCN35</f>
        <v>0</v>
      </c>
      <c r="LCL208" s="128">
        <f>DATA!LCO35</f>
        <v>0</v>
      </c>
      <c r="LCM208" s="128">
        <f>DATA!LCP35</f>
        <v>0</v>
      </c>
      <c r="LCN208" s="128">
        <f>DATA!LCQ35</f>
        <v>0</v>
      </c>
      <c r="LCO208" s="128">
        <f>DATA!LCR35</f>
        <v>0</v>
      </c>
      <c r="LCP208" s="128">
        <f>DATA!LCS35</f>
        <v>0</v>
      </c>
      <c r="LCQ208" s="128">
        <f>DATA!LCT35</f>
        <v>0</v>
      </c>
      <c r="LCR208" s="128">
        <f>DATA!LCU35</f>
        <v>0</v>
      </c>
      <c r="LCS208" s="128">
        <f>DATA!LCV35</f>
        <v>0</v>
      </c>
      <c r="LCT208" s="128">
        <f>DATA!LCW35</f>
        <v>0</v>
      </c>
      <c r="LCU208" s="128">
        <f>DATA!LCX35</f>
        <v>0</v>
      </c>
      <c r="LCV208" s="128">
        <f>DATA!LCY35</f>
        <v>0</v>
      </c>
      <c r="LCW208" s="128">
        <f>DATA!LCZ35</f>
        <v>0</v>
      </c>
      <c r="LCX208" s="128">
        <f>DATA!LDA35</f>
        <v>0</v>
      </c>
      <c r="LCY208" s="128">
        <f>DATA!LDB35</f>
        <v>0</v>
      </c>
      <c r="LCZ208" s="128">
        <f>DATA!LDC35</f>
        <v>0</v>
      </c>
      <c r="LDA208" s="128">
        <f>DATA!LDD35</f>
        <v>0</v>
      </c>
      <c r="LDB208" s="128">
        <f>DATA!LDE35</f>
        <v>0</v>
      </c>
      <c r="LDC208" s="128">
        <f>DATA!LDF35</f>
        <v>0</v>
      </c>
      <c r="LDD208" s="128">
        <f>DATA!LDG35</f>
        <v>0</v>
      </c>
      <c r="LDE208" s="128">
        <f>DATA!LDH35</f>
        <v>0</v>
      </c>
      <c r="LDF208" s="128">
        <f>DATA!LDI35</f>
        <v>0</v>
      </c>
      <c r="LDG208" s="128">
        <f>DATA!LDJ35</f>
        <v>0</v>
      </c>
      <c r="LDH208" s="128">
        <f>DATA!LDK35</f>
        <v>0</v>
      </c>
      <c r="LDI208" s="128">
        <f>DATA!LDL35</f>
        <v>0</v>
      </c>
      <c r="LDJ208" s="128">
        <f>DATA!LDM35</f>
        <v>0</v>
      </c>
      <c r="LDK208" s="128">
        <f>DATA!LDN35</f>
        <v>0</v>
      </c>
      <c r="LDL208" s="128">
        <f>DATA!LDO35</f>
        <v>0</v>
      </c>
      <c r="LDM208" s="128">
        <f>DATA!LDP35</f>
        <v>0</v>
      </c>
      <c r="LDN208" s="128">
        <f>DATA!LDQ35</f>
        <v>0</v>
      </c>
      <c r="LDO208" s="128">
        <f>DATA!LDR35</f>
        <v>0</v>
      </c>
      <c r="LDP208" s="128">
        <f>DATA!LDS35</f>
        <v>0</v>
      </c>
      <c r="LDQ208" s="128">
        <f>DATA!LDT35</f>
        <v>0</v>
      </c>
      <c r="LDR208" s="128">
        <f>DATA!LDU35</f>
        <v>0</v>
      </c>
      <c r="LDS208" s="128">
        <f>DATA!LDV35</f>
        <v>0</v>
      </c>
      <c r="LDT208" s="128">
        <f>DATA!LDW35</f>
        <v>0</v>
      </c>
      <c r="LDU208" s="128">
        <f>DATA!LDX35</f>
        <v>0</v>
      </c>
      <c r="LDV208" s="128">
        <f>DATA!LDY35</f>
        <v>0</v>
      </c>
      <c r="LDW208" s="128">
        <f>DATA!LDZ35</f>
        <v>0</v>
      </c>
      <c r="LDX208" s="128">
        <f>DATA!LEA35</f>
        <v>0</v>
      </c>
      <c r="LDY208" s="128">
        <f>DATA!LEB35</f>
        <v>0</v>
      </c>
      <c r="LDZ208" s="128">
        <f>DATA!LEC35</f>
        <v>0</v>
      </c>
      <c r="LEA208" s="128">
        <f>DATA!LED35</f>
        <v>0</v>
      </c>
      <c r="LEB208" s="128">
        <f>DATA!LEE35</f>
        <v>0</v>
      </c>
      <c r="LEC208" s="128">
        <f>DATA!LEF35</f>
        <v>0</v>
      </c>
      <c r="LED208" s="128">
        <f>DATA!LEG35</f>
        <v>0</v>
      </c>
      <c r="LEE208" s="128">
        <f>DATA!LEH35</f>
        <v>0</v>
      </c>
      <c r="LEF208" s="128">
        <f>DATA!LEI35</f>
        <v>0</v>
      </c>
      <c r="LEG208" s="128">
        <f>DATA!LEJ35</f>
        <v>0</v>
      </c>
      <c r="LEH208" s="128">
        <f>DATA!LEK35</f>
        <v>0</v>
      </c>
      <c r="LEI208" s="128">
        <f>DATA!LEL35</f>
        <v>0</v>
      </c>
      <c r="LEJ208" s="128">
        <f>DATA!LEM35</f>
        <v>0</v>
      </c>
      <c r="LEK208" s="128">
        <f>DATA!LEN35</f>
        <v>0</v>
      </c>
      <c r="LEL208" s="128">
        <f>DATA!LEO35</f>
        <v>0</v>
      </c>
      <c r="LEM208" s="128">
        <f>DATA!LEP35</f>
        <v>0</v>
      </c>
      <c r="LEN208" s="128">
        <f>DATA!LEQ35</f>
        <v>0</v>
      </c>
      <c r="LEO208" s="128">
        <f>DATA!LER35</f>
        <v>0</v>
      </c>
      <c r="LEP208" s="128">
        <f>DATA!LES35</f>
        <v>0</v>
      </c>
      <c r="LEQ208" s="128">
        <f>DATA!LET35</f>
        <v>0</v>
      </c>
      <c r="LER208" s="128">
        <f>DATA!LEU35</f>
        <v>0</v>
      </c>
      <c r="LES208" s="128">
        <f>DATA!LEV35</f>
        <v>0</v>
      </c>
      <c r="LET208" s="128">
        <f>DATA!LEW35</f>
        <v>0</v>
      </c>
      <c r="LEU208" s="128">
        <f>DATA!LEX35</f>
        <v>0</v>
      </c>
      <c r="LEV208" s="128">
        <f>DATA!LEY35</f>
        <v>0</v>
      </c>
      <c r="LEW208" s="128">
        <f>DATA!LEZ35</f>
        <v>0</v>
      </c>
      <c r="LEX208" s="128">
        <f>DATA!LFA35</f>
        <v>0</v>
      </c>
      <c r="LEY208" s="128">
        <f>DATA!LFB35</f>
        <v>0</v>
      </c>
      <c r="LEZ208" s="128">
        <f>DATA!LFC35</f>
        <v>0</v>
      </c>
      <c r="LFA208" s="128">
        <f>DATA!LFD35</f>
        <v>0</v>
      </c>
      <c r="LFB208" s="128">
        <f>DATA!LFE35</f>
        <v>0</v>
      </c>
      <c r="LFC208" s="128">
        <f>DATA!LFF35</f>
        <v>0</v>
      </c>
      <c r="LFD208" s="128">
        <f>DATA!LFG35</f>
        <v>0</v>
      </c>
      <c r="LFE208" s="128">
        <f>DATA!LFH35</f>
        <v>0</v>
      </c>
      <c r="LFF208" s="128">
        <f>DATA!LFI35</f>
        <v>0</v>
      </c>
      <c r="LFG208" s="128">
        <f>DATA!LFJ35</f>
        <v>0</v>
      </c>
      <c r="LFH208" s="128">
        <f>DATA!LFK35</f>
        <v>0</v>
      </c>
      <c r="LFI208" s="128">
        <f>DATA!LFL35</f>
        <v>0</v>
      </c>
      <c r="LFJ208" s="128">
        <f>DATA!LFM35</f>
        <v>0</v>
      </c>
      <c r="LFK208" s="128">
        <f>DATA!LFN35</f>
        <v>0</v>
      </c>
      <c r="LFL208" s="128">
        <f>DATA!LFO35</f>
        <v>0</v>
      </c>
      <c r="LFM208" s="128">
        <f>DATA!LFP35</f>
        <v>0</v>
      </c>
      <c r="LFN208" s="128">
        <f>DATA!LFQ35</f>
        <v>0</v>
      </c>
      <c r="LFO208" s="128">
        <f>DATA!LFR35</f>
        <v>0</v>
      </c>
      <c r="LFP208" s="128">
        <f>DATA!LFS35</f>
        <v>0</v>
      </c>
      <c r="LFQ208" s="128">
        <f>DATA!LFT35</f>
        <v>0</v>
      </c>
      <c r="LFR208" s="128">
        <f>DATA!LFU35</f>
        <v>0</v>
      </c>
      <c r="LFS208" s="128">
        <f>DATA!LFV35</f>
        <v>0</v>
      </c>
      <c r="LFT208" s="128">
        <f>DATA!LFW35</f>
        <v>0</v>
      </c>
      <c r="LFU208" s="128">
        <f>DATA!LFX35</f>
        <v>0</v>
      </c>
      <c r="LFV208" s="128">
        <f>DATA!LFY35</f>
        <v>0</v>
      </c>
      <c r="LFW208" s="128">
        <f>DATA!LFZ35</f>
        <v>0</v>
      </c>
      <c r="LFX208" s="128">
        <f>DATA!LGA35</f>
        <v>0</v>
      </c>
      <c r="LFY208" s="128">
        <f>DATA!LGB35</f>
        <v>0</v>
      </c>
      <c r="LFZ208" s="128">
        <f>DATA!LGC35</f>
        <v>0</v>
      </c>
      <c r="LGA208" s="128">
        <f>DATA!LGD35</f>
        <v>0</v>
      </c>
      <c r="LGB208" s="128">
        <f>DATA!LGE35</f>
        <v>0</v>
      </c>
      <c r="LGC208" s="128">
        <f>DATA!LGF35</f>
        <v>0</v>
      </c>
      <c r="LGD208" s="128">
        <f>DATA!LGG35</f>
        <v>0</v>
      </c>
      <c r="LGE208" s="128">
        <f>DATA!LGH35</f>
        <v>0</v>
      </c>
      <c r="LGF208" s="128">
        <f>DATA!LGI35</f>
        <v>0</v>
      </c>
      <c r="LGG208" s="128">
        <f>DATA!LGJ35</f>
        <v>0</v>
      </c>
      <c r="LGH208" s="128">
        <f>DATA!LGK35</f>
        <v>0</v>
      </c>
      <c r="LGI208" s="128">
        <f>DATA!LGL35</f>
        <v>0</v>
      </c>
      <c r="LGJ208" s="128">
        <f>DATA!LGM35</f>
        <v>0</v>
      </c>
      <c r="LGK208" s="128">
        <f>DATA!LGN35</f>
        <v>0</v>
      </c>
      <c r="LGL208" s="128">
        <f>DATA!LGO35</f>
        <v>0</v>
      </c>
      <c r="LGM208" s="128">
        <f>DATA!LGP35</f>
        <v>0</v>
      </c>
      <c r="LGN208" s="128">
        <f>DATA!LGQ35</f>
        <v>0</v>
      </c>
      <c r="LGO208" s="128">
        <f>DATA!LGR35</f>
        <v>0</v>
      </c>
      <c r="LGP208" s="128">
        <f>DATA!LGS35</f>
        <v>0</v>
      </c>
      <c r="LGQ208" s="128">
        <f>DATA!LGT35</f>
        <v>0</v>
      </c>
      <c r="LGR208" s="128">
        <f>DATA!LGU35</f>
        <v>0</v>
      </c>
      <c r="LGS208" s="128">
        <f>DATA!LGV35</f>
        <v>0</v>
      </c>
      <c r="LGT208" s="128">
        <f>DATA!LGW35</f>
        <v>0</v>
      </c>
      <c r="LGU208" s="128">
        <f>DATA!LGX35</f>
        <v>0</v>
      </c>
      <c r="LGV208" s="128">
        <f>DATA!LGY35</f>
        <v>0</v>
      </c>
      <c r="LGW208" s="128">
        <f>DATA!LGZ35</f>
        <v>0</v>
      </c>
      <c r="LGX208" s="128">
        <f>DATA!LHA35</f>
        <v>0</v>
      </c>
      <c r="LGY208" s="128">
        <f>DATA!LHB35</f>
        <v>0</v>
      </c>
      <c r="LGZ208" s="128">
        <f>DATA!LHC35</f>
        <v>0</v>
      </c>
      <c r="LHA208" s="128">
        <f>DATA!LHD35</f>
        <v>0</v>
      </c>
      <c r="LHB208" s="128">
        <f>DATA!LHE35</f>
        <v>0</v>
      </c>
      <c r="LHC208" s="128">
        <f>DATA!LHF35</f>
        <v>0</v>
      </c>
      <c r="LHD208" s="128">
        <f>DATA!LHG35</f>
        <v>0</v>
      </c>
      <c r="LHE208" s="128">
        <f>DATA!LHH35</f>
        <v>0</v>
      </c>
      <c r="LHF208" s="128">
        <f>DATA!LHI35</f>
        <v>0</v>
      </c>
      <c r="LHG208" s="128">
        <f>DATA!LHJ35</f>
        <v>0</v>
      </c>
      <c r="LHH208" s="128">
        <f>DATA!LHK35</f>
        <v>0</v>
      </c>
      <c r="LHI208" s="128">
        <f>DATA!LHL35</f>
        <v>0</v>
      </c>
      <c r="LHJ208" s="128">
        <f>DATA!LHM35</f>
        <v>0</v>
      </c>
      <c r="LHK208" s="128">
        <f>DATA!LHN35</f>
        <v>0</v>
      </c>
      <c r="LHL208" s="128">
        <f>DATA!LHO35</f>
        <v>0</v>
      </c>
      <c r="LHM208" s="128">
        <f>DATA!LHP35</f>
        <v>0</v>
      </c>
      <c r="LHN208" s="128">
        <f>DATA!LHQ35</f>
        <v>0</v>
      </c>
      <c r="LHO208" s="128">
        <f>DATA!LHR35</f>
        <v>0</v>
      </c>
      <c r="LHP208" s="128">
        <f>DATA!LHS35</f>
        <v>0</v>
      </c>
      <c r="LHQ208" s="128">
        <f>DATA!LHT35</f>
        <v>0</v>
      </c>
      <c r="LHR208" s="128">
        <f>DATA!LHU35</f>
        <v>0</v>
      </c>
      <c r="LHS208" s="128">
        <f>DATA!LHV35</f>
        <v>0</v>
      </c>
      <c r="LHT208" s="128">
        <f>DATA!LHW35</f>
        <v>0</v>
      </c>
      <c r="LHU208" s="128">
        <f>DATA!LHX35</f>
        <v>0</v>
      </c>
      <c r="LHV208" s="128">
        <f>DATA!LHY35</f>
        <v>0</v>
      </c>
      <c r="LHW208" s="128">
        <f>DATA!LHZ35</f>
        <v>0</v>
      </c>
      <c r="LHX208" s="128">
        <f>DATA!LIA35</f>
        <v>0</v>
      </c>
      <c r="LHY208" s="128">
        <f>DATA!LIB35</f>
        <v>0</v>
      </c>
      <c r="LHZ208" s="128">
        <f>DATA!LIC35</f>
        <v>0</v>
      </c>
      <c r="LIA208" s="128">
        <f>DATA!LID35</f>
        <v>0</v>
      </c>
      <c r="LIB208" s="128">
        <f>DATA!LIE35</f>
        <v>0</v>
      </c>
      <c r="LIC208" s="128">
        <f>DATA!LIF35</f>
        <v>0</v>
      </c>
      <c r="LID208" s="128">
        <f>DATA!LIG35</f>
        <v>0</v>
      </c>
      <c r="LIE208" s="128">
        <f>DATA!LIH35</f>
        <v>0</v>
      </c>
      <c r="LIF208" s="128">
        <f>DATA!LII35</f>
        <v>0</v>
      </c>
      <c r="LIG208" s="128">
        <f>DATA!LIJ35</f>
        <v>0</v>
      </c>
      <c r="LIH208" s="128">
        <f>DATA!LIK35</f>
        <v>0</v>
      </c>
      <c r="LII208" s="128">
        <f>DATA!LIL35</f>
        <v>0</v>
      </c>
      <c r="LIJ208" s="128">
        <f>DATA!LIM35</f>
        <v>0</v>
      </c>
      <c r="LIK208" s="128">
        <f>DATA!LIN35</f>
        <v>0</v>
      </c>
      <c r="LIL208" s="128">
        <f>DATA!LIO35</f>
        <v>0</v>
      </c>
      <c r="LIM208" s="128">
        <f>DATA!LIP35</f>
        <v>0</v>
      </c>
      <c r="LIN208" s="128">
        <f>DATA!LIQ35</f>
        <v>0</v>
      </c>
      <c r="LIO208" s="128">
        <f>DATA!LIR35</f>
        <v>0</v>
      </c>
      <c r="LIP208" s="128">
        <f>DATA!LIS35</f>
        <v>0</v>
      </c>
      <c r="LIQ208" s="128">
        <f>DATA!LIT35</f>
        <v>0</v>
      </c>
      <c r="LIR208" s="128">
        <f>DATA!LIU35</f>
        <v>0</v>
      </c>
      <c r="LIS208" s="128">
        <f>DATA!LIV35</f>
        <v>0</v>
      </c>
      <c r="LIT208" s="128">
        <f>DATA!LIW35</f>
        <v>0</v>
      </c>
      <c r="LIU208" s="128">
        <f>DATA!LIX35</f>
        <v>0</v>
      </c>
      <c r="LIV208" s="128">
        <f>DATA!LIY35</f>
        <v>0</v>
      </c>
      <c r="LIW208" s="128">
        <f>DATA!LIZ35</f>
        <v>0</v>
      </c>
      <c r="LIX208" s="128">
        <f>DATA!LJA35</f>
        <v>0</v>
      </c>
      <c r="LIY208" s="128">
        <f>DATA!LJB35</f>
        <v>0</v>
      </c>
      <c r="LIZ208" s="128">
        <f>DATA!LJC35</f>
        <v>0</v>
      </c>
      <c r="LJA208" s="128">
        <f>DATA!LJD35</f>
        <v>0</v>
      </c>
      <c r="LJB208" s="128">
        <f>DATA!LJE35</f>
        <v>0</v>
      </c>
      <c r="LJC208" s="128">
        <f>DATA!LJF35</f>
        <v>0</v>
      </c>
      <c r="LJD208" s="128">
        <f>DATA!LJG35</f>
        <v>0</v>
      </c>
      <c r="LJE208" s="128">
        <f>DATA!LJH35</f>
        <v>0</v>
      </c>
      <c r="LJF208" s="128">
        <f>DATA!LJI35</f>
        <v>0</v>
      </c>
      <c r="LJG208" s="128">
        <f>DATA!LJJ35</f>
        <v>0</v>
      </c>
      <c r="LJH208" s="128">
        <f>DATA!LJK35</f>
        <v>0</v>
      </c>
      <c r="LJI208" s="128">
        <f>DATA!LJL35</f>
        <v>0</v>
      </c>
      <c r="LJJ208" s="128">
        <f>DATA!LJM35</f>
        <v>0</v>
      </c>
      <c r="LJK208" s="128">
        <f>DATA!LJN35</f>
        <v>0</v>
      </c>
      <c r="LJL208" s="128">
        <f>DATA!LJO35</f>
        <v>0</v>
      </c>
      <c r="LJM208" s="128">
        <f>DATA!LJP35</f>
        <v>0</v>
      </c>
      <c r="LJN208" s="128">
        <f>DATA!LJQ35</f>
        <v>0</v>
      </c>
      <c r="LJO208" s="128">
        <f>DATA!LJR35</f>
        <v>0</v>
      </c>
      <c r="LJP208" s="128">
        <f>DATA!LJS35</f>
        <v>0</v>
      </c>
      <c r="LJQ208" s="128">
        <f>DATA!LJT35</f>
        <v>0</v>
      </c>
      <c r="LJR208" s="128">
        <f>DATA!LJU35</f>
        <v>0</v>
      </c>
      <c r="LJS208" s="128">
        <f>DATA!LJV35</f>
        <v>0</v>
      </c>
      <c r="LJT208" s="128">
        <f>DATA!LJW35</f>
        <v>0</v>
      </c>
      <c r="LJU208" s="128">
        <f>DATA!LJX35</f>
        <v>0</v>
      </c>
      <c r="LJV208" s="128">
        <f>DATA!LJY35</f>
        <v>0</v>
      </c>
      <c r="LJW208" s="128">
        <f>DATA!LJZ35</f>
        <v>0</v>
      </c>
      <c r="LJX208" s="128">
        <f>DATA!LKA35</f>
        <v>0</v>
      </c>
      <c r="LJY208" s="128">
        <f>DATA!LKB35</f>
        <v>0</v>
      </c>
      <c r="LJZ208" s="128">
        <f>DATA!LKC35</f>
        <v>0</v>
      </c>
      <c r="LKA208" s="128">
        <f>DATA!LKD35</f>
        <v>0</v>
      </c>
      <c r="LKB208" s="128">
        <f>DATA!LKE35</f>
        <v>0</v>
      </c>
      <c r="LKC208" s="128">
        <f>DATA!LKF35</f>
        <v>0</v>
      </c>
      <c r="LKD208" s="128">
        <f>DATA!LKG35</f>
        <v>0</v>
      </c>
      <c r="LKE208" s="128">
        <f>DATA!LKH35</f>
        <v>0</v>
      </c>
      <c r="LKF208" s="128">
        <f>DATA!LKI35</f>
        <v>0</v>
      </c>
      <c r="LKG208" s="128">
        <f>DATA!LKJ35</f>
        <v>0</v>
      </c>
      <c r="LKH208" s="128">
        <f>DATA!LKK35</f>
        <v>0</v>
      </c>
      <c r="LKI208" s="128">
        <f>DATA!LKL35</f>
        <v>0</v>
      </c>
      <c r="LKJ208" s="128">
        <f>DATA!LKM35</f>
        <v>0</v>
      </c>
      <c r="LKK208" s="128">
        <f>DATA!LKN35</f>
        <v>0</v>
      </c>
      <c r="LKL208" s="128">
        <f>DATA!LKO35</f>
        <v>0</v>
      </c>
      <c r="LKM208" s="128">
        <f>DATA!LKP35</f>
        <v>0</v>
      </c>
      <c r="LKN208" s="128">
        <f>DATA!LKQ35</f>
        <v>0</v>
      </c>
      <c r="LKO208" s="128">
        <f>DATA!LKR35</f>
        <v>0</v>
      </c>
      <c r="LKP208" s="128">
        <f>DATA!LKS35</f>
        <v>0</v>
      </c>
      <c r="LKQ208" s="128">
        <f>DATA!LKT35</f>
        <v>0</v>
      </c>
      <c r="LKR208" s="128">
        <f>DATA!LKU35</f>
        <v>0</v>
      </c>
      <c r="LKS208" s="128">
        <f>DATA!LKV35</f>
        <v>0</v>
      </c>
      <c r="LKT208" s="128">
        <f>DATA!LKW35</f>
        <v>0</v>
      </c>
      <c r="LKU208" s="128">
        <f>DATA!LKX35</f>
        <v>0</v>
      </c>
      <c r="LKV208" s="128">
        <f>DATA!LKY35</f>
        <v>0</v>
      </c>
      <c r="LKW208" s="128">
        <f>DATA!LKZ35</f>
        <v>0</v>
      </c>
      <c r="LKX208" s="128">
        <f>DATA!LLA35</f>
        <v>0</v>
      </c>
      <c r="LKY208" s="128">
        <f>DATA!LLB35</f>
        <v>0</v>
      </c>
      <c r="LKZ208" s="128">
        <f>DATA!LLC35</f>
        <v>0</v>
      </c>
      <c r="LLA208" s="128">
        <f>DATA!LLD35</f>
        <v>0</v>
      </c>
      <c r="LLB208" s="128">
        <f>DATA!LLE35</f>
        <v>0</v>
      </c>
      <c r="LLC208" s="128">
        <f>DATA!LLF35</f>
        <v>0</v>
      </c>
      <c r="LLD208" s="128">
        <f>DATA!LLG35</f>
        <v>0</v>
      </c>
      <c r="LLE208" s="128">
        <f>DATA!LLH35</f>
        <v>0</v>
      </c>
      <c r="LLF208" s="128">
        <f>DATA!LLI35</f>
        <v>0</v>
      </c>
      <c r="LLG208" s="128">
        <f>DATA!LLJ35</f>
        <v>0</v>
      </c>
      <c r="LLH208" s="128">
        <f>DATA!LLK35</f>
        <v>0</v>
      </c>
      <c r="LLI208" s="128">
        <f>DATA!LLL35</f>
        <v>0</v>
      </c>
      <c r="LLJ208" s="128">
        <f>DATA!LLM35</f>
        <v>0</v>
      </c>
      <c r="LLK208" s="128">
        <f>DATA!LLN35</f>
        <v>0</v>
      </c>
      <c r="LLL208" s="128">
        <f>DATA!LLO35</f>
        <v>0</v>
      </c>
      <c r="LLM208" s="128">
        <f>DATA!LLP35</f>
        <v>0</v>
      </c>
      <c r="LLN208" s="128">
        <f>DATA!LLQ35</f>
        <v>0</v>
      </c>
      <c r="LLO208" s="128">
        <f>DATA!LLR35</f>
        <v>0</v>
      </c>
      <c r="LLP208" s="128">
        <f>DATA!LLS35</f>
        <v>0</v>
      </c>
      <c r="LLQ208" s="128">
        <f>DATA!LLT35</f>
        <v>0</v>
      </c>
      <c r="LLR208" s="128">
        <f>DATA!LLU35</f>
        <v>0</v>
      </c>
      <c r="LLS208" s="128">
        <f>DATA!LLV35</f>
        <v>0</v>
      </c>
      <c r="LLT208" s="128">
        <f>DATA!LLW35</f>
        <v>0</v>
      </c>
      <c r="LLU208" s="128">
        <f>DATA!LLX35</f>
        <v>0</v>
      </c>
      <c r="LLV208" s="128">
        <f>DATA!LLY35</f>
        <v>0</v>
      </c>
      <c r="LLW208" s="128">
        <f>DATA!LLZ35</f>
        <v>0</v>
      </c>
      <c r="LLX208" s="128">
        <f>DATA!LMA35</f>
        <v>0</v>
      </c>
      <c r="LLY208" s="128">
        <f>DATA!LMB35</f>
        <v>0</v>
      </c>
      <c r="LLZ208" s="128">
        <f>DATA!LMC35</f>
        <v>0</v>
      </c>
      <c r="LMA208" s="128">
        <f>DATA!LMD35</f>
        <v>0</v>
      </c>
      <c r="LMB208" s="128">
        <f>DATA!LME35</f>
        <v>0</v>
      </c>
      <c r="LMC208" s="128">
        <f>DATA!LMF35</f>
        <v>0</v>
      </c>
      <c r="LMD208" s="128">
        <f>DATA!LMG35</f>
        <v>0</v>
      </c>
      <c r="LME208" s="128">
        <f>DATA!LMH35</f>
        <v>0</v>
      </c>
      <c r="LMF208" s="128">
        <f>DATA!LMI35</f>
        <v>0</v>
      </c>
      <c r="LMG208" s="128">
        <f>DATA!LMJ35</f>
        <v>0</v>
      </c>
      <c r="LMH208" s="128">
        <f>DATA!LMK35</f>
        <v>0</v>
      </c>
      <c r="LMI208" s="128">
        <f>DATA!LML35</f>
        <v>0</v>
      </c>
      <c r="LMJ208" s="128">
        <f>DATA!LMM35</f>
        <v>0</v>
      </c>
      <c r="LMK208" s="128">
        <f>DATA!LMN35</f>
        <v>0</v>
      </c>
      <c r="LML208" s="128">
        <f>DATA!LMO35</f>
        <v>0</v>
      </c>
      <c r="LMM208" s="128">
        <f>DATA!LMP35</f>
        <v>0</v>
      </c>
      <c r="LMN208" s="128">
        <f>DATA!LMQ35</f>
        <v>0</v>
      </c>
      <c r="LMO208" s="128">
        <f>DATA!LMR35</f>
        <v>0</v>
      </c>
      <c r="LMP208" s="128">
        <f>DATA!LMS35</f>
        <v>0</v>
      </c>
      <c r="LMQ208" s="128">
        <f>DATA!LMT35</f>
        <v>0</v>
      </c>
      <c r="LMR208" s="128">
        <f>DATA!LMU35</f>
        <v>0</v>
      </c>
      <c r="LMS208" s="128">
        <f>DATA!LMV35</f>
        <v>0</v>
      </c>
      <c r="LMT208" s="128">
        <f>DATA!LMW35</f>
        <v>0</v>
      </c>
      <c r="LMU208" s="128">
        <f>DATA!LMX35</f>
        <v>0</v>
      </c>
      <c r="LMV208" s="128">
        <f>DATA!LMY35</f>
        <v>0</v>
      </c>
      <c r="LMW208" s="128">
        <f>DATA!LMZ35</f>
        <v>0</v>
      </c>
      <c r="LMX208" s="128">
        <f>DATA!LNA35</f>
        <v>0</v>
      </c>
      <c r="LMY208" s="128">
        <f>DATA!LNB35</f>
        <v>0</v>
      </c>
      <c r="LMZ208" s="128">
        <f>DATA!LNC35</f>
        <v>0</v>
      </c>
      <c r="LNA208" s="128">
        <f>DATA!LND35</f>
        <v>0</v>
      </c>
      <c r="LNB208" s="128">
        <f>DATA!LNE35</f>
        <v>0</v>
      </c>
      <c r="LNC208" s="128">
        <f>DATA!LNF35</f>
        <v>0</v>
      </c>
      <c r="LND208" s="128">
        <f>DATA!LNG35</f>
        <v>0</v>
      </c>
      <c r="LNE208" s="128">
        <f>DATA!LNH35</f>
        <v>0</v>
      </c>
      <c r="LNF208" s="128">
        <f>DATA!LNI35</f>
        <v>0</v>
      </c>
      <c r="LNG208" s="128">
        <f>DATA!LNJ35</f>
        <v>0</v>
      </c>
      <c r="LNH208" s="128">
        <f>DATA!LNK35</f>
        <v>0</v>
      </c>
      <c r="LNI208" s="128">
        <f>DATA!LNL35</f>
        <v>0</v>
      </c>
      <c r="LNJ208" s="128">
        <f>DATA!LNM35</f>
        <v>0</v>
      </c>
      <c r="LNK208" s="128">
        <f>DATA!LNN35</f>
        <v>0</v>
      </c>
      <c r="LNL208" s="128">
        <f>DATA!LNO35</f>
        <v>0</v>
      </c>
      <c r="LNM208" s="128">
        <f>DATA!LNP35</f>
        <v>0</v>
      </c>
      <c r="LNN208" s="128">
        <f>DATA!LNQ35</f>
        <v>0</v>
      </c>
      <c r="LNO208" s="128">
        <f>DATA!LNR35</f>
        <v>0</v>
      </c>
      <c r="LNP208" s="128">
        <f>DATA!LNS35</f>
        <v>0</v>
      </c>
      <c r="LNQ208" s="128">
        <f>DATA!LNT35</f>
        <v>0</v>
      </c>
      <c r="LNR208" s="128">
        <f>DATA!LNU35</f>
        <v>0</v>
      </c>
      <c r="LNS208" s="128">
        <f>DATA!LNV35</f>
        <v>0</v>
      </c>
      <c r="LNT208" s="128">
        <f>DATA!LNW35</f>
        <v>0</v>
      </c>
      <c r="LNU208" s="128">
        <f>DATA!LNX35</f>
        <v>0</v>
      </c>
      <c r="LNV208" s="128">
        <f>DATA!LNY35</f>
        <v>0</v>
      </c>
      <c r="LNW208" s="128">
        <f>DATA!LNZ35</f>
        <v>0</v>
      </c>
      <c r="LNX208" s="128">
        <f>DATA!LOA35</f>
        <v>0</v>
      </c>
      <c r="LNY208" s="128">
        <f>DATA!LOB35</f>
        <v>0</v>
      </c>
      <c r="LNZ208" s="128">
        <f>DATA!LOC35</f>
        <v>0</v>
      </c>
      <c r="LOA208" s="128">
        <f>DATA!LOD35</f>
        <v>0</v>
      </c>
      <c r="LOB208" s="128">
        <f>DATA!LOE35</f>
        <v>0</v>
      </c>
      <c r="LOC208" s="128">
        <f>DATA!LOF35</f>
        <v>0</v>
      </c>
      <c r="LOD208" s="128">
        <f>DATA!LOG35</f>
        <v>0</v>
      </c>
      <c r="LOE208" s="128">
        <f>DATA!LOH35</f>
        <v>0</v>
      </c>
      <c r="LOF208" s="128">
        <f>DATA!LOI35</f>
        <v>0</v>
      </c>
      <c r="LOG208" s="128">
        <f>DATA!LOJ35</f>
        <v>0</v>
      </c>
      <c r="LOH208" s="128">
        <f>DATA!LOK35</f>
        <v>0</v>
      </c>
      <c r="LOI208" s="128">
        <f>DATA!LOL35</f>
        <v>0</v>
      </c>
      <c r="LOJ208" s="128">
        <f>DATA!LOM35</f>
        <v>0</v>
      </c>
      <c r="LOK208" s="128">
        <f>DATA!LON35</f>
        <v>0</v>
      </c>
      <c r="LOL208" s="128">
        <f>DATA!LOO35</f>
        <v>0</v>
      </c>
      <c r="LOM208" s="128">
        <f>DATA!LOP35</f>
        <v>0</v>
      </c>
      <c r="LON208" s="128">
        <f>DATA!LOQ35</f>
        <v>0</v>
      </c>
      <c r="LOO208" s="128">
        <f>DATA!LOR35</f>
        <v>0</v>
      </c>
      <c r="LOP208" s="128">
        <f>DATA!LOS35</f>
        <v>0</v>
      </c>
      <c r="LOQ208" s="128">
        <f>DATA!LOT35</f>
        <v>0</v>
      </c>
      <c r="LOR208" s="128">
        <f>DATA!LOU35</f>
        <v>0</v>
      </c>
      <c r="LOS208" s="128">
        <f>DATA!LOV35</f>
        <v>0</v>
      </c>
      <c r="LOT208" s="128">
        <f>DATA!LOW35</f>
        <v>0</v>
      </c>
      <c r="LOU208" s="128">
        <f>DATA!LOX35</f>
        <v>0</v>
      </c>
      <c r="LOV208" s="128">
        <f>DATA!LOY35</f>
        <v>0</v>
      </c>
      <c r="LOW208" s="128">
        <f>DATA!LOZ35</f>
        <v>0</v>
      </c>
      <c r="LOX208" s="128">
        <f>DATA!LPA35</f>
        <v>0</v>
      </c>
      <c r="LOY208" s="128">
        <f>DATA!LPB35</f>
        <v>0</v>
      </c>
      <c r="LOZ208" s="128">
        <f>DATA!LPC35</f>
        <v>0</v>
      </c>
      <c r="LPA208" s="128">
        <f>DATA!LPD35</f>
        <v>0</v>
      </c>
      <c r="LPB208" s="128">
        <f>DATA!LPE35</f>
        <v>0</v>
      </c>
      <c r="LPC208" s="128">
        <f>DATA!LPF35</f>
        <v>0</v>
      </c>
      <c r="LPD208" s="128">
        <f>DATA!LPG35</f>
        <v>0</v>
      </c>
      <c r="LPE208" s="128">
        <f>DATA!LPH35</f>
        <v>0</v>
      </c>
      <c r="LPF208" s="128">
        <f>DATA!LPI35</f>
        <v>0</v>
      </c>
      <c r="LPG208" s="128">
        <f>DATA!LPJ35</f>
        <v>0</v>
      </c>
      <c r="LPH208" s="128">
        <f>DATA!LPK35</f>
        <v>0</v>
      </c>
      <c r="LPI208" s="128">
        <f>DATA!LPL35</f>
        <v>0</v>
      </c>
      <c r="LPJ208" s="128">
        <f>DATA!LPM35</f>
        <v>0</v>
      </c>
      <c r="LPK208" s="128">
        <f>DATA!LPN35</f>
        <v>0</v>
      </c>
      <c r="LPL208" s="128">
        <f>DATA!LPO35</f>
        <v>0</v>
      </c>
      <c r="LPM208" s="128">
        <f>DATA!LPP35</f>
        <v>0</v>
      </c>
      <c r="LPN208" s="128">
        <f>DATA!LPQ35</f>
        <v>0</v>
      </c>
      <c r="LPO208" s="128">
        <f>DATA!LPR35</f>
        <v>0</v>
      </c>
      <c r="LPP208" s="128">
        <f>DATA!LPS35</f>
        <v>0</v>
      </c>
      <c r="LPQ208" s="128">
        <f>DATA!LPT35</f>
        <v>0</v>
      </c>
      <c r="LPR208" s="128">
        <f>DATA!LPU35</f>
        <v>0</v>
      </c>
      <c r="LPS208" s="128">
        <f>DATA!LPV35</f>
        <v>0</v>
      </c>
      <c r="LPT208" s="128">
        <f>DATA!LPW35</f>
        <v>0</v>
      </c>
      <c r="LPU208" s="128">
        <f>DATA!LPX35</f>
        <v>0</v>
      </c>
      <c r="LPV208" s="128">
        <f>DATA!LPY35</f>
        <v>0</v>
      </c>
      <c r="LPW208" s="128">
        <f>DATA!LPZ35</f>
        <v>0</v>
      </c>
      <c r="LPX208" s="128">
        <f>DATA!LQA35</f>
        <v>0</v>
      </c>
      <c r="LPY208" s="128">
        <f>DATA!LQB35</f>
        <v>0</v>
      </c>
      <c r="LPZ208" s="128">
        <f>DATA!LQC35</f>
        <v>0</v>
      </c>
      <c r="LQA208" s="128">
        <f>DATA!LQD35</f>
        <v>0</v>
      </c>
      <c r="LQB208" s="128">
        <f>DATA!LQE35</f>
        <v>0</v>
      </c>
      <c r="LQC208" s="128">
        <f>DATA!LQF35</f>
        <v>0</v>
      </c>
      <c r="LQD208" s="128">
        <f>DATA!LQG35</f>
        <v>0</v>
      </c>
      <c r="LQE208" s="128">
        <f>DATA!LQH35</f>
        <v>0</v>
      </c>
      <c r="LQF208" s="128">
        <f>DATA!LQI35</f>
        <v>0</v>
      </c>
      <c r="LQG208" s="128">
        <f>DATA!LQJ35</f>
        <v>0</v>
      </c>
      <c r="LQH208" s="128">
        <f>DATA!LQK35</f>
        <v>0</v>
      </c>
      <c r="LQI208" s="128">
        <f>DATA!LQL35</f>
        <v>0</v>
      </c>
      <c r="LQJ208" s="128">
        <f>DATA!LQM35</f>
        <v>0</v>
      </c>
      <c r="LQK208" s="128">
        <f>DATA!LQN35</f>
        <v>0</v>
      </c>
      <c r="LQL208" s="128">
        <f>DATA!LQO35</f>
        <v>0</v>
      </c>
      <c r="LQM208" s="128">
        <f>DATA!LQP35</f>
        <v>0</v>
      </c>
      <c r="LQN208" s="128">
        <f>DATA!LQQ35</f>
        <v>0</v>
      </c>
      <c r="LQO208" s="128">
        <f>DATA!LQR35</f>
        <v>0</v>
      </c>
      <c r="LQP208" s="128">
        <f>DATA!LQS35</f>
        <v>0</v>
      </c>
      <c r="LQQ208" s="128">
        <f>DATA!LQT35</f>
        <v>0</v>
      </c>
      <c r="LQR208" s="128">
        <f>DATA!LQU35</f>
        <v>0</v>
      </c>
      <c r="LQS208" s="128">
        <f>DATA!LQV35</f>
        <v>0</v>
      </c>
      <c r="LQT208" s="128">
        <f>DATA!LQW35</f>
        <v>0</v>
      </c>
      <c r="LQU208" s="128">
        <f>DATA!LQX35</f>
        <v>0</v>
      </c>
      <c r="LQV208" s="128">
        <f>DATA!LQY35</f>
        <v>0</v>
      </c>
      <c r="LQW208" s="128">
        <f>DATA!LQZ35</f>
        <v>0</v>
      </c>
      <c r="LQX208" s="128">
        <f>DATA!LRA35</f>
        <v>0</v>
      </c>
      <c r="LQY208" s="128">
        <f>DATA!LRB35</f>
        <v>0</v>
      </c>
      <c r="LQZ208" s="128">
        <f>DATA!LRC35</f>
        <v>0</v>
      </c>
      <c r="LRA208" s="128">
        <f>DATA!LRD35</f>
        <v>0</v>
      </c>
      <c r="LRB208" s="128">
        <f>DATA!LRE35</f>
        <v>0</v>
      </c>
      <c r="LRC208" s="128">
        <f>DATA!LRF35</f>
        <v>0</v>
      </c>
      <c r="LRD208" s="128">
        <f>DATA!LRG35</f>
        <v>0</v>
      </c>
      <c r="LRE208" s="128">
        <f>DATA!LRH35</f>
        <v>0</v>
      </c>
      <c r="LRF208" s="128">
        <f>DATA!LRI35</f>
        <v>0</v>
      </c>
      <c r="LRG208" s="128">
        <f>DATA!LRJ35</f>
        <v>0</v>
      </c>
      <c r="LRH208" s="128">
        <f>DATA!LRK35</f>
        <v>0</v>
      </c>
      <c r="LRI208" s="128">
        <f>DATA!LRL35</f>
        <v>0</v>
      </c>
      <c r="LRJ208" s="128">
        <f>DATA!LRM35</f>
        <v>0</v>
      </c>
      <c r="LRK208" s="128">
        <f>DATA!LRN35</f>
        <v>0</v>
      </c>
      <c r="LRL208" s="128">
        <f>DATA!LRO35</f>
        <v>0</v>
      </c>
      <c r="LRM208" s="128">
        <f>DATA!LRP35</f>
        <v>0</v>
      </c>
      <c r="LRN208" s="128">
        <f>DATA!LRQ35</f>
        <v>0</v>
      </c>
      <c r="LRO208" s="128">
        <f>DATA!LRR35</f>
        <v>0</v>
      </c>
      <c r="LRP208" s="128">
        <f>DATA!LRS35</f>
        <v>0</v>
      </c>
      <c r="LRQ208" s="128">
        <f>DATA!LRT35</f>
        <v>0</v>
      </c>
      <c r="LRR208" s="128">
        <f>DATA!LRU35</f>
        <v>0</v>
      </c>
      <c r="LRS208" s="128">
        <f>DATA!LRV35</f>
        <v>0</v>
      </c>
      <c r="LRT208" s="128">
        <f>DATA!LRW35</f>
        <v>0</v>
      </c>
      <c r="LRU208" s="128">
        <f>DATA!LRX35</f>
        <v>0</v>
      </c>
      <c r="LRV208" s="128">
        <f>DATA!LRY35</f>
        <v>0</v>
      </c>
      <c r="LRW208" s="128">
        <f>DATA!LRZ35</f>
        <v>0</v>
      </c>
      <c r="LRX208" s="128">
        <f>DATA!LSA35</f>
        <v>0</v>
      </c>
      <c r="LRY208" s="128">
        <f>DATA!LSB35</f>
        <v>0</v>
      </c>
      <c r="LRZ208" s="128">
        <f>DATA!LSC35</f>
        <v>0</v>
      </c>
      <c r="LSA208" s="128">
        <f>DATA!LSD35</f>
        <v>0</v>
      </c>
      <c r="LSB208" s="128">
        <f>DATA!LSE35</f>
        <v>0</v>
      </c>
      <c r="LSC208" s="128">
        <f>DATA!LSF35</f>
        <v>0</v>
      </c>
      <c r="LSD208" s="128">
        <f>DATA!LSG35</f>
        <v>0</v>
      </c>
      <c r="LSE208" s="128">
        <f>DATA!LSH35</f>
        <v>0</v>
      </c>
      <c r="LSF208" s="128">
        <f>DATA!LSI35</f>
        <v>0</v>
      </c>
      <c r="LSG208" s="128">
        <f>DATA!LSJ35</f>
        <v>0</v>
      </c>
      <c r="LSH208" s="128">
        <f>DATA!LSK35</f>
        <v>0</v>
      </c>
      <c r="LSI208" s="128">
        <f>DATA!LSL35</f>
        <v>0</v>
      </c>
      <c r="LSJ208" s="128">
        <f>DATA!LSM35</f>
        <v>0</v>
      </c>
      <c r="LSK208" s="128">
        <f>DATA!LSN35</f>
        <v>0</v>
      </c>
      <c r="LSL208" s="128">
        <f>DATA!LSO35</f>
        <v>0</v>
      </c>
      <c r="LSM208" s="128">
        <f>DATA!LSP35</f>
        <v>0</v>
      </c>
      <c r="LSN208" s="128">
        <f>DATA!LSQ35</f>
        <v>0</v>
      </c>
      <c r="LSO208" s="128">
        <f>DATA!LSR35</f>
        <v>0</v>
      </c>
      <c r="LSP208" s="128">
        <f>DATA!LSS35</f>
        <v>0</v>
      </c>
      <c r="LSQ208" s="128">
        <f>DATA!LST35</f>
        <v>0</v>
      </c>
      <c r="LSR208" s="128">
        <f>DATA!LSU35</f>
        <v>0</v>
      </c>
      <c r="LSS208" s="128">
        <f>DATA!LSV35</f>
        <v>0</v>
      </c>
      <c r="LST208" s="128">
        <f>DATA!LSW35</f>
        <v>0</v>
      </c>
      <c r="LSU208" s="128">
        <f>DATA!LSX35</f>
        <v>0</v>
      </c>
      <c r="LSV208" s="128">
        <f>DATA!LSY35</f>
        <v>0</v>
      </c>
      <c r="LSW208" s="128">
        <f>DATA!LSZ35</f>
        <v>0</v>
      </c>
      <c r="LSX208" s="128">
        <f>DATA!LTA35</f>
        <v>0</v>
      </c>
      <c r="LSY208" s="128">
        <f>DATA!LTB35</f>
        <v>0</v>
      </c>
      <c r="LSZ208" s="128">
        <f>DATA!LTC35</f>
        <v>0</v>
      </c>
      <c r="LTA208" s="128">
        <f>DATA!LTD35</f>
        <v>0</v>
      </c>
      <c r="LTB208" s="128">
        <f>DATA!LTE35</f>
        <v>0</v>
      </c>
      <c r="LTC208" s="128">
        <f>DATA!LTF35</f>
        <v>0</v>
      </c>
      <c r="LTD208" s="128">
        <f>DATA!LTG35</f>
        <v>0</v>
      </c>
      <c r="LTE208" s="128">
        <f>DATA!LTH35</f>
        <v>0</v>
      </c>
      <c r="LTF208" s="128">
        <f>DATA!LTI35</f>
        <v>0</v>
      </c>
      <c r="LTG208" s="128">
        <f>DATA!LTJ35</f>
        <v>0</v>
      </c>
      <c r="LTH208" s="128">
        <f>DATA!LTK35</f>
        <v>0</v>
      </c>
      <c r="LTI208" s="128">
        <f>DATA!LTL35</f>
        <v>0</v>
      </c>
      <c r="LTJ208" s="128">
        <f>DATA!LTM35</f>
        <v>0</v>
      </c>
      <c r="LTK208" s="128">
        <f>DATA!LTN35</f>
        <v>0</v>
      </c>
      <c r="LTL208" s="128">
        <f>DATA!LTO35</f>
        <v>0</v>
      </c>
      <c r="LTM208" s="128">
        <f>DATA!LTP35</f>
        <v>0</v>
      </c>
      <c r="LTN208" s="128">
        <f>DATA!LTQ35</f>
        <v>0</v>
      </c>
      <c r="LTO208" s="128">
        <f>DATA!LTR35</f>
        <v>0</v>
      </c>
      <c r="LTP208" s="128">
        <f>DATA!LTS35</f>
        <v>0</v>
      </c>
      <c r="LTQ208" s="128">
        <f>DATA!LTT35</f>
        <v>0</v>
      </c>
      <c r="LTR208" s="128">
        <f>DATA!LTU35</f>
        <v>0</v>
      </c>
      <c r="LTS208" s="128">
        <f>DATA!LTV35</f>
        <v>0</v>
      </c>
      <c r="LTT208" s="128">
        <f>DATA!LTW35</f>
        <v>0</v>
      </c>
      <c r="LTU208" s="128">
        <f>DATA!LTX35</f>
        <v>0</v>
      </c>
      <c r="LTV208" s="128">
        <f>DATA!LTY35</f>
        <v>0</v>
      </c>
      <c r="LTW208" s="128">
        <f>DATA!LTZ35</f>
        <v>0</v>
      </c>
      <c r="LTX208" s="128">
        <f>DATA!LUA35</f>
        <v>0</v>
      </c>
      <c r="LTY208" s="128">
        <f>DATA!LUB35</f>
        <v>0</v>
      </c>
      <c r="LTZ208" s="128">
        <f>DATA!LUC35</f>
        <v>0</v>
      </c>
      <c r="LUA208" s="128">
        <f>DATA!LUD35</f>
        <v>0</v>
      </c>
      <c r="LUB208" s="128">
        <f>DATA!LUE35</f>
        <v>0</v>
      </c>
      <c r="LUC208" s="128">
        <f>DATA!LUF35</f>
        <v>0</v>
      </c>
      <c r="LUD208" s="128">
        <f>DATA!LUG35</f>
        <v>0</v>
      </c>
      <c r="LUE208" s="128">
        <f>DATA!LUH35</f>
        <v>0</v>
      </c>
      <c r="LUF208" s="128">
        <f>DATA!LUI35</f>
        <v>0</v>
      </c>
      <c r="LUG208" s="128">
        <f>DATA!LUJ35</f>
        <v>0</v>
      </c>
      <c r="LUH208" s="128">
        <f>DATA!LUK35</f>
        <v>0</v>
      </c>
      <c r="LUI208" s="128">
        <f>DATA!LUL35</f>
        <v>0</v>
      </c>
      <c r="LUJ208" s="128">
        <f>DATA!LUM35</f>
        <v>0</v>
      </c>
      <c r="LUK208" s="128">
        <f>DATA!LUN35</f>
        <v>0</v>
      </c>
      <c r="LUL208" s="128">
        <f>DATA!LUO35</f>
        <v>0</v>
      </c>
      <c r="LUM208" s="128">
        <f>DATA!LUP35</f>
        <v>0</v>
      </c>
      <c r="LUN208" s="128">
        <f>DATA!LUQ35</f>
        <v>0</v>
      </c>
      <c r="LUO208" s="128">
        <f>DATA!LUR35</f>
        <v>0</v>
      </c>
      <c r="LUP208" s="128">
        <f>DATA!LUS35</f>
        <v>0</v>
      </c>
      <c r="LUQ208" s="128">
        <f>DATA!LUT35</f>
        <v>0</v>
      </c>
      <c r="LUR208" s="128">
        <f>DATA!LUU35</f>
        <v>0</v>
      </c>
      <c r="LUS208" s="128">
        <f>DATA!LUV35</f>
        <v>0</v>
      </c>
      <c r="LUT208" s="128">
        <f>DATA!LUW35</f>
        <v>0</v>
      </c>
      <c r="LUU208" s="128">
        <f>DATA!LUX35</f>
        <v>0</v>
      </c>
      <c r="LUV208" s="128">
        <f>DATA!LUY35</f>
        <v>0</v>
      </c>
      <c r="LUW208" s="128">
        <f>DATA!LUZ35</f>
        <v>0</v>
      </c>
      <c r="LUX208" s="128">
        <f>DATA!LVA35</f>
        <v>0</v>
      </c>
      <c r="LUY208" s="128">
        <f>DATA!LVB35</f>
        <v>0</v>
      </c>
      <c r="LUZ208" s="128">
        <f>DATA!LVC35</f>
        <v>0</v>
      </c>
      <c r="LVA208" s="128">
        <f>DATA!LVD35</f>
        <v>0</v>
      </c>
      <c r="LVB208" s="128">
        <f>DATA!LVE35</f>
        <v>0</v>
      </c>
      <c r="LVC208" s="128">
        <f>DATA!LVF35</f>
        <v>0</v>
      </c>
      <c r="LVD208" s="128">
        <f>DATA!LVG35</f>
        <v>0</v>
      </c>
      <c r="LVE208" s="128">
        <f>DATA!LVH35</f>
        <v>0</v>
      </c>
      <c r="LVF208" s="128">
        <f>DATA!LVI35</f>
        <v>0</v>
      </c>
      <c r="LVG208" s="128">
        <f>DATA!LVJ35</f>
        <v>0</v>
      </c>
      <c r="LVH208" s="128">
        <f>DATA!LVK35</f>
        <v>0</v>
      </c>
      <c r="LVI208" s="128">
        <f>DATA!LVL35</f>
        <v>0</v>
      </c>
      <c r="LVJ208" s="128">
        <f>DATA!LVM35</f>
        <v>0</v>
      </c>
      <c r="LVK208" s="128">
        <f>DATA!LVN35</f>
        <v>0</v>
      </c>
      <c r="LVL208" s="128">
        <f>DATA!LVO35</f>
        <v>0</v>
      </c>
      <c r="LVM208" s="128">
        <f>DATA!LVP35</f>
        <v>0</v>
      </c>
      <c r="LVN208" s="128">
        <f>DATA!LVQ35</f>
        <v>0</v>
      </c>
      <c r="LVO208" s="128">
        <f>DATA!LVR35</f>
        <v>0</v>
      </c>
      <c r="LVP208" s="128">
        <f>DATA!LVS35</f>
        <v>0</v>
      </c>
      <c r="LVQ208" s="128">
        <f>DATA!LVT35</f>
        <v>0</v>
      </c>
      <c r="LVR208" s="128">
        <f>DATA!LVU35</f>
        <v>0</v>
      </c>
      <c r="LVS208" s="128">
        <f>DATA!LVV35</f>
        <v>0</v>
      </c>
      <c r="LVT208" s="128">
        <f>DATA!LVW35</f>
        <v>0</v>
      </c>
      <c r="LVU208" s="128">
        <f>DATA!LVX35</f>
        <v>0</v>
      </c>
      <c r="LVV208" s="128">
        <f>DATA!LVY35</f>
        <v>0</v>
      </c>
      <c r="LVW208" s="128">
        <f>DATA!LVZ35</f>
        <v>0</v>
      </c>
      <c r="LVX208" s="128">
        <f>DATA!LWA35</f>
        <v>0</v>
      </c>
      <c r="LVY208" s="128">
        <f>DATA!LWB35</f>
        <v>0</v>
      </c>
      <c r="LVZ208" s="128">
        <f>DATA!LWC35</f>
        <v>0</v>
      </c>
      <c r="LWA208" s="128">
        <f>DATA!LWD35</f>
        <v>0</v>
      </c>
      <c r="LWB208" s="128">
        <f>DATA!LWE35</f>
        <v>0</v>
      </c>
      <c r="LWC208" s="128">
        <f>DATA!LWF35</f>
        <v>0</v>
      </c>
      <c r="LWD208" s="128">
        <f>DATA!LWG35</f>
        <v>0</v>
      </c>
      <c r="LWE208" s="128">
        <f>DATA!LWH35</f>
        <v>0</v>
      </c>
      <c r="LWF208" s="128">
        <f>DATA!LWI35</f>
        <v>0</v>
      </c>
      <c r="LWG208" s="128">
        <f>DATA!LWJ35</f>
        <v>0</v>
      </c>
      <c r="LWH208" s="128">
        <f>DATA!LWK35</f>
        <v>0</v>
      </c>
      <c r="LWI208" s="128">
        <f>DATA!LWL35</f>
        <v>0</v>
      </c>
      <c r="LWJ208" s="128">
        <f>DATA!LWM35</f>
        <v>0</v>
      </c>
      <c r="LWK208" s="128">
        <f>DATA!LWN35</f>
        <v>0</v>
      </c>
      <c r="LWL208" s="128">
        <f>DATA!LWO35</f>
        <v>0</v>
      </c>
      <c r="LWM208" s="128">
        <f>DATA!LWP35</f>
        <v>0</v>
      </c>
      <c r="LWN208" s="128">
        <f>DATA!LWQ35</f>
        <v>0</v>
      </c>
      <c r="LWO208" s="128">
        <f>DATA!LWR35</f>
        <v>0</v>
      </c>
      <c r="LWP208" s="128">
        <f>DATA!LWS35</f>
        <v>0</v>
      </c>
      <c r="LWQ208" s="128">
        <f>DATA!LWT35</f>
        <v>0</v>
      </c>
      <c r="LWR208" s="128">
        <f>DATA!LWU35</f>
        <v>0</v>
      </c>
      <c r="LWS208" s="128">
        <f>DATA!LWV35</f>
        <v>0</v>
      </c>
      <c r="LWT208" s="128">
        <f>DATA!LWW35</f>
        <v>0</v>
      </c>
      <c r="LWU208" s="128">
        <f>DATA!LWX35</f>
        <v>0</v>
      </c>
      <c r="LWV208" s="128">
        <f>DATA!LWY35</f>
        <v>0</v>
      </c>
      <c r="LWW208" s="128">
        <f>DATA!LWZ35</f>
        <v>0</v>
      </c>
      <c r="LWX208" s="128">
        <f>DATA!LXA35</f>
        <v>0</v>
      </c>
      <c r="LWY208" s="128">
        <f>DATA!LXB35</f>
        <v>0</v>
      </c>
      <c r="LWZ208" s="128">
        <f>DATA!LXC35</f>
        <v>0</v>
      </c>
      <c r="LXA208" s="128">
        <f>DATA!LXD35</f>
        <v>0</v>
      </c>
      <c r="LXB208" s="128">
        <f>DATA!LXE35</f>
        <v>0</v>
      </c>
      <c r="LXC208" s="128">
        <f>DATA!LXF35</f>
        <v>0</v>
      </c>
      <c r="LXD208" s="128">
        <f>DATA!LXG35</f>
        <v>0</v>
      </c>
      <c r="LXE208" s="128">
        <f>DATA!LXH35</f>
        <v>0</v>
      </c>
      <c r="LXF208" s="128">
        <f>DATA!LXI35</f>
        <v>0</v>
      </c>
      <c r="LXG208" s="128">
        <f>DATA!LXJ35</f>
        <v>0</v>
      </c>
      <c r="LXH208" s="128">
        <f>DATA!LXK35</f>
        <v>0</v>
      </c>
      <c r="LXI208" s="128">
        <f>DATA!LXL35</f>
        <v>0</v>
      </c>
      <c r="LXJ208" s="128">
        <f>DATA!LXM35</f>
        <v>0</v>
      </c>
      <c r="LXK208" s="128">
        <f>DATA!LXN35</f>
        <v>0</v>
      </c>
      <c r="LXL208" s="128">
        <f>DATA!LXO35</f>
        <v>0</v>
      </c>
      <c r="LXM208" s="128">
        <f>DATA!LXP35</f>
        <v>0</v>
      </c>
      <c r="LXN208" s="128">
        <f>DATA!LXQ35</f>
        <v>0</v>
      </c>
      <c r="LXO208" s="128">
        <f>DATA!LXR35</f>
        <v>0</v>
      </c>
      <c r="LXP208" s="128">
        <f>DATA!LXS35</f>
        <v>0</v>
      </c>
      <c r="LXQ208" s="128">
        <f>DATA!LXT35</f>
        <v>0</v>
      </c>
      <c r="LXR208" s="128">
        <f>DATA!LXU35</f>
        <v>0</v>
      </c>
      <c r="LXS208" s="128">
        <f>DATA!LXV35</f>
        <v>0</v>
      </c>
      <c r="LXT208" s="128">
        <f>DATA!LXW35</f>
        <v>0</v>
      </c>
      <c r="LXU208" s="128">
        <f>DATA!LXX35</f>
        <v>0</v>
      </c>
      <c r="LXV208" s="128">
        <f>DATA!LXY35</f>
        <v>0</v>
      </c>
      <c r="LXW208" s="128">
        <f>DATA!LXZ35</f>
        <v>0</v>
      </c>
      <c r="LXX208" s="128">
        <f>DATA!LYA35</f>
        <v>0</v>
      </c>
      <c r="LXY208" s="128">
        <f>DATA!LYB35</f>
        <v>0</v>
      </c>
      <c r="LXZ208" s="128">
        <f>DATA!LYC35</f>
        <v>0</v>
      </c>
      <c r="LYA208" s="128">
        <f>DATA!LYD35</f>
        <v>0</v>
      </c>
      <c r="LYB208" s="128">
        <f>DATA!LYE35</f>
        <v>0</v>
      </c>
      <c r="LYC208" s="128">
        <f>DATA!LYF35</f>
        <v>0</v>
      </c>
      <c r="LYD208" s="128">
        <f>DATA!LYG35</f>
        <v>0</v>
      </c>
      <c r="LYE208" s="128">
        <f>DATA!LYH35</f>
        <v>0</v>
      </c>
      <c r="LYF208" s="128">
        <f>DATA!LYI35</f>
        <v>0</v>
      </c>
      <c r="LYG208" s="128">
        <f>DATA!LYJ35</f>
        <v>0</v>
      </c>
      <c r="LYH208" s="128">
        <f>DATA!LYK35</f>
        <v>0</v>
      </c>
      <c r="LYI208" s="128">
        <f>DATA!LYL35</f>
        <v>0</v>
      </c>
      <c r="LYJ208" s="128">
        <f>DATA!LYM35</f>
        <v>0</v>
      </c>
      <c r="LYK208" s="128">
        <f>DATA!LYN35</f>
        <v>0</v>
      </c>
      <c r="LYL208" s="128">
        <f>DATA!LYO35</f>
        <v>0</v>
      </c>
      <c r="LYM208" s="128">
        <f>DATA!LYP35</f>
        <v>0</v>
      </c>
      <c r="LYN208" s="128">
        <f>DATA!LYQ35</f>
        <v>0</v>
      </c>
      <c r="LYO208" s="128">
        <f>DATA!LYR35</f>
        <v>0</v>
      </c>
      <c r="LYP208" s="128">
        <f>DATA!LYS35</f>
        <v>0</v>
      </c>
      <c r="LYQ208" s="128">
        <f>DATA!LYT35</f>
        <v>0</v>
      </c>
      <c r="LYR208" s="128">
        <f>DATA!LYU35</f>
        <v>0</v>
      </c>
      <c r="LYS208" s="128">
        <f>DATA!LYV35</f>
        <v>0</v>
      </c>
      <c r="LYT208" s="128">
        <f>DATA!LYW35</f>
        <v>0</v>
      </c>
      <c r="LYU208" s="128">
        <f>DATA!LYX35</f>
        <v>0</v>
      </c>
      <c r="LYV208" s="128">
        <f>DATA!LYY35</f>
        <v>0</v>
      </c>
      <c r="LYW208" s="128">
        <f>DATA!LYZ35</f>
        <v>0</v>
      </c>
      <c r="LYX208" s="128">
        <f>DATA!LZA35</f>
        <v>0</v>
      </c>
      <c r="LYY208" s="128">
        <f>DATA!LZB35</f>
        <v>0</v>
      </c>
      <c r="LYZ208" s="128">
        <f>DATA!LZC35</f>
        <v>0</v>
      </c>
      <c r="LZA208" s="128">
        <f>DATA!LZD35</f>
        <v>0</v>
      </c>
      <c r="LZB208" s="128">
        <f>DATA!LZE35</f>
        <v>0</v>
      </c>
      <c r="LZC208" s="128">
        <f>DATA!LZF35</f>
        <v>0</v>
      </c>
      <c r="LZD208" s="128">
        <f>DATA!LZG35</f>
        <v>0</v>
      </c>
      <c r="LZE208" s="128">
        <f>DATA!LZH35</f>
        <v>0</v>
      </c>
      <c r="LZF208" s="128">
        <f>DATA!LZI35</f>
        <v>0</v>
      </c>
      <c r="LZG208" s="128">
        <f>DATA!LZJ35</f>
        <v>0</v>
      </c>
      <c r="LZH208" s="128">
        <f>DATA!LZK35</f>
        <v>0</v>
      </c>
      <c r="LZI208" s="128">
        <f>DATA!LZL35</f>
        <v>0</v>
      </c>
      <c r="LZJ208" s="128">
        <f>DATA!LZM35</f>
        <v>0</v>
      </c>
      <c r="LZK208" s="128">
        <f>DATA!LZN35</f>
        <v>0</v>
      </c>
      <c r="LZL208" s="128">
        <f>DATA!LZO35</f>
        <v>0</v>
      </c>
      <c r="LZM208" s="128">
        <f>DATA!LZP35</f>
        <v>0</v>
      </c>
      <c r="LZN208" s="128">
        <f>DATA!LZQ35</f>
        <v>0</v>
      </c>
      <c r="LZO208" s="128">
        <f>DATA!LZR35</f>
        <v>0</v>
      </c>
      <c r="LZP208" s="128">
        <f>DATA!LZS35</f>
        <v>0</v>
      </c>
      <c r="LZQ208" s="128">
        <f>DATA!LZT35</f>
        <v>0</v>
      </c>
      <c r="LZR208" s="128">
        <f>DATA!LZU35</f>
        <v>0</v>
      </c>
      <c r="LZS208" s="128">
        <f>DATA!LZV35</f>
        <v>0</v>
      </c>
      <c r="LZT208" s="128">
        <f>DATA!LZW35</f>
        <v>0</v>
      </c>
      <c r="LZU208" s="128">
        <f>DATA!LZX35</f>
        <v>0</v>
      </c>
      <c r="LZV208" s="128">
        <f>DATA!LZY35</f>
        <v>0</v>
      </c>
      <c r="LZW208" s="128">
        <f>DATA!LZZ35</f>
        <v>0</v>
      </c>
      <c r="LZX208" s="128">
        <f>DATA!MAA35</f>
        <v>0</v>
      </c>
      <c r="LZY208" s="128">
        <f>DATA!MAB35</f>
        <v>0</v>
      </c>
      <c r="LZZ208" s="128">
        <f>DATA!MAC35</f>
        <v>0</v>
      </c>
      <c r="MAA208" s="128">
        <f>DATA!MAD35</f>
        <v>0</v>
      </c>
      <c r="MAB208" s="128">
        <f>DATA!MAE35</f>
        <v>0</v>
      </c>
      <c r="MAC208" s="128">
        <f>DATA!MAF35</f>
        <v>0</v>
      </c>
      <c r="MAD208" s="128">
        <f>DATA!MAG35</f>
        <v>0</v>
      </c>
      <c r="MAE208" s="128">
        <f>DATA!MAH35</f>
        <v>0</v>
      </c>
      <c r="MAF208" s="128">
        <f>DATA!MAI35</f>
        <v>0</v>
      </c>
      <c r="MAG208" s="128">
        <f>DATA!MAJ35</f>
        <v>0</v>
      </c>
      <c r="MAH208" s="128">
        <f>DATA!MAK35</f>
        <v>0</v>
      </c>
      <c r="MAI208" s="128">
        <f>DATA!MAL35</f>
        <v>0</v>
      </c>
      <c r="MAJ208" s="128">
        <f>DATA!MAM35</f>
        <v>0</v>
      </c>
      <c r="MAK208" s="128">
        <f>DATA!MAN35</f>
        <v>0</v>
      </c>
      <c r="MAL208" s="128">
        <f>DATA!MAO35</f>
        <v>0</v>
      </c>
      <c r="MAM208" s="128">
        <f>DATA!MAP35</f>
        <v>0</v>
      </c>
      <c r="MAN208" s="128">
        <f>DATA!MAQ35</f>
        <v>0</v>
      </c>
      <c r="MAO208" s="128">
        <f>DATA!MAR35</f>
        <v>0</v>
      </c>
      <c r="MAP208" s="128">
        <f>DATA!MAS35</f>
        <v>0</v>
      </c>
      <c r="MAQ208" s="128">
        <f>DATA!MAT35</f>
        <v>0</v>
      </c>
      <c r="MAR208" s="128">
        <f>DATA!MAU35</f>
        <v>0</v>
      </c>
      <c r="MAS208" s="128">
        <f>DATA!MAV35</f>
        <v>0</v>
      </c>
      <c r="MAT208" s="128">
        <f>DATA!MAW35</f>
        <v>0</v>
      </c>
      <c r="MAU208" s="128">
        <f>DATA!MAX35</f>
        <v>0</v>
      </c>
      <c r="MAV208" s="128">
        <f>DATA!MAY35</f>
        <v>0</v>
      </c>
      <c r="MAW208" s="128">
        <f>DATA!MAZ35</f>
        <v>0</v>
      </c>
      <c r="MAX208" s="128">
        <f>DATA!MBA35</f>
        <v>0</v>
      </c>
      <c r="MAY208" s="128">
        <f>DATA!MBB35</f>
        <v>0</v>
      </c>
      <c r="MAZ208" s="128">
        <f>DATA!MBC35</f>
        <v>0</v>
      </c>
      <c r="MBA208" s="128">
        <f>DATA!MBD35</f>
        <v>0</v>
      </c>
      <c r="MBB208" s="128">
        <f>DATA!MBE35</f>
        <v>0</v>
      </c>
      <c r="MBC208" s="128">
        <f>DATA!MBF35</f>
        <v>0</v>
      </c>
      <c r="MBD208" s="128">
        <f>DATA!MBG35</f>
        <v>0</v>
      </c>
      <c r="MBE208" s="128">
        <f>DATA!MBH35</f>
        <v>0</v>
      </c>
      <c r="MBF208" s="128">
        <f>DATA!MBI35</f>
        <v>0</v>
      </c>
      <c r="MBG208" s="128">
        <f>DATA!MBJ35</f>
        <v>0</v>
      </c>
      <c r="MBH208" s="128">
        <f>DATA!MBK35</f>
        <v>0</v>
      </c>
      <c r="MBI208" s="128">
        <f>DATA!MBL35</f>
        <v>0</v>
      </c>
      <c r="MBJ208" s="128">
        <f>DATA!MBM35</f>
        <v>0</v>
      </c>
      <c r="MBK208" s="128">
        <f>DATA!MBN35</f>
        <v>0</v>
      </c>
      <c r="MBL208" s="128">
        <f>DATA!MBO35</f>
        <v>0</v>
      </c>
      <c r="MBM208" s="128">
        <f>DATA!MBP35</f>
        <v>0</v>
      </c>
      <c r="MBN208" s="128">
        <f>DATA!MBQ35</f>
        <v>0</v>
      </c>
      <c r="MBO208" s="128">
        <f>DATA!MBR35</f>
        <v>0</v>
      </c>
      <c r="MBP208" s="128">
        <f>DATA!MBS35</f>
        <v>0</v>
      </c>
      <c r="MBQ208" s="128">
        <f>DATA!MBT35</f>
        <v>0</v>
      </c>
      <c r="MBR208" s="128">
        <f>DATA!MBU35</f>
        <v>0</v>
      </c>
      <c r="MBS208" s="128">
        <f>DATA!MBV35</f>
        <v>0</v>
      </c>
      <c r="MBT208" s="128">
        <f>DATA!MBW35</f>
        <v>0</v>
      </c>
      <c r="MBU208" s="128">
        <f>DATA!MBX35</f>
        <v>0</v>
      </c>
      <c r="MBV208" s="128">
        <f>DATA!MBY35</f>
        <v>0</v>
      </c>
      <c r="MBW208" s="128">
        <f>DATA!MBZ35</f>
        <v>0</v>
      </c>
      <c r="MBX208" s="128">
        <f>DATA!MCA35</f>
        <v>0</v>
      </c>
      <c r="MBY208" s="128">
        <f>DATA!MCB35</f>
        <v>0</v>
      </c>
      <c r="MBZ208" s="128">
        <f>DATA!MCC35</f>
        <v>0</v>
      </c>
      <c r="MCA208" s="128">
        <f>DATA!MCD35</f>
        <v>0</v>
      </c>
      <c r="MCB208" s="128">
        <f>DATA!MCE35</f>
        <v>0</v>
      </c>
      <c r="MCC208" s="128">
        <f>DATA!MCF35</f>
        <v>0</v>
      </c>
      <c r="MCD208" s="128">
        <f>DATA!MCG35</f>
        <v>0</v>
      </c>
      <c r="MCE208" s="128">
        <f>DATA!MCH35</f>
        <v>0</v>
      </c>
      <c r="MCF208" s="128">
        <f>DATA!MCI35</f>
        <v>0</v>
      </c>
      <c r="MCG208" s="128">
        <f>DATA!MCJ35</f>
        <v>0</v>
      </c>
      <c r="MCH208" s="128">
        <f>DATA!MCK35</f>
        <v>0</v>
      </c>
      <c r="MCI208" s="128">
        <f>DATA!MCL35</f>
        <v>0</v>
      </c>
      <c r="MCJ208" s="128">
        <f>DATA!MCM35</f>
        <v>0</v>
      </c>
      <c r="MCK208" s="128">
        <f>DATA!MCN35</f>
        <v>0</v>
      </c>
      <c r="MCL208" s="128">
        <f>DATA!MCO35</f>
        <v>0</v>
      </c>
      <c r="MCM208" s="128">
        <f>DATA!MCP35</f>
        <v>0</v>
      </c>
      <c r="MCN208" s="128">
        <f>DATA!MCQ35</f>
        <v>0</v>
      </c>
      <c r="MCO208" s="128">
        <f>DATA!MCR35</f>
        <v>0</v>
      </c>
      <c r="MCP208" s="128">
        <f>DATA!MCS35</f>
        <v>0</v>
      </c>
      <c r="MCQ208" s="128">
        <f>DATA!MCT35</f>
        <v>0</v>
      </c>
      <c r="MCR208" s="128">
        <f>DATA!MCU35</f>
        <v>0</v>
      </c>
      <c r="MCS208" s="128">
        <f>DATA!MCV35</f>
        <v>0</v>
      </c>
      <c r="MCT208" s="128">
        <f>DATA!MCW35</f>
        <v>0</v>
      </c>
      <c r="MCU208" s="128">
        <f>DATA!MCX35</f>
        <v>0</v>
      </c>
      <c r="MCV208" s="128">
        <f>DATA!MCY35</f>
        <v>0</v>
      </c>
      <c r="MCW208" s="128">
        <f>DATA!MCZ35</f>
        <v>0</v>
      </c>
      <c r="MCX208" s="128">
        <f>DATA!MDA35</f>
        <v>0</v>
      </c>
      <c r="MCY208" s="128">
        <f>DATA!MDB35</f>
        <v>0</v>
      </c>
      <c r="MCZ208" s="128">
        <f>DATA!MDC35</f>
        <v>0</v>
      </c>
      <c r="MDA208" s="128">
        <f>DATA!MDD35</f>
        <v>0</v>
      </c>
      <c r="MDB208" s="128">
        <f>DATA!MDE35</f>
        <v>0</v>
      </c>
      <c r="MDC208" s="128">
        <f>DATA!MDF35</f>
        <v>0</v>
      </c>
      <c r="MDD208" s="128">
        <f>DATA!MDG35</f>
        <v>0</v>
      </c>
      <c r="MDE208" s="128">
        <f>DATA!MDH35</f>
        <v>0</v>
      </c>
      <c r="MDF208" s="128">
        <f>DATA!MDI35</f>
        <v>0</v>
      </c>
      <c r="MDG208" s="128">
        <f>DATA!MDJ35</f>
        <v>0</v>
      </c>
      <c r="MDH208" s="128">
        <f>DATA!MDK35</f>
        <v>0</v>
      </c>
      <c r="MDI208" s="128">
        <f>DATA!MDL35</f>
        <v>0</v>
      </c>
      <c r="MDJ208" s="128">
        <f>DATA!MDM35</f>
        <v>0</v>
      </c>
      <c r="MDK208" s="128">
        <f>DATA!MDN35</f>
        <v>0</v>
      </c>
      <c r="MDL208" s="128">
        <f>DATA!MDO35</f>
        <v>0</v>
      </c>
      <c r="MDM208" s="128">
        <f>DATA!MDP35</f>
        <v>0</v>
      </c>
      <c r="MDN208" s="128">
        <f>DATA!MDQ35</f>
        <v>0</v>
      </c>
      <c r="MDO208" s="128">
        <f>DATA!MDR35</f>
        <v>0</v>
      </c>
      <c r="MDP208" s="128">
        <f>DATA!MDS35</f>
        <v>0</v>
      </c>
      <c r="MDQ208" s="128">
        <f>DATA!MDT35</f>
        <v>0</v>
      </c>
      <c r="MDR208" s="128">
        <f>DATA!MDU35</f>
        <v>0</v>
      </c>
      <c r="MDS208" s="128">
        <f>DATA!MDV35</f>
        <v>0</v>
      </c>
      <c r="MDT208" s="128">
        <f>DATA!MDW35</f>
        <v>0</v>
      </c>
      <c r="MDU208" s="128">
        <f>DATA!MDX35</f>
        <v>0</v>
      </c>
      <c r="MDV208" s="128">
        <f>DATA!MDY35</f>
        <v>0</v>
      </c>
      <c r="MDW208" s="128">
        <f>DATA!MDZ35</f>
        <v>0</v>
      </c>
      <c r="MDX208" s="128">
        <f>DATA!MEA35</f>
        <v>0</v>
      </c>
      <c r="MDY208" s="128">
        <f>DATA!MEB35</f>
        <v>0</v>
      </c>
      <c r="MDZ208" s="128">
        <f>DATA!MEC35</f>
        <v>0</v>
      </c>
      <c r="MEA208" s="128">
        <f>DATA!MED35</f>
        <v>0</v>
      </c>
      <c r="MEB208" s="128">
        <f>DATA!MEE35</f>
        <v>0</v>
      </c>
      <c r="MEC208" s="128">
        <f>DATA!MEF35</f>
        <v>0</v>
      </c>
      <c r="MED208" s="128">
        <f>DATA!MEG35</f>
        <v>0</v>
      </c>
      <c r="MEE208" s="128">
        <f>DATA!MEH35</f>
        <v>0</v>
      </c>
      <c r="MEF208" s="128">
        <f>DATA!MEI35</f>
        <v>0</v>
      </c>
      <c r="MEG208" s="128">
        <f>DATA!MEJ35</f>
        <v>0</v>
      </c>
      <c r="MEH208" s="128">
        <f>DATA!MEK35</f>
        <v>0</v>
      </c>
      <c r="MEI208" s="128">
        <f>DATA!MEL35</f>
        <v>0</v>
      </c>
      <c r="MEJ208" s="128">
        <f>DATA!MEM35</f>
        <v>0</v>
      </c>
      <c r="MEK208" s="128">
        <f>DATA!MEN35</f>
        <v>0</v>
      </c>
      <c r="MEL208" s="128">
        <f>DATA!MEO35</f>
        <v>0</v>
      </c>
      <c r="MEM208" s="128">
        <f>DATA!MEP35</f>
        <v>0</v>
      </c>
      <c r="MEN208" s="128">
        <f>DATA!MEQ35</f>
        <v>0</v>
      </c>
      <c r="MEO208" s="128">
        <f>DATA!MER35</f>
        <v>0</v>
      </c>
      <c r="MEP208" s="128">
        <f>DATA!MES35</f>
        <v>0</v>
      </c>
      <c r="MEQ208" s="128">
        <f>DATA!MET35</f>
        <v>0</v>
      </c>
      <c r="MER208" s="128">
        <f>DATA!MEU35</f>
        <v>0</v>
      </c>
      <c r="MES208" s="128">
        <f>DATA!MEV35</f>
        <v>0</v>
      </c>
      <c r="MET208" s="128">
        <f>DATA!MEW35</f>
        <v>0</v>
      </c>
      <c r="MEU208" s="128">
        <f>DATA!MEX35</f>
        <v>0</v>
      </c>
      <c r="MEV208" s="128">
        <f>DATA!MEY35</f>
        <v>0</v>
      </c>
      <c r="MEW208" s="128">
        <f>DATA!MEZ35</f>
        <v>0</v>
      </c>
      <c r="MEX208" s="128">
        <f>DATA!MFA35</f>
        <v>0</v>
      </c>
      <c r="MEY208" s="128">
        <f>DATA!MFB35</f>
        <v>0</v>
      </c>
      <c r="MEZ208" s="128">
        <f>DATA!MFC35</f>
        <v>0</v>
      </c>
      <c r="MFA208" s="128">
        <f>DATA!MFD35</f>
        <v>0</v>
      </c>
      <c r="MFB208" s="128">
        <f>DATA!MFE35</f>
        <v>0</v>
      </c>
      <c r="MFC208" s="128">
        <f>DATA!MFF35</f>
        <v>0</v>
      </c>
      <c r="MFD208" s="128">
        <f>DATA!MFG35</f>
        <v>0</v>
      </c>
      <c r="MFE208" s="128">
        <f>DATA!MFH35</f>
        <v>0</v>
      </c>
      <c r="MFF208" s="128">
        <f>DATA!MFI35</f>
        <v>0</v>
      </c>
      <c r="MFG208" s="128">
        <f>DATA!MFJ35</f>
        <v>0</v>
      </c>
      <c r="MFH208" s="128">
        <f>DATA!MFK35</f>
        <v>0</v>
      </c>
      <c r="MFI208" s="128">
        <f>DATA!MFL35</f>
        <v>0</v>
      </c>
      <c r="MFJ208" s="128">
        <f>DATA!MFM35</f>
        <v>0</v>
      </c>
      <c r="MFK208" s="128">
        <f>DATA!MFN35</f>
        <v>0</v>
      </c>
      <c r="MFL208" s="128">
        <f>DATA!MFO35</f>
        <v>0</v>
      </c>
      <c r="MFM208" s="128">
        <f>DATA!MFP35</f>
        <v>0</v>
      </c>
      <c r="MFN208" s="128">
        <f>DATA!MFQ35</f>
        <v>0</v>
      </c>
      <c r="MFO208" s="128">
        <f>DATA!MFR35</f>
        <v>0</v>
      </c>
      <c r="MFP208" s="128">
        <f>DATA!MFS35</f>
        <v>0</v>
      </c>
      <c r="MFQ208" s="128">
        <f>DATA!MFT35</f>
        <v>0</v>
      </c>
      <c r="MFR208" s="128">
        <f>DATA!MFU35</f>
        <v>0</v>
      </c>
      <c r="MFS208" s="128">
        <f>DATA!MFV35</f>
        <v>0</v>
      </c>
      <c r="MFT208" s="128">
        <f>DATA!MFW35</f>
        <v>0</v>
      </c>
      <c r="MFU208" s="128">
        <f>DATA!MFX35</f>
        <v>0</v>
      </c>
      <c r="MFV208" s="128">
        <f>DATA!MFY35</f>
        <v>0</v>
      </c>
      <c r="MFW208" s="128">
        <f>DATA!MFZ35</f>
        <v>0</v>
      </c>
      <c r="MFX208" s="128">
        <f>DATA!MGA35</f>
        <v>0</v>
      </c>
      <c r="MFY208" s="128">
        <f>DATA!MGB35</f>
        <v>0</v>
      </c>
      <c r="MFZ208" s="128">
        <f>DATA!MGC35</f>
        <v>0</v>
      </c>
      <c r="MGA208" s="128">
        <f>DATA!MGD35</f>
        <v>0</v>
      </c>
      <c r="MGB208" s="128">
        <f>DATA!MGE35</f>
        <v>0</v>
      </c>
      <c r="MGC208" s="128">
        <f>DATA!MGF35</f>
        <v>0</v>
      </c>
      <c r="MGD208" s="128">
        <f>DATA!MGG35</f>
        <v>0</v>
      </c>
      <c r="MGE208" s="128">
        <f>DATA!MGH35</f>
        <v>0</v>
      </c>
      <c r="MGF208" s="128">
        <f>DATA!MGI35</f>
        <v>0</v>
      </c>
      <c r="MGG208" s="128">
        <f>DATA!MGJ35</f>
        <v>0</v>
      </c>
      <c r="MGH208" s="128">
        <f>DATA!MGK35</f>
        <v>0</v>
      </c>
      <c r="MGI208" s="128">
        <f>DATA!MGL35</f>
        <v>0</v>
      </c>
      <c r="MGJ208" s="128">
        <f>DATA!MGM35</f>
        <v>0</v>
      </c>
      <c r="MGK208" s="128">
        <f>DATA!MGN35</f>
        <v>0</v>
      </c>
      <c r="MGL208" s="128">
        <f>DATA!MGO35</f>
        <v>0</v>
      </c>
      <c r="MGM208" s="128">
        <f>DATA!MGP35</f>
        <v>0</v>
      </c>
      <c r="MGN208" s="128">
        <f>DATA!MGQ35</f>
        <v>0</v>
      </c>
      <c r="MGO208" s="128">
        <f>DATA!MGR35</f>
        <v>0</v>
      </c>
      <c r="MGP208" s="128">
        <f>DATA!MGS35</f>
        <v>0</v>
      </c>
      <c r="MGQ208" s="128">
        <f>DATA!MGT35</f>
        <v>0</v>
      </c>
      <c r="MGR208" s="128">
        <f>DATA!MGU35</f>
        <v>0</v>
      </c>
      <c r="MGS208" s="128">
        <f>DATA!MGV35</f>
        <v>0</v>
      </c>
      <c r="MGT208" s="128">
        <f>DATA!MGW35</f>
        <v>0</v>
      </c>
      <c r="MGU208" s="128">
        <f>DATA!MGX35</f>
        <v>0</v>
      </c>
      <c r="MGV208" s="128">
        <f>DATA!MGY35</f>
        <v>0</v>
      </c>
      <c r="MGW208" s="128">
        <f>DATA!MGZ35</f>
        <v>0</v>
      </c>
      <c r="MGX208" s="128">
        <f>DATA!MHA35</f>
        <v>0</v>
      </c>
      <c r="MGY208" s="128">
        <f>DATA!MHB35</f>
        <v>0</v>
      </c>
      <c r="MGZ208" s="128">
        <f>DATA!MHC35</f>
        <v>0</v>
      </c>
      <c r="MHA208" s="128">
        <f>DATA!MHD35</f>
        <v>0</v>
      </c>
      <c r="MHB208" s="128">
        <f>DATA!MHE35</f>
        <v>0</v>
      </c>
      <c r="MHC208" s="128">
        <f>DATA!MHF35</f>
        <v>0</v>
      </c>
      <c r="MHD208" s="128">
        <f>DATA!MHG35</f>
        <v>0</v>
      </c>
      <c r="MHE208" s="128">
        <f>DATA!MHH35</f>
        <v>0</v>
      </c>
      <c r="MHF208" s="128">
        <f>DATA!MHI35</f>
        <v>0</v>
      </c>
      <c r="MHG208" s="128">
        <f>DATA!MHJ35</f>
        <v>0</v>
      </c>
      <c r="MHH208" s="128">
        <f>DATA!MHK35</f>
        <v>0</v>
      </c>
      <c r="MHI208" s="128">
        <f>DATA!MHL35</f>
        <v>0</v>
      </c>
      <c r="MHJ208" s="128">
        <f>DATA!MHM35</f>
        <v>0</v>
      </c>
      <c r="MHK208" s="128">
        <f>DATA!MHN35</f>
        <v>0</v>
      </c>
      <c r="MHL208" s="128">
        <f>DATA!MHO35</f>
        <v>0</v>
      </c>
      <c r="MHM208" s="128">
        <f>DATA!MHP35</f>
        <v>0</v>
      </c>
      <c r="MHN208" s="128">
        <f>DATA!MHQ35</f>
        <v>0</v>
      </c>
      <c r="MHO208" s="128">
        <f>DATA!MHR35</f>
        <v>0</v>
      </c>
      <c r="MHP208" s="128">
        <f>DATA!MHS35</f>
        <v>0</v>
      </c>
      <c r="MHQ208" s="128">
        <f>DATA!MHT35</f>
        <v>0</v>
      </c>
      <c r="MHR208" s="128">
        <f>DATA!MHU35</f>
        <v>0</v>
      </c>
      <c r="MHS208" s="128">
        <f>DATA!MHV35</f>
        <v>0</v>
      </c>
      <c r="MHT208" s="128">
        <f>DATA!MHW35</f>
        <v>0</v>
      </c>
      <c r="MHU208" s="128">
        <f>DATA!MHX35</f>
        <v>0</v>
      </c>
      <c r="MHV208" s="128">
        <f>DATA!MHY35</f>
        <v>0</v>
      </c>
      <c r="MHW208" s="128">
        <f>DATA!MHZ35</f>
        <v>0</v>
      </c>
      <c r="MHX208" s="128">
        <f>DATA!MIA35</f>
        <v>0</v>
      </c>
      <c r="MHY208" s="128">
        <f>DATA!MIB35</f>
        <v>0</v>
      </c>
      <c r="MHZ208" s="128">
        <f>DATA!MIC35</f>
        <v>0</v>
      </c>
      <c r="MIA208" s="128">
        <f>DATA!MID35</f>
        <v>0</v>
      </c>
      <c r="MIB208" s="128">
        <f>DATA!MIE35</f>
        <v>0</v>
      </c>
      <c r="MIC208" s="128">
        <f>DATA!MIF35</f>
        <v>0</v>
      </c>
      <c r="MID208" s="128">
        <f>DATA!MIG35</f>
        <v>0</v>
      </c>
      <c r="MIE208" s="128">
        <f>DATA!MIH35</f>
        <v>0</v>
      </c>
      <c r="MIF208" s="128">
        <f>DATA!MII35</f>
        <v>0</v>
      </c>
      <c r="MIG208" s="128">
        <f>DATA!MIJ35</f>
        <v>0</v>
      </c>
      <c r="MIH208" s="128">
        <f>DATA!MIK35</f>
        <v>0</v>
      </c>
      <c r="MII208" s="128">
        <f>DATA!MIL35</f>
        <v>0</v>
      </c>
      <c r="MIJ208" s="128">
        <f>DATA!MIM35</f>
        <v>0</v>
      </c>
      <c r="MIK208" s="128">
        <f>DATA!MIN35</f>
        <v>0</v>
      </c>
      <c r="MIL208" s="128">
        <f>DATA!MIO35</f>
        <v>0</v>
      </c>
      <c r="MIM208" s="128">
        <f>DATA!MIP35</f>
        <v>0</v>
      </c>
      <c r="MIN208" s="128">
        <f>DATA!MIQ35</f>
        <v>0</v>
      </c>
      <c r="MIO208" s="128">
        <f>DATA!MIR35</f>
        <v>0</v>
      </c>
      <c r="MIP208" s="128">
        <f>DATA!MIS35</f>
        <v>0</v>
      </c>
      <c r="MIQ208" s="128">
        <f>DATA!MIT35</f>
        <v>0</v>
      </c>
      <c r="MIR208" s="128">
        <f>DATA!MIU35</f>
        <v>0</v>
      </c>
      <c r="MIS208" s="128">
        <f>DATA!MIV35</f>
        <v>0</v>
      </c>
      <c r="MIT208" s="128">
        <f>DATA!MIW35</f>
        <v>0</v>
      </c>
      <c r="MIU208" s="128">
        <f>DATA!MIX35</f>
        <v>0</v>
      </c>
      <c r="MIV208" s="128">
        <f>DATA!MIY35</f>
        <v>0</v>
      </c>
      <c r="MIW208" s="128">
        <f>DATA!MIZ35</f>
        <v>0</v>
      </c>
      <c r="MIX208" s="128">
        <f>DATA!MJA35</f>
        <v>0</v>
      </c>
      <c r="MIY208" s="128">
        <f>DATA!MJB35</f>
        <v>0</v>
      </c>
      <c r="MIZ208" s="128">
        <f>DATA!MJC35</f>
        <v>0</v>
      </c>
      <c r="MJA208" s="128">
        <f>DATA!MJD35</f>
        <v>0</v>
      </c>
      <c r="MJB208" s="128">
        <f>DATA!MJE35</f>
        <v>0</v>
      </c>
      <c r="MJC208" s="128">
        <f>DATA!MJF35</f>
        <v>0</v>
      </c>
      <c r="MJD208" s="128">
        <f>DATA!MJG35</f>
        <v>0</v>
      </c>
      <c r="MJE208" s="128">
        <f>DATA!MJH35</f>
        <v>0</v>
      </c>
      <c r="MJF208" s="128">
        <f>DATA!MJI35</f>
        <v>0</v>
      </c>
      <c r="MJG208" s="128">
        <f>DATA!MJJ35</f>
        <v>0</v>
      </c>
      <c r="MJH208" s="128">
        <f>DATA!MJK35</f>
        <v>0</v>
      </c>
      <c r="MJI208" s="128">
        <f>DATA!MJL35</f>
        <v>0</v>
      </c>
      <c r="MJJ208" s="128">
        <f>DATA!MJM35</f>
        <v>0</v>
      </c>
      <c r="MJK208" s="128">
        <f>DATA!MJN35</f>
        <v>0</v>
      </c>
      <c r="MJL208" s="128">
        <f>DATA!MJO35</f>
        <v>0</v>
      </c>
      <c r="MJM208" s="128">
        <f>DATA!MJP35</f>
        <v>0</v>
      </c>
      <c r="MJN208" s="128">
        <f>DATA!MJQ35</f>
        <v>0</v>
      </c>
      <c r="MJO208" s="128">
        <f>DATA!MJR35</f>
        <v>0</v>
      </c>
      <c r="MJP208" s="128">
        <f>DATA!MJS35</f>
        <v>0</v>
      </c>
      <c r="MJQ208" s="128">
        <f>DATA!MJT35</f>
        <v>0</v>
      </c>
      <c r="MJR208" s="128">
        <f>DATA!MJU35</f>
        <v>0</v>
      </c>
      <c r="MJS208" s="128">
        <f>DATA!MJV35</f>
        <v>0</v>
      </c>
      <c r="MJT208" s="128">
        <f>DATA!MJW35</f>
        <v>0</v>
      </c>
      <c r="MJU208" s="128">
        <f>DATA!MJX35</f>
        <v>0</v>
      </c>
      <c r="MJV208" s="128">
        <f>DATA!MJY35</f>
        <v>0</v>
      </c>
      <c r="MJW208" s="128">
        <f>DATA!MJZ35</f>
        <v>0</v>
      </c>
      <c r="MJX208" s="128">
        <f>DATA!MKA35</f>
        <v>0</v>
      </c>
      <c r="MJY208" s="128">
        <f>DATA!MKB35</f>
        <v>0</v>
      </c>
      <c r="MJZ208" s="128">
        <f>DATA!MKC35</f>
        <v>0</v>
      </c>
      <c r="MKA208" s="128">
        <f>DATA!MKD35</f>
        <v>0</v>
      </c>
      <c r="MKB208" s="128">
        <f>DATA!MKE35</f>
        <v>0</v>
      </c>
      <c r="MKC208" s="128">
        <f>DATA!MKF35</f>
        <v>0</v>
      </c>
      <c r="MKD208" s="128">
        <f>DATA!MKG35</f>
        <v>0</v>
      </c>
      <c r="MKE208" s="128">
        <f>DATA!MKH35</f>
        <v>0</v>
      </c>
      <c r="MKF208" s="128">
        <f>DATA!MKI35</f>
        <v>0</v>
      </c>
      <c r="MKG208" s="128">
        <f>DATA!MKJ35</f>
        <v>0</v>
      </c>
      <c r="MKH208" s="128">
        <f>DATA!MKK35</f>
        <v>0</v>
      </c>
      <c r="MKI208" s="128">
        <f>DATA!MKL35</f>
        <v>0</v>
      </c>
      <c r="MKJ208" s="128">
        <f>DATA!MKM35</f>
        <v>0</v>
      </c>
      <c r="MKK208" s="128">
        <f>DATA!MKN35</f>
        <v>0</v>
      </c>
      <c r="MKL208" s="128">
        <f>DATA!MKO35</f>
        <v>0</v>
      </c>
      <c r="MKM208" s="128">
        <f>DATA!MKP35</f>
        <v>0</v>
      </c>
      <c r="MKN208" s="128">
        <f>DATA!MKQ35</f>
        <v>0</v>
      </c>
      <c r="MKO208" s="128">
        <f>DATA!MKR35</f>
        <v>0</v>
      </c>
      <c r="MKP208" s="128">
        <f>DATA!MKS35</f>
        <v>0</v>
      </c>
      <c r="MKQ208" s="128">
        <f>DATA!MKT35</f>
        <v>0</v>
      </c>
      <c r="MKR208" s="128">
        <f>DATA!MKU35</f>
        <v>0</v>
      </c>
      <c r="MKS208" s="128">
        <f>DATA!MKV35</f>
        <v>0</v>
      </c>
      <c r="MKT208" s="128">
        <f>DATA!MKW35</f>
        <v>0</v>
      </c>
      <c r="MKU208" s="128">
        <f>DATA!MKX35</f>
        <v>0</v>
      </c>
      <c r="MKV208" s="128">
        <f>DATA!MKY35</f>
        <v>0</v>
      </c>
      <c r="MKW208" s="128">
        <f>DATA!MKZ35</f>
        <v>0</v>
      </c>
      <c r="MKX208" s="128">
        <f>DATA!MLA35</f>
        <v>0</v>
      </c>
      <c r="MKY208" s="128">
        <f>DATA!MLB35</f>
        <v>0</v>
      </c>
      <c r="MKZ208" s="128">
        <f>DATA!MLC35</f>
        <v>0</v>
      </c>
      <c r="MLA208" s="128">
        <f>DATA!MLD35</f>
        <v>0</v>
      </c>
      <c r="MLB208" s="128">
        <f>DATA!MLE35</f>
        <v>0</v>
      </c>
      <c r="MLC208" s="128">
        <f>DATA!MLF35</f>
        <v>0</v>
      </c>
      <c r="MLD208" s="128">
        <f>DATA!MLG35</f>
        <v>0</v>
      </c>
      <c r="MLE208" s="128">
        <f>DATA!MLH35</f>
        <v>0</v>
      </c>
      <c r="MLF208" s="128">
        <f>DATA!MLI35</f>
        <v>0</v>
      </c>
      <c r="MLG208" s="128">
        <f>DATA!MLJ35</f>
        <v>0</v>
      </c>
      <c r="MLH208" s="128">
        <f>DATA!MLK35</f>
        <v>0</v>
      </c>
      <c r="MLI208" s="128">
        <f>DATA!MLL35</f>
        <v>0</v>
      </c>
      <c r="MLJ208" s="128">
        <f>DATA!MLM35</f>
        <v>0</v>
      </c>
      <c r="MLK208" s="128">
        <f>DATA!MLN35</f>
        <v>0</v>
      </c>
      <c r="MLL208" s="128">
        <f>DATA!MLO35</f>
        <v>0</v>
      </c>
      <c r="MLM208" s="128">
        <f>DATA!MLP35</f>
        <v>0</v>
      </c>
      <c r="MLN208" s="128">
        <f>DATA!MLQ35</f>
        <v>0</v>
      </c>
      <c r="MLO208" s="128">
        <f>DATA!MLR35</f>
        <v>0</v>
      </c>
      <c r="MLP208" s="128">
        <f>DATA!MLS35</f>
        <v>0</v>
      </c>
      <c r="MLQ208" s="128">
        <f>DATA!MLT35</f>
        <v>0</v>
      </c>
      <c r="MLR208" s="128">
        <f>DATA!MLU35</f>
        <v>0</v>
      </c>
      <c r="MLS208" s="128">
        <f>DATA!MLV35</f>
        <v>0</v>
      </c>
      <c r="MLT208" s="128">
        <f>DATA!MLW35</f>
        <v>0</v>
      </c>
      <c r="MLU208" s="128">
        <f>DATA!MLX35</f>
        <v>0</v>
      </c>
      <c r="MLV208" s="128">
        <f>DATA!MLY35</f>
        <v>0</v>
      </c>
      <c r="MLW208" s="128">
        <f>DATA!MLZ35</f>
        <v>0</v>
      </c>
      <c r="MLX208" s="128">
        <f>DATA!MMA35</f>
        <v>0</v>
      </c>
      <c r="MLY208" s="128">
        <f>DATA!MMB35</f>
        <v>0</v>
      </c>
      <c r="MLZ208" s="128">
        <f>DATA!MMC35</f>
        <v>0</v>
      </c>
      <c r="MMA208" s="128">
        <f>DATA!MMD35</f>
        <v>0</v>
      </c>
      <c r="MMB208" s="128">
        <f>DATA!MME35</f>
        <v>0</v>
      </c>
      <c r="MMC208" s="128">
        <f>DATA!MMF35</f>
        <v>0</v>
      </c>
      <c r="MMD208" s="128">
        <f>DATA!MMG35</f>
        <v>0</v>
      </c>
      <c r="MME208" s="128">
        <f>DATA!MMH35</f>
        <v>0</v>
      </c>
      <c r="MMF208" s="128">
        <f>DATA!MMI35</f>
        <v>0</v>
      </c>
      <c r="MMG208" s="128">
        <f>DATA!MMJ35</f>
        <v>0</v>
      </c>
      <c r="MMH208" s="128">
        <f>DATA!MMK35</f>
        <v>0</v>
      </c>
      <c r="MMI208" s="128">
        <f>DATA!MML35</f>
        <v>0</v>
      </c>
      <c r="MMJ208" s="128">
        <f>DATA!MMM35</f>
        <v>0</v>
      </c>
      <c r="MMK208" s="128">
        <f>DATA!MMN35</f>
        <v>0</v>
      </c>
      <c r="MML208" s="128">
        <f>DATA!MMO35</f>
        <v>0</v>
      </c>
      <c r="MMM208" s="128">
        <f>DATA!MMP35</f>
        <v>0</v>
      </c>
      <c r="MMN208" s="128">
        <f>DATA!MMQ35</f>
        <v>0</v>
      </c>
      <c r="MMO208" s="128">
        <f>DATA!MMR35</f>
        <v>0</v>
      </c>
      <c r="MMP208" s="128">
        <f>DATA!MMS35</f>
        <v>0</v>
      </c>
      <c r="MMQ208" s="128">
        <f>DATA!MMT35</f>
        <v>0</v>
      </c>
      <c r="MMR208" s="128">
        <f>DATA!MMU35</f>
        <v>0</v>
      </c>
      <c r="MMS208" s="128">
        <f>DATA!MMV35</f>
        <v>0</v>
      </c>
      <c r="MMT208" s="128">
        <f>DATA!MMW35</f>
        <v>0</v>
      </c>
      <c r="MMU208" s="128">
        <f>DATA!MMX35</f>
        <v>0</v>
      </c>
      <c r="MMV208" s="128">
        <f>DATA!MMY35</f>
        <v>0</v>
      </c>
      <c r="MMW208" s="128">
        <f>DATA!MMZ35</f>
        <v>0</v>
      </c>
      <c r="MMX208" s="128">
        <f>DATA!MNA35</f>
        <v>0</v>
      </c>
      <c r="MMY208" s="128">
        <f>DATA!MNB35</f>
        <v>0</v>
      </c>
      <c r="MMZ208" s="128">
        <f>DATA!MNC35</f>
        <v>0</v>
      </c>
      <c r="MNA208" s="128">
        <f>DATA!MND35</f>
        <v>0</v>
      </c>
      <c r="MNB208" s="128">
        <f>DATA!MNE35</f>
        <v>0</v>
      </c>
      <c r="MNC208" s="128">
        <f>DATA!MNF35</f>
        <v>0</v>
      </c>
      <c r="MND208" s="128">
        <f>DATA!MNG35</f>
        <v>0</v>
      </c>
      <c r="MNE208" s="128">
        <f>DATA!MNH35</f>
        <v>0</v>
      </c>
      <c r="MNF208" s="128">
        <f>DATA!MNI35</f>
        <v>0</v>
      </c>
      <c r="MNG208" s="128">
        <f>DATA!MNJ35</f>
        <v>0</v>
      </c>
      <c r="MNH208" s="128">
        <f>DATA!MNK35</f>
        <v>0</v>
      </c>
      <c r="MNI208" s="128">
        <f>DATA!MNL35</f>
        <v>0</v>
      </c>
      <c r="MNJ208" s="128">
        <f>DATA!MNM35</f>
        <v>0</v>
      </c>
      <c r="MNK208" s="128">
        <f>DATA!MNN35</f>
        <v>0</v>
      </c>
      <c r="MNL208" s="128">
        <f>DATA!MNO35</f>
        <v>0</v>
      </c>
      <c r="MNM208" s="128">
        <f>DATA!MNP35</f>
        <v>0</v>
      </c>
      <c r="MNN208" s="128">
        <f>DATA!MNQ35</f>
        <v>0</v>
      </c>
      <c r="MNO208" s="128">
        <f>DATA!MNR35</f>
        <v>0</v>
      </c>
      <c r="MNP208" s="128">
        <f>DATA!MNS35</f>
        <v>0</v>
      </c>
      <c r="MNQ208" s="128">
        <f>DATA!MNT35</f>
        <v>0</v>
      </c>
      <c r="MNR208" s="128">
        <f>DATA!MNU35</f>
        <v>0</v>
      </c>
      <c r="MNS208" s="128">
        <f>DATA!MNV35</f>
        <v>0</v>
      </c>
      <c r="MNT208" s="128">
        <f>DATA!MNW35</f>
        <v>0</v>
      </c>
      <c r="MNU208" s="128">
        <f>DATA!MNX35</f>
        <v>0</v>
      </c>
      <c r="MNV208" s="128">
        <f>DATA!MNY35</f>
        <v>0</v>
      </c>
      <c r="MNW208" s="128">
        <f>DATA!MNZ35</f>
        <v>0</v>
      </c>
      <c r="MNX208" s="128">
        <f>DATA!MOA35</f>
        <v>0</v>
      </c>
      <c r="MNY208" s="128">
        <f>DATA!MOB35</f>
        <v>0</v>
      </c>
      <c r="MNZ208" s="128">
        <f>DATA!MOC35</f>
        <v>0</v>
      </c>
      <c r="MOA208" s="128">
        <f>DATA!MOD35</f>
        <v>0</v>
      </c>
      <c r="MOB208" s="128">
        <f>DATA!MOE35</f>
        <v>0</v>
      </c>
      <c r="MOC208" s="128">
        <f>DATA!MOF35</f>
        <v>0</v>
      </c>
      <c r="MOD208" s="128">
        <f>DATA!MOG35</f>
        <v>0</v>
      </c>
      <c r="MOE208" s="128">
        <f>DATA!MOH35</f>
        <v>0</v>
      </c>
      <c r="MOF208" s="128">
        <f>DATA!MOI35</f>
        <v>0</v>
      </c>
      <c r="MOG208" s="128">
        <f>DATA!MOJ35</f>
        <v>0</v>
      </c>
      <c r="MOH208" s="128">
        <f>DATA!MOK35</f>
        <v>0</v>
      </c>
      <c r="MOI208" s="128">
        <f>DATA!MOL35</f>
        <v>0</v>
      </c>
      <c r="MOJ208" s="128">
        <f>DATA!MOM35</f>
        <v>0</v>
      </c>
      <c r="MOK208" s="128">
        <f>DATA!MON35</f>
        <v>0</v>
      </c>
      <c r="MOL208" s="128">
        <f>DATA!MOO35</f>
        <v>0</v>
      </c>
      <c r="MOM208" s="128">
        <f>DATA!MOP35</f>
        <v>0</v>
      </c>
      <c r="MON208" s="128">
        <f>DATA!MOQ35</f>
        <v>0</v>
      </c>
      <c r="MOO208" s="128">
        <f>DATA!MOR35</f>
        <v>0</v>
      </c>
      <c r="MOP208" s="128">
        <f>DATA!MOS35</f>
        <v>0</v>
      </c>
      <c r="MOQ208" s="128">
        <f>DATA!MOT35</f>
        <v>0</v>
      </c>
      <c r="MOR208" s="128">
        <f>DATA!MOU35</f>
        <v>0</v>
      </c>
      <c r="MOS208" s="128">
        <f>DATA!MOV35</f>
        <v>0</v>
      </c>
      <c r="MOT208" s="128">
        <f>DATA!MOW35</f>
        <v>0</v>
      </c>
      <c r="MOU208" s="128">
        <f>DATA!MOX35</f>
        <v>0</v>
      </c>
      <c r="MOV208" s="128">
        <f>DATA!MOY35</f>
        <v>0</v>
      </c>
      <c r="MOW208" s="128">
        <f>DATA!MOZ35</f>
        <v>0</v>
      </c>
      <c r="MOX208" s="128">
        <f>DATA!MPA35</f>
        <v>0</v>
      </c>
      <c r="MOY208" s="128">
        <f>DATA!MPB35</f>
        <v>0</v>
      </c>
      <c r="MOZ208" s="128">
        <f>DATA!MPC35</f>
        <v>0</v>
      </c>
      <c r="MPA208" s="128">
        <f>DATA!MPD35</f>
        <v>0</v>
      </c>
      <c r="MPB208" s="128">
        <f>DATA!MPE35</f>
        <v>0</v>
      </c>
      <c r="MPC208" s="128">
        <f>DATA!MPF35</f>
        <v>0</v>
      </c>
      <c r="MPD208" s="128">
        <f>DATA!MPG35</f>
        <v>0</v>
      </c>
      <c r="MPE208" s="128">
        <f>DATA!MPH35</f>
        <v>0</v>
      </c>
      <c r="MPF208" s="128">
        <f>DATA!MPI35</f>
        <v>0</v>
      </c>
      <c r="MPG208" s="128">
        <f>DATA!MPJ35</f>
        <v>0</v>
      </c>
      <c r="MPH208" s="128">
        <f>DATA!MPK35</f>
        <v>0</v>
      </c>
      <c r="MPI208" s="128">
        <f>DATA!MPL35</f>
        <v>0</v>
      </c>
      <c r="MPJ208" s="128">
        <f>DATA!MPM35</f>
        <v>0</v>
      </c>
      <c r="MPK208" s="128">
        <f>DATA!MPN35</f>
        <v>0</v>
      </c>
      <c r="MPL208" s="128">
        <f>DATA!MPO35</f>
        <v>0</v>
      </c>
      <c r="MPM208" s="128">
        <f>DATA!MPP35</f>
        <v>0</v>
      </c>
      <c r="MPN208" s="128">
        <f>DATA!MPQ35</f>
        <v>0</v>
      </c>
      <c r="MPO208" s="128">
        <f>DATA!MPR35</f>
        <v>0</v>
      </c>
      <c r="MPP208" s="128">
        <f>DATA!MPS35</f>
        <v>0</v>
      </c>
      <c r="MPQ208" s="128">
        <f>DATA!MPT35</f>
        <v>0</v>
      </c>
      <c r="MPR208" s="128">
        <f>DATA!MPU35</f>
        <v>0</v>
      </c>
      <c r="MPS208" s="128">
        <f>DATA!MPV35</f>
        <v>0</v>
      </c>
      <c r="MPT208" s="128">
        <f>DATA!MPW35</f>
        <v>0</v>
      </c>
      <c r="MPU208" s="128">
        <f>DATA!MPX35</f>
        <v>0</v>
      </c>
      <c r="MPV208" s="128">
        <f>DATA!MPY35</f>
        <v>0</v>
      </c>
      <c r="MPW208" s="128">
        <f>DATA!MPZ35</f>
        <v>0</v>
      </c>
      <c r="MPX208" s="128">
        <f>DATA!MQA35</f>
        <v>0</v>
      </c>
      <c r="MPY208" s="128">
        <f>DATA!MQB35</f>
        <v>0</v>
      </c>
      <c r="MPZ208" s="128">
        <f>DATA!MQC35</f>
        <v>0</v>
      </c>
      <c r="MQA208" s="128">
        <f>DATA!MQD35</f>
        <v>0</v>
      </c>
      <c r="MQB208" s="128">
        <f>DATA!MQE35</f>
        <v>0</v>
      </c>
      <c r="MQC208" s="128">
        <f>DATA!MQF35</f>
        <v>0</v>
      </c>
      <c r="MQD208" s="128">
        <f>DATA!MQG35</f>
        <v>0</v>
      </c>
      <c r="MQE208" s="128">
        <f>DATA!MQH35</f>
        <v>0</v>
      </c>
      <c r="MQF208" s="128">
        <f>DATA!MQI35</f>
        <v>0</v>
      </c>
      <c r="MQG208" s="128">
        <f>DATA!MQJ35</f>
        <v>0</v>
      </c>
      <c r="MQH208" s="128">
        <f>DATA!MQK35</f>
        <v>0</v>
      </c>
      <c r="MQI208" s="128">
        <f>DATA!MQL35</f>
        <v>0</v>
      </c>
      <c r="MQJ208" s="128">
        <f>DATA!MQM35</f>
        <v>0</v>
      </c>
      <c r="MQK208" s="128">
        <f>DATA!MQN35</f>
        <v>0</v>
      </c>
      <c r="MQL208" s="128">
        <f>DATA!MQO35</f>
        <v>0</v>
      </c>
      <c r="MQM208" s="128">
        <f>DATA!MQP35</f>
        <v>0</v>
      </c>
      <c r="MQN208" s="128">
        <f>DATA!MQQ35</f>
        <v>0</v>
      </c>
      <c r="MQO208" s="128">
        <f>DATA!MQR35</f>
        <v>0</v>
      </c>
      <c r="MQP208" s="128">
        <f>DATA!MQS35</f>
        <v>0</v>
      </c>
      <c r="MQQ208" s="128">
        <f>DATA!MQT35</f>
        <v>0</v>
      </c>
      <c r="MQR208" s="128">
        <f>DATA!MQU35</f>
        <v>0</v>
      </c>
      <c r="MQS208" s="128">
        <f>DATA!MQV35</f>
        <v>0</v>
      </c>
      <c r="MQT208" s="128">
        <f>DATA!MQW35</f>
        <v>0</v>
      </c>
      <c r="MQU208" s="128">
        <f>DATA!MQX35</f>
        <v>0</v>
      </c>
      <c r="MQV208" s="128">
        <f>DATA!MQY35</f>
        <v>0</v>
      </c>
      <c r="MQW208" s="128">
        <f>DATA!MQZ35</f>
        <v>0</v>
      </c>
      <c r="MQX208" s="128">
        <f>DATA!MRA35</f>
        <v>0</v>
      </c>
      <c r="MQY208" s="128">
        <f>DATA!MRB35</f>
        <v>0</v>
      </c>
      <c r="MQZ208" s="128">
        <f>DATA!MRC35</f>
        <v>0</v>
      </c>
      <c r="MRA208" s="128">
        <f>DATA!MRD35</f>
        <v>0</v>
      </c>
      <c r="MRB208" s="128">
        <f>DATA!MRE35</f>
        <v>0</v>
      </c>
      <c r="MRC208" s="128">
        <f>DATA!MRF35</f>
        <v>0</v>
      </c>
      <c r="MRD208" s="128">
        <f>DATA!MRG35</f>
        <v>0</v>
      </c>
      <c r="MRE208" s="128">
        <f>DATA!MRH35</f>
        <v>0</v>
      </c>
      <c r="MRF208" s="128">
        <f>DATA!MRI35</f>
        <v>0</v>
      </c>
      <c r="MRG208" s="128">
        <f>DATA!MRJ35</f>
        <v>0</v>
      </c>
      <c r="MRH208" s="128">
        <f>DATA!MRK35</f>
        <v>0</v>
      </c>
      <c r="MRI208" s="128">
        <f>DATA!MRL35</f>
        <v>0</v>
      </c>
      <c r="MRJ208" s="128">
        <f>DATA!MRM35</f>
        <v>0</v>
      </c>
      <c r="MRK208" s="128">
        <f>DATA!MRN35</f>
        <v>0</v>
      </c>
      <c r="MRL208" s="128">
        <f>DATA!MRO35</f>
        <v>0</v>
      </c>
      <c r="MRM208" s="128">
        <f>DATA!MRP35</f>
        <v>0</v>
      </c>
      <c r="MRN208" s="128">
        <f>DATA!MRQ35</f>
        <v>0</v>
      </c>
      <c r="MRO208" s="128">
        <f>DATA!MRR35</f>
        <v>0</v>
      </c>
      <c r="MRP208" s="128">
        <f>DATA!MRS35</f>
        <v>0</v>
      </c>
      <c r="MRQ208" s="128">
        <f>DATA!MRT35</f>
        <v>0</v>
      </c>
      <c r="MRR208" s="128">
        <f>DATA!MRU35</f>
        <v>0</v>
      </c>
      <c r="MRS208" s="128">
        <f>DATA!MRV35</f>
        <v>0</v>
      </c>
      <c r="MRT208" s="128">
        <f>DATA!MRW35</f>
        <v>0</v>
      </c>
      <c r="MRU208" s="128">
        <f>DATA!MRX35</f>
        <v>0</v>
      </c>
      <c r="MRV208" s="128">
        <f>DATA!MRY35</f>
        <v>0</v>
      </c>
      <c r="MRW208" s="128">
        <f>DATA!MRZ35</f>
        <v>0</v>
      </c>
      <c r="MRX208" s="128">
        <f>DATA!MSA35</f>
        <v>0</v>
      </c>
      <c r="MRY208" s="128">
        <f>DATA!MSB35</f>
        <v>0</v>
      </c>
      <c r="MRZ208" s="128">
        <f>DATA!MSC35</f>
        <v>0</v>
      </c>
      <c r="MSA208" s="128">
        <f>DATA!MSD35</f>
        <v>0</v>
      </c>
      <c r="MSB208" s="128">
        <f>DATA!MSE35</f>
        <v>0</v>
      </c>
      <c r="MSC208" s="128">
        <f>DATA!MSF35</f>
        <v>0</v>
      </c>
      <c r="MSD208" s="128">
        <f>DATA!MSG35</f>
        <v>0</v>
      </c>
      <c r="MSE208" s="128">
        <f>DATA!MSH35</f>
        <v>0</v>
      </c>
      <c r="MSF208" s="128">
        <f>DATA!MSI35</f>
        <v>0</v>
      </c>
      <c r="MSG208" s="128">
        <f>DATA!MSJ35</f>
        <v>0</v>
      </c>
      <c r="MSH208" s="128">
        <f>DATA!MSK35</f>
        <v>0</v>
      </c>
      <c r="MSI208" s="128">
        <f>DATA!MSL35</f>
        <v>0</v>
      </c>
      <c r="MSJ208" s="128">
        <f>DATA!MSM35</f>
        <v>0</v>
      </c>
      <c r="MSK208" s="128">
        <f>DATA!MSN35</f>
        <v>0</v>
      </c>
      <c r="MSL208" s="128">
        <f>DATA!MSO35</f>
        <v>0</v>
      </c>
      <c r="MSM208" s="128">
        <f>DATA!MSP35</f>
        <v>0</v>
      </c>
      <c r="MSN208" s="128">
        <f>DATA!MSQ35</f>
        <v>0</v>
      </c>
      <c r="MSO208" s="128">
        <f>DATA!MSR35</f>
        <v>0</v>
      </c>
      <c r="MSP208" s="128">
        <f>DATA!MSS35</f>
        <v>0</v>
      </c>
      <c r="MSQ208" s="128">
        <f>DATA!MST35</f>
        <v>0</v>
      </c>
      <c r="MSR208" s="128">
        <f>DATA!MSU35</f>
        <v>0</v>
      </c>
      <c r="MSS208" s="128">
        <f>DATA!MSV35</f>
        <v>0</v>
      </c>
      <c r="MST208" s="128">
        <f>DATA!MSW35</f>
        <v>0</v>
      </c>
      <c r="MSU208" s="128">
        <f>DATA!MSX35</f>
        <v>0</v>
      </c>
      <c r="MSV208" s="128">
        <f>DATA!MSY35</f>
        <v>0</v>
      </c>
      <c r="MSW208" s="128">
        <f>DATA!MSZ35</f>
        <v>0</v>
      </c>
      <c r="MSX208" s="128">
        <f>DATA!MTA35</f>
        <v>0</v>
      </c>
      <c r="MSY208" s="128">
        <f>DATA!MTB35</f>
        <v>0</v>
      </c>
      <c r="MSZ208" s="128">
        <f>DATA!MTC35</f>
        <v>0</v>
      </c>
      <c r="MTA208" s="128">
        <f>DATA!MTD35</f>
        <v>0</v>
      </c>
      <c r="MTB208" s="128">
        <f>DATA!MTE35</f>
        <v>0</v>
      </c>
      <c r="MTC208" s="128">
        <f>DATA!MTF35</f>
        <v>0</v>
      </c>
      <c r="MTD208" s="128">
        <f>DATA!MTG35</f>
        <v>0</v>
      </c>
      <c r="MTE208" s="128">
        <f>DATA!MTH35</f>
        <v>0</v>
      </c>
      <c r="MTF208" s="128">
        <f>DATA!MTI35</f>
        <v>0</v>
      </c>
      <c r="MTG208" s="128">
        <f>DATA!MTJ35</f>
        <v>0</v>
      </c>
      <c r="MTH208" s="128">
        <f>DATA!MTK35</f>
        <v>0</v>
      </c>
      <c r="MTI208" s="128">
        <f>DATA!MTL35</f>
        <v>0</v>
      </c>
      <c r="MTJ208" s="128">
        <f>DATA!MTM35</f>
        <v>0</v>
      </c>
      <c r="MTK208" s="128">
        <f>DATA!MTN35</f>
        <v>0</v>
      </c>
      <c r="MTL208" s="128">
        <f>DATA!MTO35</f>
        <v>0</v>
      </c>
      <c r="MTM208" s="128">
        <f>DATA!MTP35</f>
        <v>0</v>
      </c>
      <c r="MTN208" s="128">
        <f>DATA!MTQ35</f>
        <v>0</v>
      </c>
      <c r="MTO208" s="128">
        <f>DATA!MTR35</f>
        <v>0</v>
      </c>
      <c r="MTP208" s="128">
        <f>DATA!MTS35</f>
        <v>0</v>
      </c>
      <c r="MTQ208" s="128">
        <f>DATA!MTT35</f>
        <v>0</v>
      </c>
      <c r="MTR208" s="128">
        <f>DATA!MTU35</f>
        <v>0</v>
      </c>
      <c r="MTS208" s="128">
        <f>DATA!MTV35</f>
        <v>0</v>
      </c>
      <c r="MTT208" s="128">
        <f>DATA!MTW35</f>
        <v>0</v>
      </c>
      <c r="MTU208" s="128">
        <f>DATA!MTX35</f>
        <v>0</v>
      </c>
      <c r="MTV208" s="128">
        <f>DATA!MTY35</f>
        <v>0</v>
      </c>
      <c r="MTW208" s="128">
        <f>DATA!MTZ35</f>
        <v>0</v>
      </c>
      <c r="MTX208" s="128">
        <f>DATA!MUA35</f>
        <v>0</v>
      </c>
      <c r="MTY208" s="128">
        <f>DATA!MUB35</f>
        <v>0</v>
      </c>
      <c r="MTZ208" s="128">
        <f>DATA!MUC35</f>
        <v>0</v>
      </c>
      <c r="MUA208" s="128">
        <f>DATA!MUD35</f>
        <v>0</v>
      </c>
      <c r="MUB208" s="128">
        <f>DATA!MUE35</f>
        <v>0</v>
      </c>
      <c r="MUC208" s="128">
        <f>DATA!MUF35</f>
        <v>0</v>
      </c>
      <c r="MUD208" s="128">
        <f>DATA!MUG35</f>
        <v>0</v>
      </c>
      <c r="MUE208" s="128">
        <f>DATA!MUH35</f>
        <v>0</v>
      </c>
      <c r="MUF208" s="128">
        <f>DATA!MUI35</f>
        <v>0</v>
      </c>
      <c r="MUG208" s="128">
        <f>DATA!MUJ35</f>
        <v>0</v>
      </c>
      <c r="MUH208" s="128">
        <f>DATA!MUK35</f>
        <v>0</v>
      </c>
      <c r="MUI208" s="128">
        <f>DATA!MUL35</f>
        <v>0</v>
      </c>
      <c r="MUJ208" s="128">
        <f>DATA!MUM35</f>
        <v>0</v>
      </c>
      <c r="MUK208" s="128">
        <f>DATA!MUN35</f>
        <v>0</v>
      </c>
      <c r="MUL208" s="128">
        <f>DATA!MUO35</f>
        <v>0</v>
      </c>
      <c r="MUM208" s="128">
        <f>DATA!MUP35</f>
        <v>0</v>
      </c>
      <c r="MUN208" s="128">
        <f>DATA!MUQ35</f>
        <v>0</v>
      </c>
      <c r="MUO208" s="128">
        <f>DATA!MUR35</f>
        <v>0</v>
      </c>
      <c r="MUP208" s="128">
        <f>DATA!MUS35</f>
        <v>0</v>
      </c>
      <c r="MUQ208" s="128">
        <f>DATA!MUT35</f>
        <v>0</v>
      </c>
      <c r="MUR208" s="128">
        <f>DATA!MUU35</f>
        <v>0</v>
      </c>
      <c r="MUS208" s="128">
        <f>DATA!MUV35</f>
        <v>0</v>
      </c>
      <c r="MUT208" s="128">
        <f>DATA!MUW35</f>
        <v>0</v>
      </c>
      <c r="MUU208" s="128">
        <f>DATA!MUX35</f>
        <v>0</v>
      </c>
      <c r="MUV208" s="128">
        <f>DATA!MUY35</f>
        <v>0</v>
      </c>
      <c r="MUW208" s="128">
        <f>DATA!MUZ35</f>
        <v>0</v>
      </c>
      <c r="MUX208" s="128">
        <f>DATA!MVA35</f>
        <v>0</v>
      </c>
      <c r="MUY208" s="128">
        <f>DATA!MVB35</f>
        <v>0</v>
      </c>
      <c r="MUZ208" s="128">
        <f>DATA!MVC35</f>
        <v>0</v>
      </c>
      <c r="MVA208" s="128">
        <f>DATA!MVD35</f>
        <v>0</v>
      </c>
      <c r="MVB208" s="128">
        <f>DATA!MVE35</f>
        <v>0</v>
      </c>
      <c r="MVC208" s="128">
        <f>DATA!MVF35</f>
        <v>0</v>
      </c>
      <c r="MVD208" s="128">
        <f>DATA!MVG35</f>
        <v>0</v>
      </c>
      <c r="MVE208" s="128">
        <f>DATA!MVH35</f>
        <v>0</v>
      </c>
      <c r="MVF208" s="128">
        <f>DATA!MVI35</f>
        <v>0</v>
      </c>
      <c r="MVG208" s="128">
        <f>DATA!MVJ35</f>
        <v>0</v>
      </c>
      <c r="MVH208" s="128">
        <f>DATA!MVK35</f>
        <v>0</v>
      </c>
      <c r="MVI208" s="128">
        <f>DATA!MVL35</f>
        <v>0</v>
      </c>
      <c r="MVJ208" s="128">
        <f>DATA!MVM35</f>
        <v>0</v>
      </c>
      <c r="MVK208" s="128">
        <f>DATA!MVN35</f>
        <v>0</v>
      </c>
      <c r="MVL208" s="128">
        <f>DATA!MVO35</f>
        <v>0</v>
      </c>
      <c r="MVM208" s="128">
        <f>DATA!MVP35</f>
        <v>0</v>
      </c>
      <c r="MVN208" s="128">
        <f>DATA!MVQ35</f>
        <v>0</v>
      </c>
      <c r="MVO208" s="128">
        <f>DATA!MVR35</f>
        <v>0</v>
      </c>
      <c r="MVP208" s="128">
        <f>DATA!MVS35</f>
        <v>0</v>
      </c>
      <c r="MVQ208" s="128">
        <f>DATA!MVT35</f>
        <v>0</v>
      </c>
      <c r="MVR208" s="128">
        <f>DATA!MVU35</f>
        <v>0</v>
      </c>
      <c r="MVS208" s="128">
        <f>DATA!MVV35</f>
        <v>0</v>
      </c>
      <c r="MVT208" s="128">
        <f>DATA!MVW35</f>
        <v>0</v>
      </c>
      <c r="MVU208" s="128">
        <f>DATA!MVX35</f>
        <v>0</v>
      </c>
      <c r="MVV208" s="128">
        <f>DATA!MVY35</f>
        <v>0</v>
      </c>
      <c r="MVW208" s="128">
        <f>DATA!MVZ35</f>
        <v>0</v>
      </c>
      <c r="MVX208" s="128">
        <f>DATA!MWA35</f>
        <v>0</v>
      </c>
      <c r="MVY208" s="128">
        <f>DATA!MWB35</f>
        <v>0</v>
      </c>
      <c r="MVZ208" s="128">
        <f>DATA!MWC35</f>
        <v>0</v>
      </c>
      <c r="MWA208" s="128">
        <f>DATA!MWD35</f>
        <v>0</v>
      </c>
      <c r="MWB208" s="128">
        <f>DATA!MWE35</f>
        <v>0</v>
      </c>
      <c r="MWC208" s="128">
        <f>DATA!MWF35</f>
        <v>0</v>
      </c>
      <c r="MWD208" s="128">
        <f>DATA!MWG35</f>
        <v>0</v>
      </c>
      <c r="MWE208" s="128">
        <f>DATA!MWH35</f>
        <v>0</v>
      </c>
      <c r="MWF208" s="128">
        <f>DATA!MWI35</f>
        <v>0</v>
      </c>
      <c r="MWG208" s="128">
        <f>DATA!MWJ35</f>
        <v>0</v>
      </c>
      <c r="MWH208" s="128">
        <f>DATA!MWK35</f>
        <v>0</v>
      </c>
      <c r="MWI208" s="128">
        <f>DATA!MWL35</f>
        <v>0</v>
      </c>
      <c r="MWJ208" s="128">
        <f>DATA!MWM35</f>
        <v>0</v>
      </c>
      <c r="MWK208" s="128">
        <f>DATA!MWN35</f>
        <v>0</v>
      </c>
      <c r="MWL208" s="128">
        <f>DATA!MWO35</f>
        <v>0</v>
      </c>
      <c r="MWM208" s="128">
        <f>DATA!MWP35</f>
        <v>0</v>
      </c>
      <c r="MWN208" s="128">
        <f>DATA!MWQ35</f>
        <v>0</v>
      </c>
      <c r="MWO208" s="128">
        <f>DATA!MWR35</f>
        <v>0</v>
      </c>
      <c r="MWP208" s="128">
        <f>DATA!MWS35</f>
        <v>0</v>
      </c>
      <c r="MWQ208" s="128">
        <f>DATA!MWT35</f>
        <v>0</v>
      </c>
      <c r="MWR208" s="128">
        <f>DATA!MWU35</f>
        <v>0</v>
      </c>
      <c r="MWS208" s="128">
        <f>DATA!MWV35</f>
        <v>0</v>
      </c>
      <c r="MWT208" s="128">
        <f>DATA!MWW35</f>
        <v>0</v>
      </c>
      <c r="MWU208" s="128">
        <f>DATA!MWX35</f>
        <v>0</v>
      </c>
      <c r="MWV208" s="128">
        <f>DATA!MWY35</f>
        <v>0</v>
      </c>
      <c r="MWW208" s="128">
        <f>DATA!MWZ35</f>
        <v>0</v>
      </c>
      <c r="MWX208" s="128">
        <f>DATA!MXA35</f>
        <v>0</v>
      </c>
      <c r="MWY208" s="128">
        <f>DATA!MXB35</f>
        <v>0</v>
      </c>
      <c r="MWZ208" s="128">
        <f>DATA!MXC35</f>
        <v>0</v>
      </c>
      <c r="MXA208" s="128">
        <f>DATA!MXD35</f>
        <v>0</v>
      </c>
      <c r="MXB208" s="128">
        <f>DATA!MXE35</f>
        <v>0</v>
      </c>
      <c r="MXC208" s="128">
        <f>DATA!MXF35</f>
        <v>0</v>
      </c>
      <c r="MXD208" s="128">
        <f>DATA!MXG35</f>
        <v>0</v>
      </c>
      <c r="MXE208" s="128">
        <f>DATA!MXH35</f>
        <v>0</v>
      </c>
      <c r="MXF208" s="128">
        <f>DATA!MXI35</f>
        <v>0</v>
      </c>
      <c r="MXG208" s="128">
        <f>DATA!MXJ35</f>
        <v>0</v>
      </c>
      <c r="MXH208" s="128">
        <f>DATA!MXK35</f>
        <v>0</v>
      </c>
      <c r="MXI208" s="128">
        <f>DATA!MXL35</f>
        <v>0</v>
      </c>
      <c r="MXJ208" s="128">
        <f>DATA!MXM35</f>
        <v>0</v>
      </c>
      <c r="MXK208" s="128">
        <f>DATA!MXN35</f>
        <v>0</v>
      </c>
      <c r="MXL208" s="128">
        <f>DATA!MXO35</f>
        <v>0</v>
      </c>
      <c r="MXM208" s="128">
        <f>DATA!MXP35</f>
        <v>0</v>
      </c>
      <c r="MXN208" s="128">
        <f>DATA!MXQ35</f>
        <v>0</v>
      </c>
      <c r="MXO208" s="128">
        <f>DATA!MXR35</f>
        <v>0</v>
      </c>
      <c r="MXP208" s="128">
        <f>DATA!MXS35</f>
        <v>0</v>
      </c>
      <c r="MXQ208" s="128">
        <f>DATA!MXT35</f>
        <v>0</v>
      </c>
      <c r="MXR208" s="128">
        <f>DATA!MXU35</f>
        <v>0</v>
      </c>
      <c r="MXS208" s="128">
        <f>DATA!MXV35</f>
        <v>0</v>
      </c>
      <c r="MXT208" s="128">
        <f>DATA!MXW35</f>
        <v>0</v>
      </c>
      <c r="MXU208" s="128">
        <f>DATA!MXX35</f>
        <v>0</v>
      </c>
      <c r="MXV208" s="128">
        <f>DATA!MXY35</f>
        <v>0</v>
      </c>
      <c r="MXW208" s="128">
        <f>DATA!MXZ35</f>
        <v>0</v>
      </c>
      <c r="MXX208" s="128">
        <f>DATA!MYA35</f>
        <v>0</v>
      </c>
      <c r="MXY208" s="128">
        <f>DATA!MYB35</f>
        <v>0</v>
      </c>
      <c r="MXZ208" s="128">
        <f>DATA!MYC35</f>
        <v>0</v>
      </c>
      <c r="MYA208" s="128">
        <f>DATA!MYD35</f>
        <v>0</v>
      </c>
      <c r="MYB208" s="128">
        <f>DATA!MYE35</f>
        <v>0</v>
      </c>
      <c r="MYC208" s="128">
        <f>DATA!MYF35</f>
        <v>0</v>
      </c>
      <c r="MYD208" s="128">
        <f>DATA!MYG35</f>
        <v>0</v>
      </c>
      <c r="MYE208" s="128">
        <f>DATA!MYH35</f>
        <v>0</v>
      </c>
      <c r="MYF208" s="128">
        <f>DATA!MYI35</f>
        <v>0</v>
      </c>
      <c r="MYG208" s="128">
        <f>DATA!MYJ35</f>
        <v>0</v>
      </c>
      <c r="MYH208" s="128">
        <f>DATA!MYK35</f>
        <v>0</v>
      </c>
      <c r="MYI208" s="128">
        <f>DATA!MYL35</f>
        <v>0</v>
      </c>
      <c r="MYJ208" s="128">
        <f>DATA!MYM35</f>
        <v>0</v>
      </c>
      <c r="MYK208" s="128">
        <f>DATA!MYN35</f>
        <v>0</v>
      </c>
      <c r="MYL208" s="128">
        <f>DATA!MYO35</f>
        <v>0</v>
      </c>
      <c r="MYM208" s="128">
        <f>DATA!MYP35</f>
        <v>0</v>
      </c>
      <c r="MYN208" s="128">
        <f>DATA!MYQ35</f>
        <v>0</v>
      </c>
      <c r="MYO208" s="128">
        <f>DATA!MYR35</f>
        <v>0</v>
      </c>
      <c r="MYP208" s="128">
        <f>DATA!MYS35</f>
        <v>0</v>
      </c>
      <c r="MYQ208" s="128">
        <f>DATA!MYT35</f>
        <v>0</v>
      </c>
      <c r="MYR208" s="128">
        <f>DATA!MYU35</f>
        <v>0</v>
      </c>
      <c r="MYS208" s="128">
        <f>DATA!MYV35</f>
        <v>0</v>
      </c>
      <c r="MYT208" s="128">
        <f>DATA!MYW35</f>
        <v>0</v>
      </c>
      <c r="MYU208" s="128">
        <f>DATA!MYX35</f>
        <v>0</v>
      </c>
      <c r="MYV208" s="128">
        <f>DATA!MYY35</f>
        <v>0</v>
      </c>
      <c r="MYW208" s="128">
        <f>DATA!MYZ35</f>
        <v>0</v>
      </c>
      <c r="MYX208" s="128">
        <f>DATA!MZA35</f>
        <v>0</v>
      </c>
      <c r="MYY208" s="128">
        <f>DATA!MZB35</f>
        <v>0</v>
      </c>
      <c r="MYZ208" s="128">
        <f>DATA!MZC35</f>
        <v>0</v>
      </c>
      <c r="MZA208" s="128">
        <f>DATA!MZD35</f>
        <v>0</v>
      </c>
      <c r="MZB208" s="128">
        <f>DATA!MZE35</f>
        <v>0</v>
      </c>
      <c r="MZC208" s="128">
        <f>DATA!MZF35</f>
        <v>0</v>
      </c>
      <c r="MZD208" s="128">
        <f>DATA!MZG35</f>
        <v>0</v>
      </c>
      <c r="MZE208" s="128">
        <f>DATA!MZH35</f>
        <v>0</v>
      </c>
      <c r="MZF208" s="128">
        <f>DATA!MZI35</f>
        <v>0</v>
      </c>
      <c r="MZG208" s="128">
        <f>DATA!MZJ35</f>
        <v>0</v>
      </c>
      <c r="MZH208" s="128">
        <f>DATA!MZK35</f>
        <v>0</v>
      </c>
      <c r="MZI208" s="128">
        <f>DATA!MZL35</f>
        <v>0</v>
      </c>
      <c r="MZJ208" s="128">
        <f>DATA!MZM35</f>
        <v>0</v>
      </c>
      <c r="MZK208" s="128">
        <f>DATA!MZN35</f>
        <v>0</v>
      </c>
      <c r="MZL208" s="128">
        <f>DATA!MZO35</f>
        <v>0</v>
      </c>
      <c r="MZM208" s="128">
        <f>DATA!MZP35</f>
        <v>0</v>
      </c>
      <c r="MZN208" s="128">
        <f>DATA!MZQ35</f>
        <v>0</v>
      </c>
      <c r="MZO208" s="128">
        <f>DATA!MZR35</f>
        <v>0</v>
      </c>
      <c r="MZP208" s="128">
        <f>DATA!MZS35</f>
        <v>0</v>
      </c>
      <c r="MZQ208" s="128">
        <f>DATA!MZT35</f>
        <v>0</v>
      </c>
      <c r="MZR208" s="128">
        <f>DATA!MZU35</f>
        <v>0</v>
      </c>
      <c r="MZS208" s="128">
        <f>DATA!MZV35</f>
        <v>0</v>
      </c>
      <c r="MZT208" s="128">
        <f>DATA!MZW35</f>
        <v>0</v>
      </c>
      <c r="MZU208" s="128">
        <f>DATA!MZX35</f>
        <v>0</v>
      </c>
      <c r="MZV208" s="128">
        <f>DATA!MZY35</f>
        <v>0</v>
      </c>
      <c r="MZW208" s="128">
        <f>DATA!MZZ35</f>
        <v>0</v>
      </c>
      <c r="MZX208" s="128">
        <f>DATA!NAA35</f>
        <v>0</v>
      </c>
      <c r="MZY208" s="128">
        <f>DATA!NAB35</f>
        <v>0</v>
      </c>
      <c r="MZZ208" s="128">
        <f>DATA!NAC35</f>
        <v>0</v>
      </c>
      <c r="NAA208" s="128">
        <f>DATA!NAD35</f>
        <v>0</v>
      </c>
      <c r="NAB208" s="128">
        <f>DATA!NAE35</f>
        <v>0</v>
      </c>
      <c r="NAC208" s="128">
        <f>DATA!NAF35</f>
        <v>0</v>
      </c>
      <c r="NAD208" s="128">
        <f>DATA!NAG35</f>
        <v>0</v>
      </c>
      <c r="NAE208" s="128">
        <f>DATA!NAH35</f>
        <v>0</v>
      </c>
      <c r="NAF208" s="128">
        <f>DATA!NAI35</f>
        <v>0</v>
      </c>
      <c r="NAG208" s="128">
        <f>DATA!NAJ35</f>
        <v>0</v>
      </c>
      <c r="NAH208" s="128">
        <f>DATA!NAK35</f>
        <v>0</v>
      </c>
      <c r="NAI208" s="128">
        <f>DATA!NAL35</f>
        <v>0</v>
      </c>
      <c r="NAJ208" s="128">
        <f>DATA!NAM35</f>
        <v>0</v>
      </c>
      <c r="NAK208" s="128">
        <f>DATA!NAN35</f>
        <v>0</v>
      </c>
      <c r="NAL208" s="128">
        <f>DATA!NAO35</f>
        <v>0</v>
      </c>
      <c r="NAM208" s="128">
        <f>DATA!NAP35</f>
        <v>0</v>
      </c>
      <c r="NAN208" s="128">
        <f>DATA!NAQ35</f>
        <v>0</v>
      </c>
      <c r="NAO208" s="128">
        <f>DATA!NAR35</f>
        <v>0</v>
      </c>
      <c r="NAP208" s="128">
        <f>DATA!NAS35</f>
        <v>0</v>
      </c>
      <c r="NAQ208" s="128">
        <f>DATA!NAT35</f>
        <v>0</v>
      </c>
      <c r="NAR208" s="128">
        <f>DATA!NAU35</f>
        <v>0</v>
      </c>
      <c r="NAS208" s="128">
        <f>DATA!NAV35</f>
        <v>0</v>
      </c>
      <c r="NAT208" s="128">
        <f>DATA!NAW35</f>
        <v>0</v>
      </c>
      <c r="NAU208" s="128">
        <f>DATA!NAX35</f>
        <v>0</v>
      </c>
      <c r="NAV208" s="128">
        <f>DATA!NAY35</f>
        <v>0</v>
      </c>
      <c r="NAW208" s="128">
        <f>DATA!NAZ35</f>
        <v>0</v>
      </c>
      <c r="NAX208" s="128">
        <f>DATA!NBA35</f>
        <v>0</v>
      </c>
      <c r="NAY208" s="128">
        <f>DATA!NBB35</f>
        <v>0</v>
      </c>
      <c r="NAZ208" s="128">
        <f>DATA!NBC35</f>
        <v>0</v>
      </c>
      <c r="NBA208" s="128">
        <f>DATA!NBD35</f>
        <v>0</v>
      </c>
      <c r="NBB208" s="128">
        <f>DATA!NBE35</f>
        <v>0</v>
      </c>
      <c r="NBC208" s="128">
        <f>DATA!NBF35</f>
        <v>0</v>
      </c>
      <c r="NBD208" s="128">
        <f>DATA!NBG35</f>
        <v>0</v>
      </c>
      <c r="NBE208" s="128">
        <f>DATA!NBH35</f>
        <v>0</v>
      </c>
      <c r="NBF208" s="128">
        <f>DATA!NBI35</f>
        <v>0</v>
      </c>
      <c r="NBG208" s="128">
        <f>DATA!NBJ35</f>
        <v>0</v>
      </c>
      <c r="NBH208" s="128">
        <f>DATA!NBK35</f>
        <v>0</v>
      </c>
      <c r="NBI208" s="128">
        <f>DATA!NBL35</f>
        <v>0</v>
      </c>
      <c r="NBJ208" s="128">
        <f>DATA!NBM35</f>
        <v>0</v>
      </c>
      <c r="NBK208" s="128">
        <f>DATA!NBN35</f>
        <v>0</v>
      </c>
      <c r="NBL208" s="128">
        <f>DATA!NBO35</f>
        <v>0</v>
      </c>
      <c r="NBM208" s="128">
        <f>DATA!NBP35</f>
        <v>0</v>
      </c>
      <c r="NBN208" s="128">
        <f>DATA!NBQ35</f>
        <v>0</v>
      </c>
      <c r="NBO208" s="128">
        <f>DATA!NBR35</f>
        <v>0</v>
      </c>
      <c r="NBP208" s="128">
        <f>DATA!NBS35</f>
        <v>0</v>
      </c>
      <c r="NBQ208" s="128">
        <f>DATA!NBT35</f>
        <v>0</v>
      </c>
      <c r="NBR208" s="128">
        <f>DATA!NBU35</f>
        <v>0</v>
      </c>
      <c r="NBS208" s="128">
        <f>DATA!NBV35</f>
        <v>0</v>
      </c>
      <c r="NBT208" s="128">
        <f>DATA!NBW35</f>
        <v>0</v>
      </c>
      <c r="NBU208" s="128">
        <f>DATA!NBX35</f>
        <v>0</v>
      </c>
      <c r="NBV208" s="128">
        <f>DATA!NBY35</f>
        <v>0</v>
      </c>
      <c r="NBW208" s="128">
        <f>DATA!NBZ35</f>
        <v>0</v>
      </c>
      <c r="NBX208" s="128">
        <f>DATA!NCA35</f>
        <v>0</v>
      </c>
      <c r="NBY208" s="128">
        <f>DATA!NCB35</f>
        <v>0</v>
      </c>
      <c r="NBZ208" s="128">
        <f>DATA!NCC35</f>
        <v>0</v>
      </c>
      <c r="NCA208" s="128">
        <f>DATA!NCD35</f>
        <v>0</v>
      </c>
      <c r="NCB208" s="128">
        <f>DATA!NCE35</f>
        <v>0</v>
      </c>
      <c r="NCC208" s="128">
        <f>DATA!NCF35</f>
        <v>0</v>
      </c>
      <c r="NCD208" s="128">
        <f>DATA!NCG35</f>
        <v>0</v>
      </c>
      <c r="NCE208" s="128">
        <f>DATA!NCH35</f>
        <v>0</v>
      </c>
      <c r="NCF208" s="128">
        <f>DATA!NCI35</f>
        <v>0</v>
      </c>
      <c r="NCG208" s="128">
        <f>DATA!NCJ35</f>
        <v>0</v>
      </c>
      <c r="NCH208" s="128">
        <f>DATA!NCK35</f>
        <v>0</v>
      </c>
      <c r="NCI208" s="128">
        <f>DATA!NCL35</f>
        <v>0</v>
      </c>
      <c r="NCJ208" s="128">
        <f>DATA!NCM35</f>
        <v>0</v>
      </c>
      <c r="NCK208" s="128">
        <f>DATA!NCN35</f>
        <v>0</v>
      </c>
      <c r="NCL208" s="128">
        <f>DATA!NCO35</f>
        <v>0</v>
      </c>
      <c r="NCM208" s="128">
        <f>DATA!NCP35</f>
        <v>0</v>
      </c>
      <c r="NCN208" s="128">
        <f>DATA!NCQ35</f>
        <v>0</v>
      </c>
      <c r="NCO208" s="128">
        <f>DATA!NCR35</f>
        <v>0</v>
      </c>
      <c r="NCP208" s="128">
        <f>DATA!NCS35</f>
        <v>0</v>
      </c>
      <c r="NCQ208" s="128">
        <f>DATA!NCT35</f>
        <v>0</v>
      </c>
      <c r="NCR208" s="128">
        <f>DATA!NCU35</f>
        <v>0</v>
      </c>
      <c r="NCS208" s="128">
        <f>DATA!NCV35</f>
        <v>0</v>
      </c>
      <c r="NCT208" s="128">
        <f>DATA!NCW35</f>
        <v>0</v>
      </c>
      <c r="NCU208" s="128">
        <f>DATA!NCX35</f>
        <v>0</v>
      </c>
      <c r="NCV208" s="128">
        <f>DATA!NCY35</f>
        <v>0</v>
      </c>
      <c r="NCW208" s="128">
        <f>DATA!NCZ35</f>
        <v>0</v>
      </c>
      <c r="NCX208" s="128">
        <f>DATA!NDA35</f>
        <v>0</v>
      </c>
      <c r="NCY208" s="128">
        <f>DATA!NDB35</f>
        <v>0</v>
      </c>
      <c r="NCZ208" s="128">
        <f>DATA!NDC35</f>
        <v>0</v>
      </c>
      <c r="NDA208" s="128">
        <f>DATA!NDD35</f>
        <v>0</v>
      </c>
      <c r="NDB208" s="128">
        <f>DATA!NDE35</f>
        <v>0</v>
      </c>
      <c r="NDC208" s="128">
        <f>DATA!NDF35</f>
        <v>0</v>
      </c>
      <c r="NDD208" s="128">
        <f>DATA!NDG35</f>
        <v>0</v>
      </c>
      <c r="NDE208" s="128">
        <f>DATA!NDH35</f>
        <v>0</v>
      </c>
      <c r="NDF208" s="128">
        <f>DATA!NDI35</f>
        <v>0</v>
      </c>
      <c r="NDG208" s="128">
        <f>DATA!NDJ35</f>
        <v>0</v>
      </c>
      <c r="NDH208" s="128">
        <f>DATA!NDK35</f>
        <v>0</v>
      </c>
      <c r="NDI208" s="128">
        <f>DATA!NDL35</f>
        <v>0</v>
      </c>
      <c r="NDJ208" s="128">
        <f>DATA!NDM35</f>
        <v>0</v>
      </c>
      <c r="NDK208" s="128">
        <f>DATA!NDN35</f>
        <v>0</v>
      </c>
      <c r="NDL208" s="128">
        <f>DATA!NDO35</f>
        <v>0</v>
      </c>
      <c r="NDM208" s="128">
        <f>DATA!NDP35</f>
        <v>0</v>
      </c>
      <c r="NDN208" s="128">
        <f>DATA!NDQ35</f>
        <v>0</v>
      </c>
      <c r="NDO208" s="128">
        <f>DATA!NDR35</f>
        <v>0</v>
      </c>
      <c r="NDP208" s="128">
        <f>DATA!NDS35</f>
        <v>0</v>
      </c>
      <c r="NDQ208" s="128">
        <f>DATA!NDT35</f>
        <v>0</v>
      </c>
      <c r="NDR208" s="128">
        <f>DATA!NDU35</f>
        <v>0</v>
      </c>
      <c r="NDS208" s="128">
        <f>DATA!NDV35</f>
        <v>0</v>
      </c>
      <c r="NDT208" s="128">
        <f>DATA!NDW35</f>
        <v>0</v>
      </c>
      <c r="NDU208" s="128">
        <f>DATA!NDX35</f>
        <v>0</v>
      </c>
      <c r="NDV208" s="128">
        <f>DATA!NDY35</f>
        <v>0</v>
      </c>
      <c r="NDW208" s="128">
        <f>DATA!NDZ35</f>
        <v>0</v>
      </c>
      <c r="NDX208" s="128">
        <f>DATA!NEA35</f>
        <v>0</v>
      </c>
      <c r="NDY208" s="128">
        <f>DATA!NEB35</f>
        <v>0</v>
      </c>
      <c r="NDZ208" s="128">
        <f>DATA!NEC35</f>
        <v>0</v>
      </c>
      <c r="NEA208" s="128">
        <f>DATA!NED35</f>
        <v>0</v>
      </c>
      <c r="NEB208" s="128">
        <f>DATA!NEE35</f>
        <v>0</v>
      </c>
      <c r="NEC208" s="128">
        <f>DATA!NEF35</f>
        <v>0</v>
      </c>
      <c r="NED208" s="128">
        <f>DATA!NEG35</f>
        <v>0</v>
      </c>
      <c r="NEE208" s="128">
        <f>DATA!NEH35</f>
        <v>0</v>
      </c>
      <c r="NEF208" s="128">
        <f>DATA!NEI35</f>
        <v>0</v>
      </c>
      <c r="NEG208" s="128">
        <f>DATA!NEJ35</f>
        <v>0</v>
      </c>
      <c r="NEH208" s="128">
        <f>DATA!NEK35</f>
        <v>0</v>
      </c>
      <c r="NEI208" s="128">
        <f>DATA!NEL35</f>
        <v>0</v>
      </c>
      <c r="NEJ208" s="128">
        <f>DATA!NEM35</f>
        <v>0</v>
      </c>
      <c r="NEK208" s="128">
        <f>DATA!NEN35</f>
        <v>0</v>
      </c>
      <c r="NEL208" s="128">
        <f>DATA!NEO35</f>
        <v>0</v>
      </c>
      <c r="NEM208" s="128">
        <f>DATA!NEP35</f>
        <v>0</v>
      </c>
      <c r="NEN208" s="128">
        <f>DATA!NEQ35</f>
        <v>0</v>
      </c>
      <c r="NEO208" s="128">
        <f>DATA!NER35</f>
        <v>0</v>
      </c>
      <c r="NEP208" s="128">
        <f>DATA!NES35</f>
        <v>0</v>
      </c>
      <c r="NEQ208" s="128">
        <f>DATA!NET35</f>
        <v>0</v>
      </c>
      <c r="NER208" s="128">
        <f>DATA!NEU35</f>
        <v>0</v>
      </c>
      <c r="NES208" s="128">
        <f>DATA!NEV35</f>
        <v>0</v>
      </c>
      <c r="NET208" s="128">
        <f>DATA!NEW35</f>
        <v>0</v>
      </c>
      <c r="NEU208" s="128">
        <f>DATA!NEX35</f>
        <v>0</v>
      </c>
      <c r="NEV208" s="128">
        <f>DATA!NEY35</f>
        <v>0</v>
      </c>
      <c r="NEW208" s="128">
        <f>DATA!NEZ35</f>
        <v>0</v>
      </c>
      <c r="NEX208" s="128">
        <f>DATA!NFA35</f>
        <v>0</v>
      </c>
      <c r="NEY208" s="128">
        <f>DATA!NFB35</f>
        <v>0</v>
      </c>
      <c r="NEZ208" s="128">
        <f>DATA!NFC35</f>
        <v>0</v>
      </c>
      <c r="NFA208" s="128">
        <f>DATA!NFD35</f>
        <v>0</v>
      </c>
      <c r="NFB208" s="128">
        <f>DATA!NFE35</f>
        <v>0</v>
      </c>
      <c r="NFC208" s="128">
        <f>DATA!NFF35</f>
        <v>0</v>
      </c>
      <c r="NFD208" s="128">
        <f>DATA!NFG35</f>
        <v>0</v>
      </c>
      <c r="NFE208" s="128">
        <f>DATA!NFH35</f>
        <v>0</v>
      </c>
      <c r="NFF208" s="128">
        <f>DATA!NFI35</f>
        <v>0</v>
      </c>
      <c r="NFG208" s="128">
        <f>DATA!NFJ35</f>
        <v>0</v>
      </c>
      <c r="NFH208" s="128">
        <f>DATA!NFK35</f>
        <v>0</v>
      </c>
      <c r="NFI208" s="128">
        <f>DATA!NFL35</f>
        <v>0</v>
      </c>
      <c r="NFJ208" s="128">
        <f>DATA!NFM35</f>
        <v>0</v>
      </c>
      <c r="NFK208" s="128">
        <f>DATA!NFN35</f>
        <v>0</v>
      </c>
      <c r="NFL208" s="128">
        <f>DATA!NFO35</f>
        <v>0</v>
      </c>
      <c r="NFM208" s="128">
        <f>DATA!NFP35</f>
        <v>0</v>
      </c>
      <c r="NFN208" s="128">
        <f>DATA!NFQ35</f>
        <v>0</v>
      </c>
      <c r="NFO208" s="128">
        <f>DATA!NFR35</f>
        <v>0</v>
      </c>
      <c r="NFP208" s="128">
        <f>DATA!NFS35</f>
        <v>0</v>
      </c>
      <c r="NFQ208" s="128">
        <f>DATA!NFT35</f>
        <v>0</v>
      </c>
      <c r="NFR208" s="128">
        <f>DATA!NFU35</f>
        <v>0</v>
      </c>
      <c r="NFS208" s="128">
        <f>DATA!NFV35</f>
        <v>0</v>
      </c>
      <c r="NFT208" s="128">
        <f>DATA!NFW35</f>
        <v>0</v>
      </c>
      <c r="NFU208" s="128">
        <f>DATA!NFX35</f>
        <v>0</v>
      </c>
      <c r="NFV208" s="128">
        <f>DATA!NFY35</f>
        <v>0</v>
      </c>
      <c r="NFW208" s="128">
        <f>DATA!NFZ35</f>
        <v>0</v>
      </c>
      <c r="NFX208" s="128">
        <f>DATA!NGA35</f>
        <v>0</v>
      </c>
      <c r="NFY208" s="128">
        <f>DATA!NGB35</f>
        <v>0</v>
      </c>
      <c r="NFZ208" s="128">
        <f>DATA!NGC35</f>
        <v>0</v>
      </c>
      <c r="NGA208" s="128">
        <f>DATA!NGD35</f>
        <v>0</v>
      </c>
      <c r="NGB208" s="128">
        <f>DATA!NGE35</f>
        <v>0</v>
      </c>
      <c r="NGC208" s="128">
        <f>DATA!NGF35</f>
        <v>0</v>
      </c>
      <c r="NGD208" s="128">
        <f>DATA!NGG35</f>
        <v>0</v>
      </c>
      <c r="NGE208" s="128">
        <f>DATA!NGH35</f>
        <v>0</v>
      </c>
      <c r="NGF208" s="128">
        <f>DATA!NGI35</f>
        <v>0</v>
      </c>
      <c r="NGG208" s="128">
        <f>DATA!NGJ35</f>
        <v>0</v>
      </c>
      <c r="NGH208" s="128">
        <f>DATA!NGK35</f>
        <v>0</v>
      </c>
      <c r="NGI208" s="128">
        <f>DATA!NGL35</f>
        <v>0</v>
      </c>
      <c r="NGJ208" s="128">
        <f>DATA!NGM35</f>
        <v>0</v>
      </c>
      <c r="NGK208" s="128">
        <f>DATA!NGN35</f>
        <v>0</v>
      </c>
      <c r="NGL208" s="128">
        <f>DATA!NGO35</f>
        <v>0</v>
      </c>
      <c r="NGM208" s="128">
        <f>DATA!NGP35</f>
        <v>0</v>
      </c>
      <c r="NGN208" s="128">
        <f>DATA!NGQ35</f>
        <v>0</v>
      </c>
      <c r="NGO208" s="128">
        <f>DATA!NGR35</f>
        <v>0</v>
      </c>
      <c r="NGP208" s="128">
        <f>DATA!NGS35</f>
        <v>0</v>
      </c>
      <c r="NGQ208" s="128">
        <f>DATA!NGT35</f>
        <v>0</v>
      </c>
      <c r="NGR208" s="128">
        <f>DATA!NGU35</f>
        <v>0</v>
      </c>
      <c r="NGS208" s="128">
        <f>DATA!NGV35</f>
        <v>0</v>
      </c>
      <c r="NGT208" s="128">
        <f>DATA!NGW35</f>
        <v>0</v>
      </c>
      <c r="NGU208" s="128">
        <f>DATA!NGX35</f>
        <v>0</v>
      </c>
      <c r="NGV208" s="128">
        <f>DATA!NGY35</f>
        <v>0</v>
      </c>
      <c r="NGW208" s="128">
        <f>DATA!NGZ35</f>
        <v>0</v>
      </c>
      <c r="NGX208" s="128">
        <f>DATA!NHA35</f>
        <v>0</v>
      </c>
      <c r="NGY208" s="128">
        <f>DATA!NHB35</f>
        <v>0</v>
      </c>
      <c r="NGZ208" s="128">
        <f>DATA!NHC35</f>
        <v>0</v>
      </c>
      <c r="NHA208" s="128">
        <f>DATA!NHD35</f>
        <v>0</v>
      </c>
      <c r="NHB208" s="128">
        <f>DATA!NHE35</f>
        <v>0</v>
      </c>
      <c r="NHC208" s="128">
        <f>DATA!NHF35</f>
        <v>0</v>
      </c>
      <c r="NHD208" s="128">
        <f>DATA!NHG35</f>
        <v>0</v>
      </c>
      <c r="NHE208" s="128">
        <f>DATA!NHH35</f>
        <v>0</v>
      </c>
      <c r="NHF208" s="128">
        <f>DATA!NHI35</f>
        <v>0</v>
      </c>
      <c r="NHG208" s="128">
        <f>DATA!NHJ35</f>
        <v>0</v>
      </c>
      <c r="NHH208" s="128">
        <f>DATA!NHK35</f>
        <v>0</v>
      </c>
      <c r="NHI208" s="128">
        <f>DATA!NHL35</f>
        <v>0</v>
      </c>
      <c r="NHJ208" s="128">
        <f>DATA!NHM35</f>
        <v>0</v>
      </c>
      <c r="NHK208" s="128">
        <f>DATA!NHN35</f>
        <v>0</v>
      </c>
      <c r="NHL208" s="128">
        <f>DATA!NHO35</f>
        <v>0</v>
      </c>
      <c r="NHM208" s="128">
        <f>DATA!NHP35</f>
        <v>0</v>
      </c>
      <c r="NHN208" s="128">
        <f>DATA!NHQ35</f>
        <v>0</v>
      </c>
      <c r="NHO208" s="128">
        <f>DATA!NHR35</f>
        <v>0</v>
      </c>
      <c r="NHP208" s="128">
        <f>DATA!NHS35</f>
        <v>0</v>
      </c>
      <c r="NHQ208" s="128">
        <f>DATA!NHT35</f>
        <v>0</v>
      </c>
      <c r="NHR208" s="128">
        <f>DATA!NHU35</f>
        <v>0</v>
      </c>
      <c r="NHS208" s="128">
        <f>DATA!NHV35</f>
        <v>0</v>
      </c>
      <c r="NHT208" s="128">
        <f>DATA!NHW35</f>
        <v>0</v>
      </c>
      <c r="NHU208" s="128">
        <f>DATA!NHX35</f>
        <v>0</v>
      </c>
      <c r="NHV208" s="128">
        <f>DATA!NHY35</f>
        <v>0</v>
      </c>
      <c r="NHW208" s="128">
        <f>DATA!NHZ35</f>
        <v>0</v>
      </c>
      <c r="NHX208" s="128">
        <f>DATA!NIA35</f>
        <v>0</v>
      </c>
      <c r="NHY208" s="128">
        <f>DATA!NIB35</f>
        <v>0</v>
      </c>
      <c r="NHZ208" s="128">
        <f>DATA!NIC35</f>
        <v>0</v>
      </c>
      <c r="NIA208" s="128">
        <f>DATA!NID35</f>
        <v>0</v>
      </c>
      <c r="NIB208" s="128">
        <f>DATA!NIE35</f>
        <v>0</v>
      </c>
      <c r="NIC208" s="128">
        <f>DATA!NIF35</f>
        <v>0</v>
      </c>
      <c r="NID208" s="128">
        <f>DATA!NIG35</f>
        <v>0</v>
      </c>
      <c r="NIE208" s="128">
        <f>DATA!NIH35</f>
        <v>0</v>
      </c>
      <c r="NIF208" s="128">
        <f>DATA!NII35</f>
        <v>0</v>
      </c>
      <c r="NIG208" s="128">
        <f>DATA!NIJ35</f>
        <v>0</v>
      </c>
      <c r="NIH208" s="128">
        <f>DATA!NIK35</f>
        <v>0</v>
      </c>
      <c r="NII208" s="128">
        <f>DATA!NIL35</f>
        <v>0</v>
      </c>
      <c r="NIJ208" s="128">
        <f>DATA!NIM35</f>
        <v>0</v>
      </c>
      <c r="NIK208" s="128">
        <f>DATA!NIN35</f>
        <v>0</v>
      </c>
      <c r="NIL208" s="128">
        <f>DATA!NIO35</f>
        <v>0</v>
      </c>
      <c r="NIM208" s="128">
        <f>DATA!NIP35</f>
        <v>0</v>
      </c>
      <c r="NIN208" s="128">
        <f>DATA!NIQ35</f>
        <v>0</v>
      </c>
      <c r="NIO208" s="128">
        <f>DATA!NIR35</f>
        <v>0</v>
      </c>
      <c r="NIP208" s="128">
        <f>DATA!NIS35</f>
        <v>0</v>
      </c>
      <c r="NIQ208" s="128">
        <f>DATA!NIT35</f>
        <v>0</v>
      </c>
      <c r="NIR208" s="128">
        <f>DATA!NIU35</f>
        <v>0</v>
      </c>
      <c r="NIS208" s="128">
        <f>DATA!NIV35</f>
        <v>0</v>
      </c>
      <c r="NIT208" s="128">
        <f>DATA!NIW35</f>
        <v>0</v>
      </c>
      <c r="NIU208" s="128">
        <f>DATA!NIX35</f>
        <v>0</v>
      </c>
      <c r="NIV208" s="128">
        <f>DATA!NIY35</f>
        <v>0</v>
      </c>
      <c r="NIW208" s="128">
        <f>DATA!NIZ35</f>
        <v>0</v>
      </c>
      <c r="NIX208" s="128">
        <f>DATA!NJA35</f>
        <v>0</v>
      </c>
      <c r="NIY208" s="128">
        <f>DATA!NJB35</f>
        <v>0</v>
      </c>
      <c r="NIZ208" s="128">
        <f>DATA!NJC35</f>
        <v>0</v>
      </c>
      <c r="NJA208" s="128">
        <f>DATA!NJD35</f>
        <v>0</v>
      </c>
      <c r="NJB208" s="128">
        <f>DATA!NJE35</f>
        <v>0</v>
      </c>
      <c r="NJC208" s="128">
        <f>DATA!NJF35</f>
        <v>0</v>
      </c>
      <c r="NJD208" s="128">
        <f>DATA!NJG35</f>
        <v>0</v>
      </c>
      <c r="NJE208" s="128">
        <f>DATA!NJH35</f>
        <v>0</v>
      </c>
      <c r="NJF208" s="128">
        <f>DATA!NJI35</f>
        <v>0</v>
      </c>
      <c r="NJG208" s="128">
        <f>DATA!NJJ35</f>
        <v>0</v>
      </c>
      <c r="NJH208" s="128">
        <f>DATA!NJK35</f>
        <v>0</v>
      </c>
      <c r="NJI208" s="128">
        <f>DATA!NJL35</f>
        <v>0</v>
      </c>
      <c r="NJJ208" s="128">
        <f>DATA!NJM35</f>
        <v>0</v>
      </c>
      <c r="NJK208" s="128">
        <f>DATA!NJN35</f>
        <v>0</v>
      </c>
      <c r="NJL208" s="128">
        <f>DATA!NJO35</f>
        <v>0</v>
      </c>
      <c r="NJM208" s="128">
        <f>DATA!NJP35</f>
        <v>0</v>
      </c>
      <c r="NJN208" s="128">
        <f>DATA!NJQ35</f>
        <v>0</v>
      </c>
      <c r="NJO208" s="128">
        <f>DATA!NJR35</f>
        <v>0</v>
      </c>
      <c r="NJP208" s="128">
        <f>DATA!NJS35</f>
        <v>0</v>
      </c>
      <c r="NJQ208" s="128">
        <f>DATA!NJT35</f>
        <v>0</v>
      </c>
      <c r="NJR208" s="128">
        <f>DATA!NJU35</f>
        <v>0</v>
      </c>
      <c r="NJS208" s="128">
        <f>DATA!NJV35</f>
        <v>0</v>
      </c>
      <c r="NJT208" s="128">
        <f>DATA!NJW35</f>
        <v>0</v>
      </c>
      <c r="NJU208" s="128">
        <f>DATA!NJX35</f>
        <v>0</v>
      </c>
      <c r="NJV208" s="128">
        <f>DATA!NJY35</f>
        <v>0</v>
      </c>
      <c r="NJW208" s="128">
        <f>DATA!NJZ35</f>
        <v>0</v>
      </c>
      <c r="NJX208" s="128">
        <f>DATA!NKA35</f>
        <v>0</v>
      </c>
      <c r="NJY208" s="128">
        <f>DATA!NKB35</f>
        <v>0</v>
      </c>
      <c r="NJZ208" s="128">
        <f>DATA!NKC35</f>
        <v>0</v>
      </c>
      <c r="NKA208" s="128">
        <f>DATA!NKD35</f>
        <v>0</v>
      </c>
      <c r="NKB208" s="128">
        <f>DATA!NKE35</f>
        <v>0</v>
      </c>
      <c r="NKC208" s="128">
        <f>DATA!NKF35</f>
        <v>0</v>
      </c>
      <c r="NKD208" s="128">
        <f>DATA!NKG35</f>
        <v>0</v>
      </c>
      <c r="NKE208" s="128">
        <f>DATA!NKH35</f>
        <v>0</v>
      </c>
      <c r="NKF208" s="128">
        <f>DATA!NKI35</f>
        <v>0</v>
      </c>
      <c r="NKG208" s="128">
        <f>DATA!NKJ35</f>
        <v>0</v>
      </c>
      <c r="NKH208" s="128">
        <f>DATA!NKK35</f>
        <v>0</v>
      </c>
      <c r="NKI208" s="128">
        <f>DATA!NKL35</f>
        <v>0</v>
      </c>
      <c r="NKJ208" s="128">
        <f>DATA!NKM35</f>
        <v>0</v>
      </c>
      <c r="NKK208" s="128">
        <f>DATA!NKN35</f>
        <v>0</v>
      </c>
      <c r="NKL208" s="128">
        <f>DATA!NKO35</f>
        <v>0</v>
      </c>
      <c r="NKM208" s="128">
        <f>DATA!NKP35</f>
        <v>0</v>
      </c>
      <c r="NKN208" s="128">
        <f>DATA!NKQ35</f>
        <v>0</v>
      </c>
      <c r="NKO208" s="128">
        <f>DATA!NKR35</f>
        <v>0</v>
      </c>
      <c r="NKP208" s="128">
        <f>DATA!NKS35</f>
        <v>0</v>
      </c>
      <c r="NKQ208" s="128">
        <f>DATA!NKT35</f>
        <v>0</v>
      </c>
      <c r="NKR208" s="128">
        <f>DATA!NKU35</f>
        <v>0</v>
      </c>
      <c r="NKS208" s="128">
        <f>DATA!NKV35</f>
        <v>0</v>
      </c>
      <c r="NKT208" s="128">
        <f>DATA!NKW35</f>
        <v>0</v>
      </c>
      <c r="NKU208" s="128">
        <f>DATA!NKX35</f>
        <v>0</v>
      </c>
      <c r="NKV208" s="128">
        <f>DATA!NKY35</f>
        <v>0</v>
      </c>
      <c r="NKW208" s="128">
        <f>DATA!NKZ35</f>
        <v>0</v>
      </c>
      <c r="NKX208" s="128">
        <f>DATA!NLA35</f>
        <v>0</v>
      </c>
      <c r="NKY208" s="128">
        <f>DATA!NLB35</f>
        <v>0</v>
      </c>
      <c r="NKZ208" s="128">
        <f>DATA!NLC35</f>
        <v>0</v>
      </c>
      <c r="NLA208" s="128">
        <f>DATA!NLD35</f>
        <v>0</v>
      </c>
      <c r="NLB208" s="128">
        <f>DATA!NLE35</f>
        <v>0</v>
      </c>
      <c r="NLC208" s="128">
        <f>DATA!NLF35</f>
        <v>0</v>
      </c>
      <c r="NLD208" s="128">
        <f>DATA!NLG35</f>
        <v>0</v>
      </c>
      <c r="NLE208" s="128">
        <f>DATA!NLH35</f>
        <v>0</v>
      </c>
      <c r="NLF208" s="128">
        <f>DATA!NLI35</f>
        <v>0</v>
      </c>
      <c r="NLG208" s="128">
        <f>DATA!NLJ35</f>
        <v>0</v>
      </c>
      <c r="NLH208" s="128">
        <f>DATA!NLK35</f>
        <v>0</v>
      </c>
      <c r="NLI208" s="128">
        <f>DATA!NLL35</f>
        <v>0</v>
      </c>
      <c r="NLJ208" s="128">
        <f>DATA!NLM35</f>
        <v>0</v>
      </c>
      <c r="NLK208" s="128">
        <f>DATA!NLN35</f>
        <v>0</v>
      </c>
      <c r="NLL208" s="128">
        <f>DATA!NLO35</f>
        <v>0</v>
      </c>
      <c r="NLM208" s="128">
        <f>DATA!NLP35</f>
        <v>0</v>
      </c>
      <c r="NLN208" s="128">
        <f>DATA!NLQ35</f>
        <v>0</v>
      </c>
      <c r="NLO208" s="128">
        <f>DATA!NLR35</f>
        <v>0</v>
      </c>
      <c r="NLP208" s="128">
        <f>DATA!NLS35</f>
        <v>0</v>
      </c>
      <c r="NLQ208" s="128">
        <f>DATA!NLT35</f>
        <v>0</v>
      </c>
      <c r="NLR208" s="128">
        <f>DATA!NLU35</f>
        <v>0</v>
      </c>
      <c r="NLS208" s="128">
        <f>DATA!NLV35</f>
        <v>0</v>
      </c>
      <c r="NLT208" s="128">
        <f>DATA!NLW35</f>
        <v>0</v>
      </c>
      <c r="NLU208" s="128">
        <f>DATA!NLX35</f>
        <v>0</v>
      </c>
      <c r="NLV208" s="128">
        <f>DATA!NLY35</f>
        <v>0</v>
      </c>
      <c r="NLW208" s="128">
        <f>DATA!NLZ35</f>
        <v>0</v>
      </c>
      <c r="NLX208" s="128">
        <f>DATA!NMA35</f>
        <v>0</v>
      </c>
      <c r="NLY208" s="128">
        <f>DATA!NMB35</f>
        <v>0</v>
      </c>
      <c r="NLZ208" s="128">
        <f>DATA!NMC35</f>
        <v>0</v>
      </c>
      <c r="NMA208" s="128">
        <f>DATA!NMD35</f>
        <v>0</v>
      </c>
      <c r="NMB208" s="128">
        <f>DATA!NME35</f>
        <v>0</v>
      </c>
      <c r="NMC208" s="128">
        <f>DATA!NMF35</f>
        <v>0</v>
      </c>
      <c r="NMD208" s="128">
        <f>DATA!NMG35</f>
        <v>0</v>
      </c>
      <c r="NME208" s="128">
        <f>DATA!NMH35</f>
        <v>0</v>
      </c>
      <c r="NMF208" s="128">
        <f>DATA!NMI35</f>
        <v>0</v>
      </c>
      <c r="NMG208" s="128">
        <f>DATA!NMJ35</f>
        <v>0</v>
      </c>
      <c r="NMH208" s="128">
        <f>DATA!NMK35</f>
        <v>0</v>
      </c>
      <c r="NMI208" s="128">
        <f>DATA!NML35</f>
        <v>0</v>
      </c>
      <c r="NMJ208" s="128">
        <f>DATA!NMM35</f>
        <v>0</v>
      </c>
      <c r="NMK208" s="128">
        <f>DATA!NMN35</f>
        <v>0</v>
      </c>
      <c r="NML208" s="128">
        <f>DATA!NMO35</f>
        <v>0</v>
      </c>
      <c r="NMM208" s="128">
        <f>DATA!NMP35</f>
        <v>0</v>
      </c>
      <c r="NMN208" s="128">
        <f>DATA!NMQ35</f>
        <v>0</v>
      </c>
      <c r="NMO208" s="128">
        <f>DATA!NMR35</f>
        <v>0</v>
      </c>
      <c r="NMP208" s="128">
        <f>DATA!NMS35</f>
        <v>0</v>
      </c>
      <c r="NMQ208" s="128">
        <f>DATA!NMT35</f>
        <v>0</v>
      </c>
      <c r="NMR208" s="128">
        <f>DATA!NMU35</f>
        <v>0</v>
      </c>
      <c r="NMS208" s="128">
        <f>DATA!NMV35</f>
        <v>0</v>
      </c>
      <c r="NMT208" s="128">
        <f>DATA!NMW35</f>
        <v>0</v>
      </c>
      <c r="NMU208" s="128">
        <f>DATA!NMX35</f>
        <v>0</v>
      </c>
      <c r="NMV208" s="128">
        <f>DATA!NMY35</f>
        <v>0</v>
      </c>
      <c r="NMW208" s="128">
        <f>DATA!NMZ35</f>
        <v>0</v>
      </c>
      <c r="NMX208" s="128">
        <f>DATA!NNA35</f>
        <v>0</v>
      </c>
      <c r="NMY208" s="128">
        <f>DATA!NNB35</f>
        <v>0</v>
      </c>
      <c r="NMZ208" s="128">
        <f>DATA!NNC35</f>
        <v>0</v>
      </c>
      <c r="NNA208" s="128">
        <f>DATA!NND35</f>
        <v>0</v>
      </c>
      <c r="NNB208" s="128">
        <f>DATA!NNE35</f>
        <v>0</v>
      </c>
      <c r="NNC208" s="128">
        <f>DATA!NNF35</f>
        <v>0</v>
      </c>
      <c r="NND208" s="128">
        <f>DATA!NNG35</f>
        <v>0</v>
      </c>
      <c r="NNE208" s="128">
        <f>DATA!NNH35</f>
        <v>0</v>
      </c>
      <c r="NNF208" s="128">
        <f>DATA!NNI35</f>
        <v>0</v>
      </c>
      <c r="NNG208" s="128">
        <f>DATA!NNJ35</f>
        <v>0</v>
      </c>
      <c r="NNH208" s="128">
        <f>DATA!NNK35</f>
        <v>0</v>
      </c>
      <c r="NNI208" s="128">
        <f>DATA!NNL35</f>
        <v>0</v>
      </c>
      <c r="NNJ208" s="128">
        <f>DATA!NNM35</f>
        <v>0</v>
      </c>
      <c r="NNK208" s="128">
        <f>DATA!NNN35</f>
        <v>0</v>
      </c>
      <c r="NNL208" s="128">
        <f>DATA!NNO35</f>
        <v>0</v>
      </c>
      <c r="NNM208" s="128">
        <f>DATA!NNP35</f>
        <v>0</v>
      </c>
      <c r="NNN208" s="128">
        <f>DATA!NNQ35</f>
        <v>0</v>
      </c>
      <c r="NNO208" s="128">
        <f>DATA!NNR35</f>
        <v>0</v>
      </c>
      <c r="NNP208" s="128">
        <f>DATA!NNS35</f>
        <v>0</v>
      </c>
      <c r="NNQ208" s="128">
        <f>DATA!NNT35</f>
        <v>0</v>
      </c>
      <c r="NNR208" s="128">
        <f>DATA!NNU35</f>
        <v>0</v>
      </c>
      <c r="NNS208" s="128">
        <f>DATA!NNV35</f>
        <v>0</v>
      </c>
      <c r="NNT208" s="128">
        <f>DATA!NNW35</f>
        <v>0</v>
      </c>
      <c r="NNU208" s="128">
        <f>DATA!NNX35</f>
        <v>0</v>
      </c>
      <c r="NNV208" s="128">
        <f>DATA!NNY35</f>
        <v>0</v>
      </c>
      <c r="NNW208" s="128">
        <f>DATA!NNZ35</f>
        <v>0</v>
      </c>
      <c r="NNX208" s="128">
        <f>DATA!NOA35</f>
        <v>0</v>
      </c>
      <c r="NNY208" s="128">
        <f>DATA!NOB35</f>
        <v>0</v>
      </c>
      <c r="NNZ208" s="128">
        <f>DATA!NOC35</f>
        <v>0</v>
      </c>
      <c r="NOA208" s="128">
        <f>DATA!NOD35</f>
        <v>0</v>
      </c>
      <c r="NOB208" s="128">
        <f>DATA!NOE35</f>
        <v>0</v>
      </c>
      <c r="NOC208" s="128">
        <f>DATA!NOF35</f>
        <v>0</v>
      </c>
      <c r="NOD208" s="128">
        <f>DATA!NOG35</f>
        <v>0</v>
      </c>
      <c r="NOE208" s="128">
        <f>DATA!NOH35</f>
        <v>0</v>
      </c>
      <c r="NOF208" s="128">
        <f>DATA!NOI35</f>
        <v>0</v>
      </c>
      <c r="NOG208" s="128">
        <f>DATA!NOJ35</f>
        <v>0</v>
      </c>
      <c r="NOH208" s="128">
        <f>DATA!NOK35</f>
        <v>0</v>
      </c>
      <c r="NOI208" s="128">
        <f>DATA!NOL35</f>
        <v>0</v>
      </c>
      <c r="NOJ208" s="128">
        <f>DATA!NOM35</f>
        <v>0</v>
      </c>
      <c r="NOK208" s="128">
        <f>DATA!NON35</f>
        <v>0</v>
      </c>
      <c r="NOL208" s="128">
        <f>DATA!NOO35</f>
        <v>0</v>
      </c>
      <c r="NOM208" s="128">
        <f>DATA!NOP35</f>
        <v>0</v>
      </c>
      <c r="NON208" s="128">
        <f>DATA!NOQ35</f>
        <v>0</v>
      </c>
      <c r="NOO208" s="128">
        <f>DATA!NOR35</f>
        <v>0</v>
      </c>
      <c r="NOP208" s="128">
        <f>DATA!NOS35</f>
        <v>0</v>
      </c>
      <c r="NOQ208" s="128">
        <f>DATA!NOT35</f>
        <v>0</v>
      </c>
      <c r="NOR208" s="128">
        <f>DATA!NOU35</f>
        <v>0</v>
      </c>
      <c r="NOS208" s="128">
        <f>DATA!NOV35</f>
        <v>0</v>
      </c>
      <c r="NOT208" s="128">
        <f>DATA!NOW35</f>
        <v>0</v>
      </c>
      <c r="NOU208" s="128">
        <f>DATA!NOX35</f>
        <v>0</v>
      </c>
      <c r="NOV208" s="128">
        <f>DATA!NOY35</f>
        <v>0</v>
      </c>
      <c r="NOW208" s="128">
        <f>DATA!NOZ35</f>
        <v>0</v>
      </c>
      <c r="NOX208" s="128">
        <f>DATA!NPA35</f>
        <v>0</v>
      </c>
      <c r="NOY208" s="128">
        <f>DATA!NPB35</f>
        <v>0</v>
      </c>
      <c r="NOZ208" s="128">
        <f>DATA!NPC35</f>
        <v>0</v>
      </c>
      <c r="NPA208" s="128">
        <f>DATA!NPD35</f>
        <v>0</v>
      </c>
      <c r="NPB208" s="128">
        <f>DATA!NPE35</f>
        <v>0</v>
      </c>
      <c r="NPC208" s="128">
        <f>DATA!NPF35</f>
        <v>0</v>
      </c>
      <c r="NPD208" s="128">
        <f>DATA!NPG35</f>
        <v>0</v>
      </c>
      <c r="NPE208" s="128">
        <f>DATA!NPH35</f>
        <v>0</v>
      </c>
      <c r="NPF208" s="128">
        <f>DATA!NPI35</f>
        <v>0</v>
      </c>
      <c r="NPG208" s="128">
        <f>DATA!NPJ35</f>
        <v>0</v>
      </c>
      <c r="NPH208" s="128">
        <f>DATA!NPK35</f>
        <v>0</v>
      </c>
      <c r="NPI208" s="128">
        <f>DATA!NPL35</f>
        <v>0</v>
      </c>
      <c r="NPJ208" s="128">
        <f>DATA!NPM35</f>
        <v>0</v>
      </c>
      <c r="NPK208" s="128">
        <f>DATA!NPN35</f>
        <v>0</v>
      </c>
      <c r="NPL208" s="128">
        <f>DATA!NPO35</f>
        <v>0</v>
      </c>
      <c r="NPM208" s="128">
        <f>DATA!NPP35</f>
        <v>0</v>
      </c>
      <c r="NPN208" s="128">
        <f>DATA!NPQ35</f>
        <v>0</v>
      </c>
      <c r="NPO208" s="128">
        <f>DATA!NPR35</f>
        <v>0</v>
      </c>
      <c r="NPP208" s="128">
        <f>DATA!NPS35</f>
        <v>0</v>
      </c>
      <c r="NPQ208" s="128">
        <f>DATA!NPT35</f>
        <v>0</v>
      </c>
      <c r="NPR208" s="128">
        <f>DATA!NPU35</f>
        <v>0</v>
      </c>
      <c r="NPS208" s="128">
        <f>DATA!NPV35</f>
        <v>0</v>
      </c>
      <c r="NPT208" s="128">
        <f>DATA!NPW35</f>
        <v>0</v>
      </c>
      <c r="NPU208" s="128">
        <f>DATA!NPX35</f>
        <v>0</v>
      </c>
      <c r="NPV208" s="128">
        <f>DATA!NPY35</f>
        <v>0</v>
      </c>
      <c r="NPW208" s="128">
        <f>DATA!NPZ35</f>
        <v>0</v>
      </c>
      <c r="NPX208" s="128">
        <f>DATA!NQA35</f>
        <v>0</v>
      </c>
      <c r="NPY208" s="128">
        <f>DATA!NQB35</f>
        <v>0</v>
      </c>
      <c r="NPZ208" s="128">
        <f>DATA!NQC35</f>
        <v>0</v>
      </c>
      <c r="NQA208" s="128">
        <f>DATA!NQD35</f>
        <v>0</v>
      </c>
      <c r="NQB208" s="128">
        <f>DATA!NQE35</f>
        <v>0</v>
      </c>
      <c r="NQC208" s="128">
        <f>DATA!NQF35</f>
        <v>0</v>
      </c>
      <c r="NQD208" s="128">
        <f>DATA!NQG35</f>
        <v>0</v>
      </c>
      <c r="NQE208" s="128">
        <f>DATA!NQH35</f>
        <v>0</v>
      </c>
      <c r="NQF208" s="128">
        <f>DATA!NQI35</f>
        <v>0</v>
      </c>
      <c r="NQG208" s="128">
        <f>DATA!NQJ35</f>
        <v>0</v>
      </c>
      <c r="NQH208" s="128">
        <f>DATA!NQK35</f>
        <v>0</v>
      </c>
      <c r="NQI208" s="128">
        <f>DATA!NQL35</f>
        <v>0</v>
      </c>
      <c r="NQJ208" s="128">
        <f>DATA!NQM35</f>
        <v>0</v>
      </c>
      <c r="NQK208" s="128">
        <f>DATA!NQN35</f>
        <v>0</v>
      </c>
      <c r="NQL208" s="128">
        <f>DATA!NQO35</f>
        <v>0</v>
      </c>
      <c r="NQM208" s="128">
        <f>DATA!NQP35</f>
        <v>0</v>
      </c>
      <c r="NQN208" s="128">
        <f>DATA!NQQ35</f>
        <v>0</v>
      </c>
      <c r="NQO208" s="128">
        <f>DATA!NQR35</f>
        <v>0</v>
      </c>
      <c r="NQP208" s="128">
        <f>DATA!NQS35</f>
        <v>0</v>
      </c>
      <c r="NQQ208" s="128">
        <f>DATA!NQT35</f>
        <v>0</v>
      </c>
      <c r="NQR208" s="128">
        <f>DATA!NQU35</f>
        <v>0</v>
      </c>
      <c r="NQS208" s="128">
        <f>DATA!NQV35</f>
        <v>0</v>
      </c>
      <c r="NQT208" s="128">
        <f>DATA!NQW35</f>
        <v>0</v>
      </c>
      <c r="NQU208" s="128">
        <f>DATA!NQX35</f>
        <v>0</v>
      </c>
      <c r="NQV208" s="128">
        <f>DATA!NQY35</f>
        <v>0</v>
      </c>
      <c r="NQW208" s="128">
        <f>DATA!NQZ35</f>
        <v>0</v>
      </c>
      <c r="NQX208" s="128">
        <f>DATA!NRA35</f>
        <v>0</v>
      </c>
      <c r="NQY208" s="128">
        <f>DATA!NRB35</f>
        <v>0</v>
      </c>
      <c r="NQZ208" s="128">
        <f>DATA!NRC35</f>
        <v>0</v>
      </c>
      <c r="NRA208" s="128">
        <f>DATA!NRD35</f>
        <v>0</v>
      </c>
      <c r="NRB208" s="128">
        <f>DATA!NRE35</f>
        <v>0</v>
      </c>
      <c r="NRC208" s="128">
        <f>DATA!NRF35</f>
        <v>0</v>
      </c>
      <c r="NRD208" s="128">
        <f>DATA!NRG35</f>
        <v>0</v>
      </c>
      <c r="NRE208" s="128">
        <f>DATA!NRH35</f>
        <v>0</v>
      </c>
      <c r="NRF208" s="128">
        <f>DATA!NRI35</f>
        <v>0</v>
      </c>
      <c r="NRG208" s="128">
        <f>DATA!NRJ35</f>
        <v>0</v>
      </c>
      <c r="NRH208" s="128">
        <f>DATA!NRK35</f>
        <v>0</v>
      </c>
      <c r="NRI208" s="128">
        <f>DATA!NRL35</f>
        <v>0</v>
      </c>
      <c r="NRJ208" s="128">
        <f>DATA!NRM35</f>
        <v>0</v>
      </c>
      <c r="NRK208" s="128">
        <f>DATA!NRN35</f>
        <v>0</v>
      </c>
      <c r="NRL208" s="128">
        <f>DATA!NRO35</f>
        <v>0</v>
      </c>
      <c r="NRM208" s="128">
        <f>DATA!NRP35</f>
        <v>0</v>
      </c>
      <c r="NRN208" s="128">
        <f>DATA!NRQ35</f>
        <v>0</v>
      </c>
      <c r="NRO208" s="128">
        <f>DATA!NRR35</f>
        <v>0</v>
      </c>
      <c r="NRP208" s="128">
        <f>DATA!NRS35</f>
        <v>0</v>
      </c>
      <c r="NRQ208" s="128">
        <f>DATA!NRT35</f>
        <v>0</v>
      </c>
      <c r="NRR208" s="128">
        <f>DATA!NRU35</f>
        <v>0</v>
      </c>
      <c r="NRS208" s="128">
        <f>DATA!NRV35</f>
        <v>0</v>
      </c>
      <c r="NRT208" s="128">
        <f>DATA!NRW35</f>
        <v>0</v>
      </c>
      <c r="NRU208" s="128">
        <f>DATA!NRX35</f>
        <v>0</v>
      </c>
      <c r="NRV208" s="128">
        <f>DATA!NRY35</f>
        <v>0</v>
      </c>
      <c r="NRW208" s="128">
        <f>DATA!NRZ35</f>
        <v>0</v>
      </c>
      <c r="NRX208" s="128">
        <f>DATA!NSA35</f>
        <v>0</v>
      </c>
      <c r="NRY208" s="128">
        <f>DATA!NSB35</f>
        <v>0</v>
      </c>
      <c r="NRZ208" s="128">
        <f>DATA!NSC35</f>
        <v>0</v>
      </c>
      <c r="NSA208" s="128">
        <f>DATA!NSD35</f>
        <v>0</v>
      </c>
      <c r="NSB208" s="128">
        <f>DATA!NSE35</f>
        <v>0</v>
      </c>
      <c r="NSC208" s="128">
        <f>DATA!NSF35</f>
        <v>0</v>
      </c>
      <c r="NSD208" s="128">
        <f>DATA!NSG35</f>
        <v>0</v>
      </c>
      <c r="NSE208" s="128">
        <f>DATA!NSH35</f>
        <v>0</v>
      </c>
      <c r="NSF208" s="128">
        <f>DATA!NSI35</f>
        <v>0</v>
      </c>
      <c r="NSG208" s="128">
        <f>DATA!NSJ35</f>
        <v>0</v>
      </c>
      <c r="NSH208" s="128">
        <f>DATA!NSK35</f>
        <v>0</v>
      </c>
      <c r="NSI208" s="128">
        <f>DATA!NSL35</f>
        <v>0</v>
      </c>
      <c r="NSJ208" s="128">
        <f>DATA!NSM35</f>
        <v>0</v>
      </c>
      <c r="NSK208" s="128">
        <f>DATA!NSN35</f>
        <v>0</v>
      </c>
      <c r="NSL208" s="128">
        <f>DATA!NSO35</f>
        <v>0</v>
      </c>
      <c r="NSM208" s="128">
        <f>DATA!NSP35</f>
        <v>0</v>
      </c>
      <c r="NSN208" s="128">
        <f>DATA!NSQ35</f>
        <v>0</v>
      </c>
      <c r="NSO208" s="128">
        <f>DATA!NSR35</f>
        <v>0</v>
      </c>
      <c r="NSP208" s="128">
        <f>DATA!NSS35</f>
        <v>0</v>
      </c>
      <c r="NSQ208" s="128">
        <f>DATA!NST35</f>
        <v>0</v>
      </c>
      <c r="NSR208" s="128">
        <f>DATA!NSU35</f>
        <v>0</v>
      </c>
      <c r="NSS208" s="128">
        <f>DATA!NSV35</f>
        <v>0</v>
      </c>
      <c r="NST208" s="128">
        <f>DATA!NSW35</f>
        <v>0</v>
      </c>
      <c r="NSU208" s="128">
        <f>DATA!NSX35</f>
        <v>0</v>
      </c>
      <c r="NSV208" s="128">
        <f>DATA!NSY35</f>
        <v>0</v>
      </c>
      <c r="NSW208" s="128">
        <f>DATA!NSZ35</f>
        <v>0</v>
      </c>
      <c r="NSX208" s="128">
        <f>DATA!NTA35</f>
        <v>0</v>
      </c>
      <c r="NSY208" s="128">
        <f>DATA!NTB35</f>
        <v>0</v>
      </c>
      <c r="NSZ208" s="128">
        <f>DATA!NTC35</f>
        <v>0</v>
      </c>
      <c r="NTA208" s="128">
        <f>DATA!NTD35</f>
        <v>0</v>
      </c>
      <c r="NTB208" s="128">
        <f>DATA!NTE35</f>
        <v>0</v>
      </c>
      <c r="NTC208" s="128">
        <f>DATA!NTF35</f>
        <v>0</v>
      </c>
      <c r="NTD208" s="128">
        <f>DATA!NTG35</f>
        <v>0</v>
      </c>
      <c r="NTE208" s="128">
        <f>DATA!NTH35</f>
        <v>0</v>
      </c>
      <c r="NTF208" s="128">
        <f>DATA!NTI35</f>
        <v>0</v>
      </c>
      <c r="NTG208" s="128">
        <f>DATA!NTJ35</f>
        <v>0</v>
      </c>
      <c r="NTH208" s="128">
        <f>DATA!NTK35</f>
        <v>0</v>
      </c>
      <c r="NTI208" s="128">
        <f>DATA!NTL35</f>
        <v>0</v>
      </c>
      <c r="NTJ208" s="128">
        <f>DATA!NTM35</f>
        <v>0</v>
      </c>
      <c r="NTK208" s="128">
        <f>DATA!NTN35</f>
        <v>0</v>
      </c>
      <c r="NTL208" s="128">
        <f>DATA!NTO35</f>
        <v>0</v>
      </c>
      <c r="NTM208" s="128">
        <f>DATA!NTP35</f>
        <v>0</v>
      </c>
      <c r="NTN208" s="128">
        <f>DATA!NTQ35</f>
        <v>0</v>
      </c>
      <c r="NTO208" s="128">
        <f>DATA!NTR35</f>
        <v>0</v>
      </c>
      <c r="NTP208" s="128">
        <f>DATA!NTS35</f>
        <v>0</v>
      </c>
      <c r="NTQ208" s="128">
        <f>DATA!NTT35</f>
        <v>0</v>
      </c>
      <c r="NTR208" s="128">
        <f>DATA!NTU35</f>
        <v>0</v>
      </c>
      <c r="NTS208" s="128">
        <f>DATA!NTV35</f>
        <v>0</v>
      </c>
      <c r="NTT208" s="128">
        <f>DATA!NTW35</f>
        <v>0</v>
      </c>
      <c r="NTU208" s="128">
        <f>DATA!NTX35</f>
        <v>0</v>
      </c>
      <c r="NTV208" s="128">
        <f>DATA!NTY35</f>
        <v>0</v>
      </c>
      <c r="NTW208" s="128">
        <f>DATA!NTZ35</f>
        <v>0</v>
      </c>
      <c r="NTX208" s="128">
        <f>DATA!NUA35</f>
        <v>0</v>
      </c>
      <c r="NTY208" s="128">
        <f>DATA!NUB35</f>
        <v>0</v>
      </c>
      <c r="NTZ208" s="128">
        <f>DATA!NUC35</f>
        <v>0</v>
      </c>
      <c r="NUA208" s="128">
        <f>DATA!NUD35</f>
        <v>0</v>
      </c>
      <c r="NUB208" s="128">
        <f>DATA!NUE35</f>
        <v>0</v>
      </c>
      <c r="NUC208" s="128">
        <f>DATA!NUF35</f>
        <v>0</v>
      </c>
      <c r="NUD208" s="128">
        <f>DATA!NUG35</f>
        <v>0</v>
      </c>
      <c r="NUE208" s="128">
        <f>DATA!NUH35</f>
        <v>0</v>
      </c>
      <c r="NUF208" s="128">
        <f>DATA!NUI35</f>
        <v>0</v>
      </c>
      <c r="NUG208" s="128">
        <f>DATA!NUJ35</f>
        <v>0</v>
      </c>
      <c r="NUH208" s="128">
        <f>DATA!NUK35</f>
        <v>0</v>
      </c>
      <c r="NUI208" s="128">
        <f>DATA!NUL35</f>
        <v>0</v>
      </c>
      <c r="NUJ208" s="128">
        <f>DATA!NUM35</f>
        <v>0</v>
      </c>
      <c r="NUK208" s="128">
        <f>DATA!NUN35</f>
        <v>0</v>
      </c>
      <c r="NUL208" s="128">
        <f>DATA!NUO35</f>
        <v>0</v>
      </c>
      <c r="NUM208" s="128">
        <f>DATA!NUP35</f>
        <v>0</v>
      </c>
      <c r="NUN208" s="128">
        <f>DATA!NUQ35</f>
        <v>0</v>
      </c>
      <c r="NUO208" s="128">
        <f>DATA!NUR35</f>
        <v>0</v>
      </c>
      <c r="NUP208" s="128">
        <f>DATA!NUS35</f>
        <v>0</v>
      </c>
      <c r="NUQ208" s="128">
        <f>DATA!NUT35</f>
        <v>0</v>
      </c>
      <c r="NUR208" s="128">
        <f>DATA!NUU35</f>
        <v>0</v>
      </c>
      <c r="NUS208" s="128">
        <f>DATA!NUV35</f>
        <v>0</v>
      </c>
      <c r="NUT208" s="128">
        <f>DATA!NUW35</f>
        <v>0</v>
      </c>
      <c r="NUU208" s="128">
        <f>DATA!NUX35</f>
        <v>0</v>
      </c>
      <c r="NUV208" s="128">
        <f>DATA!NUY35</f>
        <v>0</v>
      </c>
      <c r="NUW208" s="128">
        <f>DATA!NUZ35</f>
        <v>0</v>
      </c>
      <c r="NUX208" s="128">
        <f>DATA!NVA35</f>
        <v>0</v>
      </c>
      <c r="NUY208" s="128">
        <f>DATA!NVB35</f>
        <v>0</v>
      </c>
      <c r="NUZ208" s="128">
        <f>DATA!NVC35</f>
        <v>0</v>
      </c>
      <c r="NVA208" s="128">
        <f>DATA!NVD35</f>
        <v>0</v>
      </c>
      <c r="NVB208" s="128">
        <f>DATA!NVE35</f>
        <v>0</v>
      </c>
      <c r="NVC208" s="128">
        <f>DATA!NVF35</f>
        <v>0</v>
      </c>
      <c r="NVD208" s="128">
        <f>DATA!NVG35</f>
        <v>0</v>
      </c>
      <c r="NVE208" s="128">
        <f>DATA!NVH35</f>
        <v>0</v>
      </c>
      <c r="NVF208" s="128">
        <f>DATA!NVI35</f>
        <v>0</v>
      </c>
      <c r="NVG208" s="128">
        <f>DATA!NVJ35</f>
        <v>0</v>
      </c>
      <c r="NVH208" s="128">
        <f>DATA!NVK35</f>
        <v>0</v>
      </c>
      <c r="NVI208" s="128">
        <f>DATA!NVL35</f>
        <v>0</v>
      </c>
      <c r="NVJ208" s="128">
        <f>DATA!NVM35</f>
        <v>0</v>
      </c>
      <c r="NVK208" s="128">
        <f>DATA!NVN35</f>
        <v>0</v>
      </c>
      <c r="NVL208" s="128">
        <f>DATA!NVO35</f>
        <v>0</v>
      </c>
      <c r="NVM208" s="128">
        <f>DATA!NVP35</f>
        <v>0</v>
      </c>
      <c r="NVN208" s="128">
        <f>DATA!NVQ35</f>
        <v>0</v>
      </c>
      <c r="NVO208" s="128">
        <f>DATA!NVR35</f>
        <v>0</v>
      </c>
      <c r="NVP208" s="128">
        <f>DATA!NVS35</f>
        <v>0</v>
      </c>
      <c r="NVQ208" s="128">
        <f>DATA!NVT35</f>
        <v>0</v>
      </c>
      <c r="NVR208" s="128">
        <f>DATA!NVU35</f>
        <v>0</v>
      </c>
      <c r="NVS208" s="128">
        <f>DATA!NVV35</f>
        <v>0</v>
      </c>
      <c r="NVT208" s="128">
        <f>DATA!NVW35</f>
        <v>0</v>
      </c>
      <c r="NVU208" s="128">
        <f>DATA!NVX35</f>
        <v>0</v>
      </c>
      <c r="NVV208" s="128">
        <f>DATA!NVY35</f>
        <v>0</v>
      </c>
      <c r="NVW208" s="128">
        <f>DATA!NVZ35</f>
        <v>0</v>
      </c>
      <c r="NVX208" s="128">
        <f>DATA!NWA35</f>
        <v>0</v>
      </c>
      <c r="NVY208" s="128">
        <f>DATA!NWB35</f>
        <v>0</v>
      </c>
      <c r="NVZ208" s="128">
        <f>DATA!NWC35</f>
        <v>0</v>
      </c>
      <c r="NWA208" s="128">
        <f>DATA!NWD35</f>
        <v>0</v>
      </c>
      <c r="NWB208" s="128">
        <f>DATA!NWE35</f>
        <v>0</v>
      </c>
      <c r="NWC208" s="128">
        <f>DATA!NWF35</f>
        <v>0</v>
      </c>
      <c r="NWD208" s="128">
        <f>DATA!NWG35</f>
        <v>0</v>
      </c>
      <c r="NWE208" s="128">
        <f>DATA!NWH35</f>
        <v>0</v>
      </c>
      <c r="NWF208" s="128">
        <f>DATA!NWI35</f>
        <v>0</v>
      </c>
      <c r="NWG208" s="128">
        <f>DATA!NWJ35</f>
        <v>0</v>
      </c>
      <c r="NWH208" s="128">
        <f>DATA!NWK35</f>
        <v>0</v>
      </c>
      <c r="NWI208" s="128">
        <f>DATA!NWL35</f>
        <v>0</v>
      </c>
      <c r="NWJ208" s="128">
        <f>DATA!NWM35</f>
        <v>0</v>
      </c>
      <c r="NWK208" s="128">
        <f>DATA!NWN35</f>
        <v>0</v>
      </c>
      <c r="NWL208" s="128">
        <f>DATA!NWO35</f>
        <v>0</v>
      </c>
      <c r="NWM208" s="128">
        <f>DATA!NWP35</f>
        <v>0</v>
      </c>
      <c r="NWN208" s="128">
        <f>DATA!NWQ35</f>
        <v>0</v>
      </c>
      <c r="NWO208" s="128">
        <f>DATA!NWR35</f>
        <v>0</v>
      </c>
      <c r="NWP208" s="128">
        <f>DATA!NWS35</f>
        <v>0</v>
      </c>
      <c r="NWQ208" s="128">
        <f>DATA!NWT35</f>
        <v>0</v>
      </c>
      <c r="NWR208" s="128">
        <f>DATA!NWU35</f>
        <v>0</v>
      </c>
      <c r="NWS208" s="128">
        <f>DATA!NWV35</f>
        <v>0</v>
      </c>
      <c r="NWT208" s="128">
        <f>DATA!NWW35</f>
        <v>0</v>
      </c>
      <c r="NWU208" s="128">
        <f>DATA!NWX35</f>
        <v>0</v>
      </c>
      <c r="NWV208" s="128">
        <f>DATA!NWY35</f>
        <v>0</v>
      </c>
      <c r="NWW208" s="128">
        <f>DATA!NWZ35</f>
        <v>0</v>
      </c>
      <c r="NWX208" s="128">
        <f>DATA!NXA35</f>
        <v>0</v>
      </c>
      <c r="NWY208" s="128">
        <f>DATA!NXB35</f>
        <v>0</v>
      </c>
      <c r="NWZ208" s="128">
        <f>DATA!NXC35</f>
        <v>0</v>
      </c>
      <c r="NXA208" s="128">
        <f>DATA!NXD35</f>
        <v>0</v>
      </c>
      <c r="NXB208" s="128">
        <f>DATA!NXE35</f>
        <v>0</v>
      </c>
      <c r="NXC208" s="128">
        <f>DATA!NXF35</f>
        <v>0</v>
      </c>
      <c r="NXD208" s="128">
        <f>DATA!NXG35</f>
        <v>0</v>
      </c>
      <c r="NXE208" s="128">
        <f>DATA!NXH35</f>
        <v>0</v>
      </c>
      <c r="NXF208" s="128">
        <f>DATA!NXI35</f>
        <v>0</v>
      </c>
      <c r="NXG208" s="128">
        <f>DATA!NXJ35</f>
        <v>0</v>
      </c>
      <c r="NXH208" s="128">
        <f>DATA!NXK35</f>
        <v>0</v>
      </c>
      <c r="NXI208" s="128">
        <f>DATA!NXL35</f>
        <v>0</v>
      </c>
      <c r="NXJ208" s="128">
        <f>DATA!NXM35</f>
        <v>0</v>
      </c>
      <c r="NXK208" s="128">
        <f>DATA!NXN35</f>
        <v>0</v>
      </c>
      <c r="NXL208" s="128">
        <f>DATA!NXO35</f>
        <v>0</v>
      </c>
      <c r="NXM208" s="128">
        <f>DATA!NXP35</f>
        <v>0</v>
      </c>
      <c r="NXN208" s="128">
        <f>DATA!NXQ35</f>
        <v>0</v>
      </c>
      <c r="NXO208" s="128">
        <f>DATA!NXR35</f>
        <v>0</v>
      </c>
      <c r="NXP208" s="128">
        <f>DATA!NXS35</f>
        <v>0</v>
      </c>
      <c r="NXQ208" s="128">
        <f>DATA!NXT35</f>
        <v>0</v>
      </c>
      <c r="NXR208" s="128">
        <f>DATA!NXU35</f>
        <v>0</v>
      </c>
      <c r="NXS208" s="128">
        <f>DATA!NXV35</f>
        <v>0</v>
      </c>
      <c r="NXT208" s="128">
        <f>DATA!NXW35</f>
        <v>0</v>
      </c>
      <c r="NXU208" s="128">
        <f>DATA!NXX35</f>
        <v>0</v>
      </c>
      <c r="NXV208" s="128">
        <f>DATA!NXY35</f>
        <v>0</v>
      </c>
      <c r="NXW208" s="128">
        <f>DATA!NXZ35</f>
        <v>0</v>
      </c>
      <c r="NXX208" s="128">
        <f>DATA!NYA35</f>
        <v>0</v>
      </c>
      <c r="NXY208" s="128">
        <f>DATA!NYB35</f>
        <v>0</v>
      </c>
      <c r="NXZ208" s="128">
        <f>DATA!NYC35</f>
        <v>0</v>
      </c>
      <c r="NYA208" s="128">
        <f>DATA!NYD35</f>
        <v>0</v>
      </c>
      <c r="NYB208" s="128">
        <f>DATA!NYE35</f>
        <v>0</v>
      </c>
      <c r="NYC208" s="128">
        <f>DATA!NYF35</f>
        <v>0</v>
      </c>
      <c r="NYD208" s="128">
        <f>DATA!NYG35</f>
        <v>0</v>
      </c>
      <c r="NYE208" s="128">
        <f>DATA!NYH35</f>
        <v>0</v>
      </c>
      <c r="NYF208" s="128">
        <f>DATA!NYI35</f>
        <v>0</v>
      </c>
      <c r="NYG208" s="128">
        <f>DATA!NYJ35</f>
        <v>0</v>
      </c>
      <c r="NYH208" s="128">
        <f>DATA!NYK35</f>
        <v>0</v>
      </c>
      <c r="NYI208" s="128">
        <f>DATA!NYL35</f>
        <v>0</v>
      </c>
      <c r="NYJ208" s="128">
        <f>DATA!NYM35</f>
        <v>0</v>
      </c>
      <c r="NYK208" s="128">
        <f>DATA!NYN35</f>
        <v>0</v>
      </c>
      <c r="NYL208" s="128">
        <f>DATA!NYO35</f>
        <v>0</v>
      </c>
      <c r="NYM208" s="128">
        <f>DATA!NYP35</f>
        <v>0</v>
      </c>
      <c r="NYN208" s="128">
        <f>DATA!NYQ35</f>
        <v>0</v>
      </c>
      <c r="NYO208" s="128">
        <f>DATA!NYR35</f>
        <v>0</v>
      </c>
      <c r="NYP208" s="128">
        <f>DATA!NYS35</f>
        <v>0</v>
      </c>
      <c r="NYQ208" s="128">
        <f>DATA!NYT35</f>
        <v>0</v>
      </c>
      <c r="NYR208" s="128">
        <f>DATA!NYU35</f>
        <v>0</v>
      </c>
      <c r="NYS208" s="128">
        <f>DATA!NYV35</f>
        <v>0</v>
      </c>
      <c r="NYT208" s="128">
        <f>DATA!NYW35</f>
        <v>0</v>
      </c>
      <c r="NYU208" s="128">
        <f>DATA!NYX35</f>
        <v>0</v>
      </c>
      <c r="NYV208" s="128">
        <f>DATA!NYY35</f>
        <v>0</v>
      </c>
      <c r="NYW208" s="128">
        <f>DATA!NYZ35</f>
        <v>0</v>
      </c>
      <c r="NYX208" s="128">
        <f>DATA!NZA35</f>
        <v>0</v>
      </c>
      <c r="NYY208" s="128">
        <f>DATA!NZB35</f>
        <v>0</v>
      </c>
      <c r="NYZ208" s="128">
        <f>DATA!NZC35</f>
        <v>0</v>
      </c>
      <c r="NZA208" s="128">
        <f>DATA!NZD35</f>
        <v>0</v>
      </c>
      <c r="NZB208" s="128">
        <f>DATA!NZE35</f>
        <v>0</v>
      </c>
      <c r="NZC208" s="128">
        <f>DATA!NZF35</f>
        <v>0</v>
      </c>
      <c r="NZD208" s="128">
        <f>DATA!NZG35</f>
        <v>0</v>
      </c>
      <c r="NZE208" s="128">
        <f>DATA!NZH35</f>
        <v>0</v>
      </c>
      <c r="NZF208" s="128">
        <f>DATA!NZI35</f>
        <v>0</v>
      </c>
      <c r="NZG208" s="128">
        <f>DATA!NZJ35</f>
        <v>0</v>
      </c>
      <c r="NZH208" s="128">
        <f>DATA!NZK35</f>
        <v>0</v>
      </c>
      <c r="NZI208" s="128">
        <f>DATA!NZL35</f>
        <v>0</v>
      </c>
      <c r="NZJ208" s="128">
        <f>DATA!NZM35</f>
        <v>0</v>
      </c>
      <c r="NZK208" s="128">
        <f>DATA!NZN35</f>
        <v>0</v>
      </c>
      <c r="NZL208" s="128">
        <f>DATA!NZO35</f>
        <v>0</v>
      </c>
      <c r="NZM208" s="128">
        <f>DATA!NZP35</f>
        <v>0</v>
      </c>
      <c r="NZN208" s="128">
        <f>DATA!NZQ35</f>
        <v>0</v>
      </c>
      <c r="NZO208" s="128">
        <f>DATA!NZR35</f>
        <v>0</v>
      </c>
      <c r="NZP208" s="128">
        <f>DATA!NZS35</f>
        <v>0</v>
      </c>
      <c r="NZQ208" s="128">
        <f>DATA!NZT35</f>
        <v>0</v>
      </c>
      <c r="NZR208" s="128">
        <f>DATA!NZU35</f>
        <v>0</v>
      </c>
      <c r="NZS208" s="128">
        <f>DATA!NZV35</f>
        <v>0</v>
      </c>
      <c r="NZT208" s="128">
        <f>DATA!NZW35</f>
        <v>0</v>
      </c>
      <c r="NZU208" s="128">
        <f>DATA!NZX35</f>
        <v>0</v>
      </c>
      <c r="NZV208" s="128">
        <f>DATA!NZY35</f>
        <v>0</v>
      </c>
      <c r="NZW208" s="128">
        <f>DATA!NZZ35</f>
        <v>0</v>
      </c>
      <c r="NZX208" s="128">
        <f>DATA!OAA35</f>
        <v>0</v>
      </c>
      <c r="NZY208" s="128">
        <f>DATA!OAB35</f>
        <v>0</v>
      </c>
      <c r="NZZ208" s="128">
        <f>DATA!OAC35</f>
        <v>0</v>
      </c>
      <c r="OAA208" s="128">
        <f>DATA!OAD35</f>
        <v>0</v>
      </c>
      <c r="OAB208" s="128">
        <f>DATA!OAE35</f>
        <v>0</v>
      </c>
      <c r="OAC208" s="128">
        <f>DATA!OAF35</f>
        <v>0</v>
      </c>
      <c r="OAD208" s="128">
        <f>DATA!OAG35</f>
        <v>0</v>
      </c>
      <c r="OAE208" s="128">
        <f>DATA!OAH35</f>
        <v>0</v>
      </c>
      <c r="OAF208" s="128">
        <f>DATA!OAI35</f>
        <v>0</v>
      </c>
      <c r="OAG208" s="128">
        <f>DATA!OAJ35</f>
        <v>0</v>
      </c>
      <c r="OAH208" s="128">
        <f>DATA!OAK35</f>
        <v>0</v>
      </c>
      <c r="OAI208" s="128">
        <f>DATA!OAL35</f>
        <v>0</v>
      </c>
      <c r="OAJ208" s="128">
        <f>DATA!OAM35</f>
        <v>0</v>
      </c>
      <c r="OAK208" s="128">
        <f>DATA!OAN35</f>
        <v>0</v>
      </c>
      <c r="OAL208" s="128">
        <f>DATA!OAO35</f>
        <v>0</v>
      </c>
      <c r="OAM208" s="128">
        <f>DATA!OAP35</f>
        <v>0</v>
      </c>
      <c r="OAN208" s="128">
        <f>DATA!OAQ35</f>
        <v>0</v>
      </c>
      <c r="OAO208" s="128">
        <f>DATA!OAR35</f>
        <v>0</v>
      </c>
      <c r="OAP208" s="128">
        <f>DATA!OAS35</f>
        <v>0</v>
      </c>
      <c r="OAQ208" s="128">
        <f>DATA!OAT35</f>
        <v>0</v>
      </c>
      <c r="OAR208" s="128">
        <f>DATA!OAU35</f>
        <v>0</v>
      </c>
      <c r="OAS208" s="128">
        <f>DATA!OAV35</f>
        <v>0</v>
      </c>
      <c r="OAT208" s="128">
        <f>DATA!OAW35</f>
        <v>0</v>
      </c>
      <c r="OAU208" s="128">
        <f>DATA!OAX35</f>
        <v>0</v>
      </c>
      <c r="OAV208" s="128">
        <f>DATA!OAY35</f>
        <v>0</v>
      </c>
      <c r="OAW208" s="128">
        <f>DATA!OAZ35</f>
        <v>0</v>
      </c>
      <c r="OAX208" s="128">
        <f>DATA!OBA35</f>
        <v>0</v>
      </c>
      <c r="OAY208" s="128">
        <f>DATA!OBB35</f>
        <v>0</v>
      </c>
      <c r="OAZ208" s="128">
        <f>DATA!OBC35</f>
        <v>0</v>
      </c>
      <c r="OBA208" s="128">
        <f>DATA!OBD35</f>
        <v>0</v>
      </c>
      <c r="OBB208" s="128">
        <f>DATA!OBE35</f>
        <v>0</v>
      </c>
      <c r="OBC208" s="128">
        <f>DATA!OBF35</f>
        <v>0</v>
      </c>
      <c r="OBD208" s="128">
        <f>DATA!OBG35</f>
        <v>0</v>
      </c>
      <c r="OBE208" s="128">
        <f>DATA!OBH35</f>
        <v>0</v>
      </c>
      <c r="OBF208" s="128">
        <f>DATA!OBI35</f>
        <v>0</v>
      </c>
      <c r="OBG208" s="128">
        <f>DATA!OBJ35</f>
        <v>0</v>
      </c>
      <c r="OBH208" s="128">
        <f>DATA!OBK35</f>
        <v>0</v>
      </c>
      <c r="OBI208" s="128">
        <f>DATA!OBL35</f>
        <v>0</v>
      </c>
      <c r="OBJ208" s="128">
        <f>DATA!OBM35</f>
        <v>0</v>
      </c>
      <c r="OBK208" s="128">
        <f>DATA!OBN35</f>
        <v>0</v>
      </c>
      <c r="OBL208" s="128">
        <f>DATA!OBO35</f>
        <v>0</v>
      </c>
      <c r="OBM208" s="128">
        <f>DATA!OBP35</f>
        <v>0</v>
      </c>
      <c r="OBN208" s="128">
        <f>DATA!OBQ35</f>
        <v>0</v>
      </c>
      <c r="OBO208" s="128">
        <f>DATA!OBR35</f>
        <v>0</v>
      </c>
      <c r="OBP208" s="128">
        <f>DATA!OBS35</f>
        <v>0</v>
      </c>
      <c r="OBQ208" s="128">
        <f>DATA!OBT35</f>
        <v>0</v>
      </c>
      <c r="OBR208" s="128">
        <f>DATA!OBU35</f>
        <v>0</v>
      </c>
      <c r="OBS208" s="128">
        <f>DATA!OBV35</f>
        <v>0</v>
      </c>
      <c r="OBT208" s="128">
        <f>DATA!OBW35</f>
        <v>0</v>
      </c>
      <c r="OBU208" s="128">
        <f>DATA!OBX35</f>
        <v>0</v>
      </c>
      <c r="OBV208" s="128">
        <f>DATA!OBY35</f>
        <v>0</v>
      </c>
      <c r="OBW208" s="128">
        <f>DATA!OBZ35</f>
        <v>0</v>
      </c>
      <c r="OBX208" s="128">
        <f>DATA!OCA35</f>
        <v>0</v>
      </c>
      <c r="OBY208" s="128">
        <f>DATA!OCB35</f>
        <v>0</v>
      </c>
      <c r="OBZ208" s="128">
        <f>DATA!OCC35</f>
        <v>0</v>
      </c>
      <c r="OCA208" s="128">
        <f>DATA!OCD35</f>
        <v>0</v>
      </c>
      <c r="OCB208" s="128">
        <f>DATA!OCE35</f>
        <v>0</v>
      </c>
      <c r="OCC208" s="128">
        <f>DATA!OCF35</f>
        <v>0</v>
      </c>
      <c r="OCD208" s="128">
        <f>DATA!OCG35</f>
        <v>0</v>
      </c>
      <c r="OCE208" s="128">
        <f>DATA!OCH35</f>
        <v>0</v>
      </c>
      <c r="OCF208" s="128">
        <f>DATA!OCI35</f>
        <v>0</v>
      </c>
      <c r="OCG208" s="128">
        <f>DATA!OCJ35</f>
        <v>0</v>
      </c>
      <c r="OCH208" s="128">
        <f>DATA!OCK35</f>
        <v>0</v>
      </c>
      <c r="OCI208" s="128">
        <f>DATA!OCL35</f>
        <v>0</v>
      </c>
      <c r="OCJ208" s="128">
        <f>DATA!OCM35</f>
        <v>0</v>
      </c>
      <c r="OCK208" s="128">
        <f>DATA!OCN35</f>
        <v>0</v>
      </c>
      <c r="OCL208" s="128">
        <f>DATA!OCO35</f>
        <v>0</v>
      </c>
      <c r="OCM208" s="128">
        <f>DATA!OCP35</f>
        <v>0</v>
      </c>
      <c r="OCN208" s="128">
        <f>DATA!OCQ35</f>
        <v>0</v>
      </c>
      <c r="OCO208" s="128">
        <f>DATA!OCR35</f>
        <v>0</v>
      </c>
      <c r="OCP208" s="128">
        <f>DATA!OCS35</f>
        <v>0</v>
      </c>
      <c r="OCQ208" s="128">
        <f>DATA!OCT35</f>
        <v>0</v>
      </c>
      <c r="OCR208" s="128">
        <f>DATA!OCU35</f>
        <v>0</v>
      </c>
      <c r="OCS208" s="128">
        <f>DATA!OCV35</f>
        <v>0</v>
      </c>
      <c r="OCT208" s="128">
        <f>DATA!OCW35</f>
        <v>0</v>
      </c>
      <c r="OCU208" s="128">
        <f>DATA!OCX35</f>
        <v>0</v>
      </c>
      <c r="OCV208" s="128">
        <f>DATA!OCY35</f>
        <v>0</v>
      </c>
      <c r="OCW208" s="128">
        <f>DATA!OCZ35</f>
        <v>0</v>
      </c>
      <c r="OCX208" s="128">
        <f>DATA!ODA35</f>
        <v>0</v>
      </c>
      <c r="OCY208" s="128">
        <f>DATA!ODB35</f>
        <v>0</v>
      </c>
      <c r="OCZ208" s="128">
        <f>DATA!ODC35</f>
        <v>0</v>
      </c>
      <c r="ODA208" s="128">
        <f>DATA!ODD35</f>
        <v>0</v>
      </c>
      <c r="ODB208" s="128">
        <f>DATA!ODE35</f>
        <v>0</v>
      </c>
      <c r="ODC208" s="128">
        <f>DATA!ODF35</f>
        <v>0</v>
      </c>
      <c r="ODD208" s="128">
        <f>DATA!ODG35</f>
        <v>0</v>
      </c>
      <c r="ODE208" s="128">
        <f>DATA!ODH35</f>
        <v>0</v>
      </c>
      <c r="ODF208" s="128">
        <f>DATA!ODI35</f>
        <v>0</v>
      </c>
      <c r="ODG208" s="128">
        <f>DATA!ODJ35</f>
        <v>0</v>
      </c>
      <c r="ODH208" s="128">
        <f>DATA!ODK35</f>
        <v>0</v>
      </c>
      <c r="ODI208" s="128">
        <f>DATA!ODL35</f>
        <v>0</v>
      </c>
      <c r="ODJ208" s="128">
        <f>DATA!ODM35</f>
        <v>0</v>
      </c>
      <c r="ODK208" s="128">
        <f>DATA!ODN35</f>
        <v>0</v>
      </c>
      <c r="ODL208" s="128">
        <f>DATA!ODO35</f>
        <v>0</v>
      </c>
      <c r="ODM208" s="128">
        <f>DATA!ODP35</f>
        <v>0</v>
      </c>
      <c r="ODN208" s="128">
        <f>DATA!ODQ35</f>
        <v>0</v>
      </c>
      <c r="ODO208" s="128">
        <f>DATA!ODR35</f>
        <v>0</v>
      </c>
      <c r="ODP208" s="128">
        <f>DATA!ODS35</f>
        <v>0</v>
      </c>
      <c r="ODQ208" s="128">
        <f>DATA!ODT35</f>
        <v>0</v>
      </c>
      <c r="ODR208" s="128">
        <f>DATA!ODU35</f>
        <v>0</v>
      </c>
      <c r="ODS208" s="128">
        <f>DATA!ODV35</f>
        <v>0</v>
      </c>
      <c r="ODT208" s="128">
        <f>DATA!ODW35</f>
        <v>0</v>
      </c>
      <c r="ODU208" s="128">
        <f>DATA!ODX35</f>
        <v>0</v>
      </c>
      <c r="ODV208" s="128">
        <f>DATA!ODY35</f>
        <v>0</v>
      </c>
      <c r="ODW208" s="128">
        <f>DATA!ODZ35</f>
        <v>0</v>
      </c>
      <c r="ODX208" s="128">
        <f>DATA!OEA35</f>
        <v>0</v>
      </c>
      <c r="ODY208" s="128">
        <f>DATA!OEB35</f>
        <v>0</v>
      </c>
      <c r="ODZ208" s="128">
        <f>DATA!OEC35</f>
        <v>0</v>
      </c>
      <c r="OEA208" s="128">
        <f>DATA!OED35</f>
        <v>0</v>
      </c>
      <c r="OEB208" s="128">
        <f>DATA!OEE35</f>
        <v>0</v>
      </c>
      <c r="OEC208" s="128">
        <f>DATA!OEF35</f>
        <v>0</v>
      </c>
      <c r="OED208" s="128">
        <f>DATA!OEG35</f>
        <v>0</v>
      </c>
      <c r="OEE208" s="128">
        <f>DATA!OEH35</f>
        <v>0</v>
      </c>
      <c r="OEF208" s="128">
        <f>DATA!OEI35</f>
        <v>0</v>
      </c>
      <c r="OEG208" s="128">
        <f>DATA!OEJ35</f>
        <v>0</v>
      </c>
      <c r="OEH208" s="128">
        <f>DATA!OEK35</f>
        <v>0</v>
      </c>
      <c r="OEI208" s="128">
        <f>DATA!OEL35</f>
        <v>0</v>
      </c>
      <c r="OEJ208" s="128">
        <f>DATA!OEM35</f>
        <v>0</v>
      </c>
      <c r="OEK208" s="128">
        <f>DATA!OEN35</f>
        <v>0</v>
      </c>
      <c r="OEL208" s="128">
        <f>DATA!OEO35</f>
        <v>0</v>
      </c>
      <c r="OEM208" s="128">
        <f>DATA!OEP35</f>
        <v>0</v>
      </c>
      <c r="OEN208" s="128">
        <f>DATA!OEQ35</f>
        <v>0</v>
      </c>
      <c r="OEO208" s="128">
        <f>DATA!OER35</f>
        <v>0</v>
      </c>
      <c r="OEP208" s="128">
        <f>DATA!OES35</f>
        <v>0</v>
      </c>
      <c r="OEQ208" s="128">
        <f>DATA!OET35</f>
        <v>0</v>
      </c>
      <c r="OER208" s="128">
        <f>DATA!OEU35</f>
        <v>0</v>
      </c>
      <c r="OES208" s="128">
        <f>DATA!OEV35</f>
        <v>0</v>
      </c>
      <c r="OET208" s="128">
        <f>DATA!OEW35</f>
        <v>0</v>
      </c>
      <c r="OEU208" s="128">
        <f>DATA!OEX35</f>
        <v>0</v>
      </c>
      <c r="OEV208" s="128">
        <f>DATA!OEY35</f>
        <v>0</v>
      </c>
      <c r="OEW208" s="128">
        <f>DATA!OEZ35</f>
        <v>0</v>
      </c>
      <c r="OEX208" s="128">
        <f>DATA!OFA35</f>
        <v>0</v>
      </c>
      <c r="OEY208" s="128">
        <f>DATA!OFB35</f>
        <v>0</v>
      </c>
      <c r="OEZ208" s="128">
        <f>DATA!OFC35</f>
        <v>0</v>
      </c>
      <c r="OFA208" s="128">
        <f>DATA!OFD35</f>
        <v>0</v>
      </c>
      <c r="OFB208" s="128">
        <f>DATA!OFE35</f>
        <v>0</v>
      </c>
      <c r="OFC208" s="128">
        <f>DATA!OFF35</f>
        <v>0</v>
      </c>
      <c r="OFD208" s="128">
        <f>DATA!OFG35</f>
        <v>0</v>
      </c>
      <c r="OFE208" s="128">
        <f>DATA!OFH35</f>
        <v>0</v>
      </c>
      <c r="OFF208" s="128">
        <f>DATA!OFI35</f>
        <v>0</v>
      </c>
      <c r="OFG208" s="128">
        <f>DATA!OFJ35</f>
        <v>0</v>
      </c>
      <c r="OFH208" s="128">
        <f>DATA!OFK35</f>
        <v>0</v>
      </c>
      <c r="OFI208" s="128">
        <f>DATA!OFL35</f>
        <v>0</v>
      </c>
      <c r="OFJ208" s="128">
        <f>DATA!OFM35</f>
        <v>0</v>
      </c>
      <c r="OFK208" s="128">
        <f>DATA!OFN35</f>
        <v>0</v>
      </c>
      <c r="OFL208" s="128">
        <f>DATA!OFO35</f>
        <v>0</v>
      </c>
      <c r="OFM208" s="128">
        <f>DATA!OFP35</f>
        <v>0</v>
      </c>
      <c r="OFN208" s="128">
        <f>DATA!OFQ35</f>
        <v>0</v>
      </c>
      <c r="OFO208" s="128">
        <f>DATA!OFR35</f>
        <v>0</v>
      </c>
      <c r="OFP208" s="128">
        <f>DATA!OFS35</f>
        <v>0</v>
      </c>
      <c r="OFQ208" s="128">
        <f>DATA!OFT35</f>
        <v>0</v>
      </c>
      <c r="OFR208" s="128">
        <f>DATA!OFU35</f>
        <v>0</v>
      </c>
      <c r="OFS208" s="128">
        <f>DATA!OFV35</f>
        <v>0</v>
      </c>
      <c r="OFT208" s="128">
        <f>DATA!OFW35</f>
        <v>0</v>
      </c>
      <c r="OFU208" s="128">
        <f>DATA!OFX35</f>
        <v>0</v>
      </c>
      <c r="OFV208" s="128">
        <f>DATA!OFY35</f>
        <v>0</v>
      </c>
      <c r="OFW208" s="128">
        <f>DATA!OFZ35</f>
        <v>0</v>
      </c>
      <c r="OFX208" s="128">
        <f>DATA!OGA35</f>
        <v>0</v>
      </c>
      <c r="OFY208" s="128">
        <f>DATA!OGB35</f>
        <v>0</v>
      </c>
      <c r="OFZ208" s="128">
        <f>DATA!OGC35</f>
        <v>0</v>
      </c>
      <c r="OGA208" s="128">
        <f>DATA!OGD35</f>
        <v>0</v>
      </c>
      <c r="OGB208" s="128">
        <f>DATA!OGE35</f>
        <v>0</v>
      </c>
      <c r="OGC208" s="128">
        <f>DATA!OGF35</f>
        <v>0</v>
      </c>
      <c r="OGD208" s="128">
        <f>DATA!OGG35</f>
        <v>0</v>
      </c>
      <c r="OGE208" s="128">
        <f>DATA!OGH35</f>
        <v>0</v>
      </c>
      <c r="OGF208" s="128">
        <f>DATA!OGI35</f>
        <v>0</v>
      </c>
      <c r="OGG208" s="128">
        <f>DATA!OGJ35</f>
        <v>0</v>
      </c>
      <c r="OGH208" s="128">
        <f>DATA!OGK35</f>
        <v>0</v>
      </c>
      <c r="OGI208" s="128">
        <f>DATA!OGL35</f>
        <v>0</v>
      </c>
      <c r="OGJ208" s="128">
        <f>DATA!OGM35</f>
        <v>0</v>
      </c>
      <c r="OGK208" s="128">
        <f>DATA!OGN35</f>
        <v>0</v>
      </c>
      <c r="OGL208" s="128">
        <f>DATA!OGO35</f>
        <v>0</v>
      </c>
      <c r="OGM208" s="128">
        <f>DATA!OGP35</f>
        <v>0</v>
      </c>
      <c r="OGN208" s="128">
        <f>DATA!OGQ35</f>
        <v>0</v>
      </c>
      <c r="OGO208" s="128">
        <f>DATA!OGR35</f>
        <v>0</v>
      </c>
      <c r="OGP208" s="128">
        <f>DATA!OGS35</f>
        <v>0</v>
      </c>
      <c r="OGQ208" s="128">
        <f>DATA!OGT35</f>
        <v>0</v>
      </c>
      <c r="OGR208" s="128">
        <f>DATA!OGU35</f>
        <v>0</v>
      </c>
      <c r="OGS208" s="128">
        <f>DATA!OGV35</f>
        <v>0</v>
      </c>
      <c r="OGT208" s="128">
        <f>DATA!OGW35</f>
        <v>0</v>
      </c>
      <c r="OGU208" s="128">
        <f>DATA!OGX35</f>
        <v>0</v>
      </c>
      <c r="OGV208" s="128">
        <f>DATA!OGY35</f>
        <v>0</v>
      </c>
      <c r="OGW208" s="128">
        <f>DATA!OGZ35</f>
        <v>0</v>
      </c>
      <c r="OGX208" s="128">
        <f>DATA!OHA35</f>
        <v>0</v>
      </c>
      <c r="OGY208" s="128">
        <f>DATA!OHB35</f>
        <v>0</v>
      </c>
      <c r="OGZ208" s="128">
        <f>DATA!OHC35</f>
        <v>0</v>
      </c>
      <c r="OHA208" s="128">
        <f>DATA!OHD35</f>
        <v>0</v>
      </c>
      <c r="OHB208" s="128">
        <f>DATA!OHE35</f>
        <v>0</v>
      </c>
      <c r="OHC208" s="128">
        <f>DATA!OHF35</f>
        <v>0</v>
      </c>
      <c r="OHD208" s="128">
        <f>DATA!OHG35</f>
        <v>0</v>
      </c>
      <c r="OHE208" s="128">
        <f>DATA!OHH35</f>
        <v>0</v>
      </c>
      <c r="OHF208" s="128">
        <f>DATA!OHI35</f>
        <v>0</v>
      </c>
      <c r="OHG208" s="128">
        <f>DATA!OHJ35</f>
        <v>0</v>
      </c>
      <c r="OHH208" s="128">
        <f>DATA!OHK35</f>
        <v>0</v>
      </c>
      <c r="OHI208" s="128">
        <f>DATA!OHL35</f>
        <v>0</v>
      </c>
      <c r="OHJ208" s="128">
        <f>DATA!OHM35</f>
        <v>0</v>
      </c>
      <c r="OHK208" s="128">
        <f>DATA!OHN35</f>
        <v>0</v>
      </c>
      <c r="OHL208" s="128">
        <f>DATA!OHO35</f>
        <v>0</v>
      </c>
      <c r="OHM208" s="128">
        <f>DATA!OHP35</f>
        <v>0</v>
      </c>
      <c r="OHN208" s="128">
        <f>DATA!OHQ35</f>
        <v>0</v>
      </c>
      <c r="OHO208" s="128">
        <f>DATA!OHR35</f>
        <v>0</v>
      </c>
      <c r="OHP208" s="128">
        <f>DATA!OHS35</f>
        <v>0</v>
      </c>
      <c r="OHQ208" s="128">
        <f>DATA!OHT35</f>
        <v>0</v>
      </c>
      <c r="OHR208" s="128">
        <f>DATA!OHU35</f>
        <v>0</v>
      </c>
      <c r="OHS208" s="128">
        <f>DATA!OHV35</f>
        <v>0</v>
      </c>
      <c r="OHT208" s="128">
        <f>DATA!OHW35</f>
        <v>0</v>
      </c>
      <c r="OHU208" s="128">
        <f>DATA!OHX35</f>
        <v>0</v>
      </c>
      <c r="OHV208" s="128">
        <f>DATA!OHY35</f>
        <v>0</v>
      </c>
      <c r="OHW208" s="128">
        <f>DATA!OHZ35</f>
        <v>0</v>
      </c>
      <c r="OHX208" s="128">
        <f>DATA!OIA35</f>
        <v>0</v>
      </c>
      <c r="OHY208" s="128">
        <f>DATA!OIB35</f>
        <v>0</v>
      </c>
      <c r="OHZ208" s="128">
        <f>DATA!OIC35</f>
        <v>0</v>
      </c>
      <c r="OIA208" s="128">
        <f>DATA!OID35</f>
        <v>0</v>
      </c>
      <c r="OIB208" s="128">
        <f>DATA!OIE35</f>
        <v>0</v>
      </c>
      <c r="OIC208" s="128">
        <f>DATA!OIF35</f>
        <v>0</v>
      </c>
      <c r="OID208" s="128">
        <f>DATA!OIG35</f>
        <v>0</v>
      </c>
      <c r="OIE208" s="128">
        <f>DATA!OIH35</f>
        <v>0</v>
      </c>
      <c r="OIF208" s="128">
        <f>DATA!OII35</f>
        <v>0</v>
      </c>
      <c r="OIG208" s="128">
        <f>DATA!OIJ35</f>
        <v>0</v>
      </c>
      <c r="OIH208" s="128">
        <f>DATA!OIK35</f>
        <v>0</v>
      </c>
      <c r="OII208" s="128">
        <f>DATA!OIL35</f>
        <v>0</v>
      </c>
      <c r="OIJ208" s="128">
        <f>DATA!OIM35</f>
        <v>0</v>
      </c>
      <c r="OIK208" s="128">
        <f>DATA!OIN35</f>
        <v>0</v>
      </c>
      <c r="OIL208" s="128">
        <f>DATA!OIO35</f>
        <v>0</v>
      </c>
      <c r="OIM208" s="128">
        <f>DATA!OIP35</f>
        <v>0</v>
      </c>
      <c r="OIN208" s="128">
        <f>DATA!OIQ35</f>
        <v>0</v>
      </c>
      <c r="OIO208" s="128">
        <f>DATA!OIR35</f>
        <v>0</v>
      </c>
      <c r="OIP208" s="128">
        <f>DATA!OIS35</f>
        <v>0</v>
      </c>
      <c r="OIQ208" s="128">
        <f>DATA!OIT35</f>
        <v>0</v>
      </c>
      <c r="OIR208" s="128">
        <f>DATA!OIU35</f>
        <v>0</v>
      </c>
      <c r="OIS208" s="128">
        <f>DATA!OIV35</f>
        <v>0</v>
      </c>
      <c r="OIT208" s="128">
        <f>DATA!OIW35</f>
        <v>0</v>
      </c>
      <c r="OIU208" s="128">
        <f>DATA!OIX35</f>
        <v>0</v>
      </c>
      <c r="OIV208" s="128">
        <f>DATA!OIY35</f>
        <v>0</v>
      </c>
      <c r="OIW208" s="128">
        <f>DATA!OIZ35</f>
        <v>0</v>
      </c>
      <c r="OIX208" s="128">
        <f>DATA!OJA35</f>
        <v>0</v>
      </c>
      <c r="OIY208" s="128">
        <f>DATA!OJB35</f>
        <v>0</v>
      </c>
      <c r="OIZ208" s="128">
        <f>DATA!OJC35</f>
        <v>0</v>
      </c>
      <c r="OJA208" s="128">
        <f>DATA!OJD35</f>
        <v>0</v>
      </c>
      <c r="OJB208" s="128">
        <f>DATA!OJE35</f>
        <v>0</v>
      </c>
      <c r="OJC208" s="128">
        <f>DATA!OJF35</f>
        <v>0</v>
      </c>
      <c r="OJD208" s="128">
        <f>DATA!OJG35</f>
        <v>0</v>
      </c>
      <c r="OJE208" s="128">
        <f>DATA!OJH35</f>
        <v>0</v>
      </c>
      <c r="OJF208" s="128">
        <f>DATA!OJI35</f>
        <v>0</v>
      </c>
      <c r="OJG208" s="128">
        <f>DATA!OJJ35</f>
        <v>0</v>
      </c>
      <c r="OJH208" s="128">
        <f>DATA!OJK35</f>
        <v>0</v>
      </c>
      <c r="OJI208" s="128">
        <f>DATA!OJL35</f>
        <v>0</v>
      </c>
      <c r="OJJ208" s="128">
        <f>DATA!OJM35</f>
        <v>0</v>
      </c>
      <c r="OJK208" s="128">
        <f>DATA!OJN35</f>
        <v>0</v>
      </c>
      <c r="OJL208" s="128">
        <f>DATA!OJO35</f>
        <v>0</v>
      </c>
      <c r="OJM208" s="128">
        <f>DATA!OJP35</f>
        <v>0</v>
      </c>
      <c r="OJN208" s="128">
        <f>DATA!OJQ35</f>
        <v>0</v>
      </c>
      <c r="OJO208" s="128">
        <f>DATA!OJR35</f>
        <v>0</v>
      </c>
      <c r="OJP208" s="128">
        <f>DATA!OJS35</f>
        <v>0</v>
      </c>
      <c r="OJQ208" s="128">
        <f>DATA!OJT35</f>
        <v>0</v>
      </c>
      <c r="OJR208" s="128">
        <f>DATA!OJU35</f>
        <v>0</v>
      </c>
      <c r="OJS208" s="128">
        <f>DATA!OJV35</f>
        <v>0</v>
      </c>
      <c r="OJT208" s="128">
        <f>DATA!OJW35</f>
        <v>0</v>
      </c>
      <c r="OJU208" s="128">
        <f>DATA!OJX35</f>
        <v>0</v>
      </c>
      <c r="OJV208" s="128">
        <f>DATA!OJY35</f>
        <v>0</v>
      </c>
      <c r="OJW208" s="128">
        <f>DATA!OJZ35</f>
        <v>0</v>
      </c>
      <c r="OJX208" s="128">
        <f>DATA!OKA35</f>
        <v>0</v>
      </c>
      <c r="OJY208" s="128">
        <f>DATA!OKB35</f>
        <v>0</v>
      </c>
      <c r="OJZ208" s="128">
        <f>DATA!OKC35</f>
        <v>0</v>
      </c>
      <c r="OKA208" s="128">
        <f>DATA!OKD35</f>
        <v>0</v>
      </c>
      <c r="OKB208" s="128">
        <f>DATA!OKE35</f>
        <v>0</v>
      </c>
      <c r="OKC208" s="128">
        <f>DATA!OKF35</f>
        <v>0</v>
      </c>
      <c r="OKD208" s="128">
        <f>DATA!OKG35</f>
        <v>0</v>
      </c>
      <c r="OKE208" s="128">
        <f>DATA!OKH35</f>
        <v>0</v>
      </c>
      <c r="OKF208" s="128">
        <f>DATA!OKI35</f>
        <v>0</v>
      </c>
      <c r="OKG208" s="128">
        <f>DATA!OKJ35</f>
        <v>0</v>
      </c>
      <c r="OKH208" s="128">
        <f>DATA!OKK35</f>
        <v>0</v>
      </c>
      <c r="OKI208" s="128">
        <f>DATA!OKL35</f>
        <v>0</v>
      </c>
      <c r="OKJ208" s="128">
        <f>DATA!OKM35</f>
        <v>0</v>
      </c>
      <c r="OKK208" s="128">
        <f>DATA!OKN35</f>
        <v>0</v>
      </c>
      <c r="OKL208" s="128">
        <f>DATA!OKO35</f>
        <v>0</v>
      </c>
      <c r="OKM208" s="128">
        <f>DATA!OKP35</f>
        <v>0</v>
      </c>
      <c r="OKN208" s="128">
        <f>DATA!OKQ35</f>
        <v>0</v>
      </c>
      <c r="OKO208" s="128">
        <f>DATA!OKR35</f>
        <v>0</v>
      </c>
      <c r="OKP208" s="128">
        <f>DATA!OKS35</f>
        <v>0</v>
      </c>
      <c r="OKQ208" s="128">
        <f>DATA!OKT35</f>
        <v>0</v>
      </c>
      <c r="OKR208" s="128">
        <f>DATA!OKU35</f>
        <v>0</v>
      </c>
      <c r="OKS208" s="128">
        <f>DATA!OKV35</f>
        <v>0</v>
      </c>
      <c r="OKT208" s="128">
        <f>DATA!OKW35</f>
        <v>0</v>
      </c>
      <c r="OKU208" s="128">
        <f>DATA!OKX35</f>
        <v>0</v>
      </c>
      <c r="OKV208" s="128">
        <f>DATA!OKY35</f>
        <v>0</v>
      </c>
      <c r="OKW208" s="128">
        <f>DATA!OKZ35</f>
        <v>0</v>
      </c>
      <c r="OKX208" s="128">
        <f>DATA!OLA35</f>
        <v>0</v>
      </c>
      <c r="OKY208" s="128">
        <f>DATA!OLB35</f>
        <v>0</v>
      </c>
      <c r="OKZ208" s="128">
        <f>DATA!OLC35</f>
        <v>0</v>
      </c>
      <c r="OLA208" s="128">
        <f>DATA!OLD35</f>
        <v>0</v>
      </c>
      <c r="OLB208" s="128">
        <f>DATA!OLE35</f>
        <v>0</v>
      </c>
      <c r="OLC208" s="128">
        <f>DATA!OLF35</f>
        <v>0</v>
      </c>
      <c r="OLD208" s="128">
        <f>DATA!OLG35</f>
        <v>0</v>
      </c>
      <c r="OLE208" s="128">
        <f>DATA!OLH35</f>
        <v>0</v>
      </c>
      <c r="OLF208" s="128">
        <f>DATA!OLI35</f>
        <v>0</v>
      </c>
      <c r="OLG208" s="128">
        <f>DATA!OLJ35</f>
        <v>0</v>
      </c>
      <c r="OLH208" s="128">
        <f>DATA!OLK35</f>
        <v>0</v>
      </c>
      <c r="OLI208" s="128">
        <f>DATA!OLL35</f>
        <v>0</v>
      </c>
      <c r="OLJ208" s="128">
        <f>DATA!OLM35</f>
        <v>0</v>
      </c>
      <c r="OLK208" s="128">
        <f>DATA!OLN35</f>
        <v>0</v>
      </c>
      <c r="OLL208" s="128">
        <f>DATA!OLO35</f>
        <v>0</v>
      </c>
      <c r="OLM208" s="128">
        <f>DATA!OLP35</f>
        <v>0</v>
      </c>
      <c r="OLN208" s="128">
        <f>DATA!OLQ35</f>
        <v>0</v>
      </c>
      <c r="OLO208" s="128">
        <f>DATA!OLR35</f>
        <v>0</v>
      </c>
      <c r="OLP208" s="128">
        <f>DATA!OLS35</f>
        <v>0</v>
      </c>
      <c r="OLQ208" s="128">
        <f>DATA!OLT35</f>
        <v>0</v>
      </c>
      <c r="OLR208" s="128">
        <f>DATA!OLU35</f>
        <v>0</v>
      </c>
      <c r="OLS208" s="128">
        <f>DATA!OLV35</f>
        <v>0</v>
      </c>
      <c r="OLT208" s="128">
        <f>DATA!OLW35</f>
        <v>0</v>
      </c>
      <c r="OLU208" s="128">
        <f>DATA!OLX35</f>
        <v>0</v>
      </c>
      <c r="OLV208" s="128">
        <f>DATA!OLY35</f>
        <v>0</v>
      </c>
      <c r="OLW208" s="128">
        <f>DATA!OLZ35</f>
        <v>0</v>
      </c>
      <c r="OLX208" s="128">
        <f>DATA!OMA35</f>
        <v>0</v>
      </c>
      <c r="OLY208" s="128">
        <f>DATA!OMB35</f>
        <v>0</v>
      </c>
      <c r="OLZ208" s="128">
        <f>DATA!OMC35</f>
        <v>0</v>
      </c>
      <c r="OMA208" s="128">
        <f>DATA!OMD35</f>
        <v>0</v>
      </c>
      <c r="OMB208" s="128">
        <f>DATA!OME35</f>
        <v>0</v>
      </c>
      <c r="OMC208" s="128">
        <f>DATA!OMF35</f>
        <v>0</v>
      </c>
      <c r="OMD208" s="128">
        <f>DATA!OMG35</f>
        <v>0</v>
      </c>
      <c r="OME208" s="128">
        <f>DATA!OMH35</f>
        <v>0</v>
      </c>
      <c r="OMF208" s="128">
        <f>DATA!OMI35</f>
        <v>0</v>
      </c>
      <c r="OMG208" s="128">
        <f>DATA!OMJ35</f>
        <v>0</v>
      </c>
      <c r="OMH208" s="128">
        <f>DATA!OMK35</f>
        <v>0</v>
      </c>
      <c r="OMI208" s="128">
        <f>DATA!OML35</f>
        <v>0</v>
      </c>
      <c r="OMJ208" s="128">
        <f>DATA!OMM35</f>
        <v>0</v>
      </c>
      <c r="OMK208" s="128">
        <f>DATA!OMN35</f>
        <v>0</v>
      </c>
      <c r="OML208" s="128">
        <f>DATA!OMO35</f>
        <v>0</v>
      </c>
      <c r="OMM208" s="128">
        <f>DATA!OMP35</f>
        <v>0</v>
      </c>
      <c r="OMN208" s="128">
        <f>DATA!OMQ35</f>
        <v>0</v>
      </c>
      <c r="OMO208" s="128">
        <f>DATA!OMR35</f>
        <v>0</v>
      </c>
      <c r="OMP208" s="128">
        <f>DATA!OMS35</f>
        <v>0</v>
      </c>
      <c r="OMQ208" s="128">
        <f>DATA!OMT35</f>
        <v>0</v>
      </c>
      <c r="OMR208" s="128">
        <f>DATA!OMU35</f>
        <v>0</v>
      </c>
      <c r="OMS208" s="128">
        <f>DATA!OMV35</f>
        <v>0</v>
      </c>
      <c r="OMT208" s="128">
        <f>DATA!OMW35</f>
        <v>0</v>
      </c>
      <c r="OMU208" s="128">
        <f>DATA!OMX35</f>
        <v>0</v>
      </c>
      <c r="OMV208" s="128">
        <f>DATA!OMY35</f>
        <v>0</v>
      </c>
      <c r="OMW208" s="128">
        <f>DATA!OMZ35</f>
        <v>0</v>
      </c>
      <c r="OMX208" s="128">
        <f>DATA!ONA35</f>
        <v>0</v>
      </c>
      <c r="OMY208" s="128">
        <f>DATA!ONB35</f>
        <v>0</v>
      </c>
      <c r="OMZ208" s="128">
        <f>DATA!ONC35</f>
        <v>0</v>
      </c>
      <c r="ONA208" s="128">
        <f>DATA!OND35</f>
        <v>0</v>
      </c>
      <c r="ONB208" s="128">
        <f>DATA!ONE35</f>
        <v>0</v>
      </c>
      <c r="ONC208" s="128">
        <f>DATA!ONF35</f>
        <v>0</v>
      </c>
      <c r="OND208" s="128">
        <f>DATA!ONG35</f>
        <v>0</v>
      </c>
      <c r="ONE208" s="128">
        <f>DATA!ONH35</f>
        <v>0</v>
      </c>
      <c r="ONF208" s="128">
        <f>DATA!ONI35</f>
        <v>0</v>
      </c>
      <c r="ONG208" s="128">
        <f>DATA!ONJ35</f>
        <v>0</v>
      </c>
      <c r="ONH208" s="128">
        <f>DATA!ONK35</f>
        <v>0</v>
      </c>
      <c r="ONI208" s="128">
        <f>DATA!ONL35</f>
        <v>0</v>
      </c>
      <c r="ONJ208" s="128">
        <f>DATA!ONM35</f>
        <v>0</v>
      </c>
      <c r="ONK208" s="128">
        <f>DATA!ONN35</f>
        <v>0</v>
      </c>
      <c r="ONL208" s="128">
        <f>DATA!ONO35</f>
        <v>0</v>
      </c>
      <c r="ONM208" s="128">
        <f>DATA!ONP35</f>
        <v>0</v>
      </c>
      <c r="ONN208" s="128">
        <f>DATA!ONQ35</f>
        <v>0</v>
      </c>
      <c r="ONO208" s="128">
        <f>DATA!ONR35</f>
        <v>0</v>
      </c>
      <c r="ONP208" s="128">
        <f>DATA!ONS35</f>
        <v>0</v>
      </c>
      <c r="ONQ208" s="128">
        <f>DATA!ONT35</f>
        <v>0</v>
      </c>
      <c r="ONR208" s="128">
        <f>DATA!ONU35</f>
        <v>0</v>
      </c>
      <c r="ONS208" s="128">
        <f>DATA!ONV35</f>
        <v>0</v>
      </c>
      <c r="ONT208" s="128">
        <f>DATA!ONW35</f>
        <v>0</v>
      </c>
      <c r="ONU208" s="128">
        <f>DATA!ONX35</f>
        <v>0</v>
      </c>
      <c r="ONV208" s="128">
        <f>DATA!ONY35</f>
        <v>0</v>
      </c>
      <c r="ONW208" s="128">
        <f>DATA!ONZ35</f>
        <v>0</v>
      </c>
      <c r="ONX208" s="128">
        <f>DATA!OOA35</f>
        <v>0</v>
      </c>
      <c r="ONY208" s="128">
        <f>DATA!OOB35</f>
        <v>0</v>
      </c>
      <c r="ONZ208" s="128">
        <f>DATA!OOC35</f>
        <v>0</v>
      </c>
      <c r="OOA208" s="128">
        <f>DATA!OOD35</f>
        <v>0</v>
      </c>
      <c r="OOB208" s="128">
        <f>DATA!OOE35</f>
        <v>0</v>
      </c>
      <c r="OOC208" s="128">
        <f>DATA!OOF35</f>
        <v>0</v>
      </c>
      <c r="OOD208" s="128">
        <f>DATA!OOG35</f>
        <v>0</v>
      </c>
      <c r="OOE208" s="128">
        <f>DATA!OOH35</f>
        <v>0</v>
      </c>
      <c r="OOF208" s="128">
        <f>DATA!OOI35</f>
        <v>0</v>
      </c>
      <c r="OOG208" s="128">
        <f>DATA!OOJ35</f>
        <v>0</v>
      </c>
      <c r="OOH208" s="128">
        <f>DATA!OOK35</f>
        <v>0</v>
      </c>
      <c r="OOI208" s="128">
        <f>DATA!OOL35</f>
        <v>0</v>
      </c>
      <c r="OOJ208" s="128">
        <f>DATA!OOM35</f>
        <v>0</v>
      </c>
      <c r="OOK208" s="128">
        <f>DATA!OON35</f>
        <v>0</v>
      </c>
      <c r="OOL208" s="128">
        <f>DATA!OOO35</f>
        <v>0</v>
      </c>
      <c r="OOM208" s="128">
        <f>DATA!OOP35</f>
        <v>0</v>
      </c>
      <c r="OON208" s="128">
        <f>DATA!OOQ35</f>
        <v>0</v>
      </c>
      <c r="OOO208" s="128">
        <f>DATA!OOR35</f>
        <v>0</v>
      </c>
      <c r="OOP208" s="128">
        <f>DATA!OOS35</f>
        <v>0</v>
      </c>
      <c r="OOQ208" s="128">
        <f>DATA!OOT35</f>
        <v>0</v>
      </c>
      <c r="OOR208" s="128">
        <f>DATA!OOU35</f>
        <v>0</v>
      </c>
      <c r="OOS208" s="128">
        <f>DATA!OOV35</f>
        <v>0</v>
      </c>
      <c r="OOT208" s="128">
        <f>DATA!OOW35</f>
        <v>0</v>
      </c>
      <c r="OOU208" s="128">
        <f>DATA!OOX35</f>
        <v>0</v>
      </c>
      <c r="OOV208" s="128">
        <f>DATA!OOY35</f>
        <v>0</v>
      </c>
      <c r="OOW208" s="128">
        <f>DATA!OOZ35</f>
        <v>0</v>
      </c>
      <c r="OOX208" s="128">
        <f>DATA!OPA35</f>
        <v>0</v>
      </c>
      <c r="OOY208" s="128">
        <f>DATA!OPB35</f>
        <v>0</v>
      </c>
      <c r="OOZ208" s="128">
        <f>DATA!OPC35</f>
        <v>0</v>
      </c>
      <c r="OPA208" s="128">
        <f>DATA!OPD35</f>
        <v>0</v>
      </c>
      <c r="OPB208" s="128">
        <f>DATA!OPE35</f>
        <v>0</v>
      </c>
      <c r="OPC208" s="128">
        <f>DATA!OPF35</f>
        <v>0</v>
      </c>
      <c r="OPD208" s="128">
        <f>DATA!OPG35</f>
        <v>0</v>
      </c>
      <c r="OPE208" s="128">
        <f>DATA!OPH35</f>
        <v>0</v>
      </c>
      <c r="OPF208" s="128">
        <f>DATA!OPI35</f>
        <v>0</v>
      </c>
      <c r="OPG208" s="128">
        <f>DATA!OPJ35</f>
        <v>0</v>
      </c>
      <c r="OPH208" s="128">
        <f>DATA!OPK35</f>
        <v>0</v>
      </c>
      <c r="OPI208" s="128">
        <f>DATA!OPL35</f>
        <v>0</v>
      </c>
      <c r="OPJ208" s="128">
        <f>DATA!OPM35</f>
        <v>0</v>
      </c>
      <c r="OPK208" s="128">
        <f>DATA!OPN35</f>
        <v>0</v>
      </c>
      <c r="OPL208" s="128">
        <f>DATA!OPO35</f>
        <v>0</v>
      </c>
      <c r="OPM208" s="128">
        <f>DATA!OPP35</f>
        <v>0</v>
      </c>
      <c r="OPN208" s="128">
        <f>DATA!OPQ35</f>
        <v>0</v>
      </c>
      <c r="OPO208" s="128">
        <f>DATA!OPR35</f>
        <v>0</v>
      </c>
      <c r="OPP208" s="128">
        <f>DATA!OPS35</f>
        <v>0</v>
      </c>
      <c r="OPQ208" s="128">
        <f>DATA!OPT35</f>
        <v>0</v>
      </c>
      <c r="OPR208" s="128">
        <f>DATA!OPU35</f>
        <v>0</v>
      </c>
      <c r="OPS208" s="128">
        <f>DATA!OPV35</f>
        <v>0</v>
      </c>
      <c r="OPT208" s="128">
        <f>DATA!OPW35</f>
        <v>0</v>
      </c>
      <c r="OPU208" s="128">
        <f>DATA!OPX35</f>
        <v>0</v>
      </c>
      <c r="OPV208" s="128">
        <f>DATA!OPY35</f>
        <v>0</v>
      </c>
      <c r="OPW208" s="128">
        <f>DATA!OPZ35</f>
        <v>0</v>
      </c>
      <c r="OPX208" s="128">
        <f>DATA!OQA35</f>
        <v>0</v>
      </c>
      <c r="OPY208" s="128">
        <f>DATA!OQB35</f>
        <v>0</v>
      </c>
      <c r="OPZ208" s="128">
        <f>DATA!OQC35</f>
        <v>0</v>
      </c>
      <c r="OQA208" s="128">
        <f>DATA!OQD35</f>
        <v>0</v>
      </c>
      <c r="OQB208" s="128">
        <f>DATA!OQE35</f>
        <v>0</v>
      </c>
      <c r="OQC208" s="128">
        <f>DATA!OQF35</f>
        <v>0</v>
      </c>
      <c r="OQD208" s="128">
        <f>DATA!OQG35</f>
        <v>0</v>
      </c>
      <c r="OQE208" s="128">
        <f>DATA!OQH35</f>
        <v>0</v>
      </c>
      <c r="OQF208" s="128">
        <f>DATA!OQI35</f>
        <v>0</v>
      </c>
      <c r="OQG208" s="128">
        <f>DATA!OQJ35</f>
        <v>0</v>
      </c>
      <c r="OQH208" s="128">
        <f>DATA!OQK35</f>
        <v>0</v>
      </c>
      <c r="OQI208" s="128">
        <f>DATA!OQL35</f>
        <v>0</v>
      </c>
      <c r="OQJ208" s="128">
        <f>DATA!OQM35</f>
        <v>0</v>
      </c>
      <c r="OQK208" s="128">
        <f>DATA!OQN35</f>
        <v>0</v>
      </c>
      <c r="OQL208" s="128">
        <f>DATA!OQO35</f>
        <v>0</v>
      </c>
      <c r="OQM208" s="128">
        <f>DATA!OQP35</f>
        <v>0</v>
      </c>
      <c r="OQN208" s="128">
        <f>DATA!OQQ35</f>
        <v>0</v>
      </c>
      <c r="OQO208" s="128">
        <f>DATA!OQR35</f>
        <v>0</v>
      </c>
      <c r="OQP208" s="128">
        <f>DATA!OQS35</f>
        <v>0</v>
      </c>
      <c r="OQQ208" s="128">
        <f>DATA!OQT35</f>
        <v>0</v>
      </c>
      <c r="OQR208" s="128">
        <f>DATA!OQU35</f>
        <v>0</v>
      </c>
      <c r="OQS208" s="128">
        <f>DATA!OQV35</f>
        <v>0</v>
      </c>
      <c r="OQT208" s="128">
        <f>DATA!OQW35</f>
        <v>0</v>
      </c>
      <c r="OQU208" s="128">
        <f>DATA!OQX35</f>
        <v>0</v>
      </c>
      <c r="OQV208" s="128">
        <f>DATA!OQY35</f>
        <v>0</v>
      </c>
      <c r="OQW208" s="128">
        <f>DATA!OQZ35</f>
        <v>0</v>
      </c>
      <c r="OQX208" s="128">
        <f>DATA!ORA35</f>
        <v>0</v>
      </c>
      <c r="OQY208" s="128">
        <f>DATA!ORB35</f>
        <v>0</v>
      </c>
      <c r="OQZ208" s="128">
        <f>DATA!ORC35</f>
        <v>0</v>
      </c>
      <c r="ORA208" s="128">
        <f>DATA!ORD35</f>
        <v>0</v>
      </c>
      <c r="ORB208" s="128">
        <f>DATA!ORE35</f>
        <v>0</v>
      </c>
      <c r="ORC208" s="128">
        <f>DATA!ORF35</f>
        <v>0</v>
      </c>
      <c r="ORD208" s="128">
        <f>DATA!ORG35</f>
        <v>0</v>
      </c>
      <c r="ORE208" s="128">
        <f>DATA!ORH35</f>
        <v>0</v>
      </c>
      <c r="ORF208" s="128">
        <f>DATA!ORI35</f>
        <v>0</v>
      </c>
      <c r="ORG208" s="128">
        <f>DATA!ORJ35</f>
        <v>0</v>
      </c>
      <c r="ORH208" s="128">
        <f>DATA!ORK35</f>
        <v>0</v>
      </c>
      <c r="ORI208" s="128">
        <f>DATA!ORL35</f>
        <v>0</v>
      </c>
      <c r="ORJ208" s="128">
        <f>DATA!ORM35</f>
        <v>0</v>
      </c>
      <c r="ORK208" s="128">
        <f>DATA!ORN35</f>
        <v>0</v>
      </c>
      <c r="ORL208" s="128">
        <f>DATA!ORO35</f>
        <v>0</v>
      </c>
      <c r="ORM208" s="128">
        <f>DATA!ORP35</f>
        <v>0</v>
      </c>
      <c r="ORN208" s="128">
        <f>DATA!ORQ35</f>
        <v>0</v>
      </c>
      <c r="ORO208" s="128">
        <f>DATA!ORR35</f>
        <v>0</v>
      </c>
      <c r="ORP208" s="128">
        <f>DATA!ORS35</f>
        <v>0</v>
      </c>
      <c r="ORQ208" s="128">
        <f>DATA!ORT35</f>
        <v>0</v>
      </c>
      <c r="ORR208" s="128">
        <f>DATA!ORU35</f>
        <v>0</v>
      </c>
      <c r="ORS208" s="128">
        <f>DATA!ORV35</f>
        <v>0</v>
      </c>
      <c r="ORT208" s="128">
        <f>DATA!ORW35</f>
        <v>0</v>
      </c>
      <c r="ORU208" s="128">
        <f>DATA!ORX35</f>
        <v>0</v>
      </c>
      <c r="ORV208" s="128">
        <f>DATA!ORY35</f>
        <v>0</v>
      </c>
      <c r="ORW208" s="128">
        <f>DATA!ORZ35</f>
        <v>0</v>
      </c>
      <c r="ORX208" s="128">
        <f>DATA!OSA35</f>
        <v>0</v>
      </c>
      <c r="ORY208" s="128">
        <f>DATA!OSB35</f>
        <v>0</v>
      </c>
      <c r="ORZ208" s="128">
        <f>DATA!OSC35</f>
        <v>0</v>
      </c>
      <c r="OSA208" s="128">
        <f>DATA!OSD35</f>
        <v>0</v>
      </c>
      <c r="OSB208" s="128">
        <f>DATA!OSE35</f>
        <v>0</v>
      </c>
      <c r="OSC208" s="128">
        <f>DATA!OSF35</f>
        <v>0</v>
      </c>
      <c r="OSD208" s="128">
        <f>DATA!OSG35</f>
        <v>0</v>
      </c>
      <c r="OSE208" s="128">
        <f>DATA!OSH35</f>
        <v>0</v>
      </c>
      <c r="OSF208" s="128">
        <f>DATA!OSI35</f>
        <v>0</v>
      </c>
      <c r="OSG208" s="128">
        <f>DATA!OSJ35</f>
        <v>0</v>
      </c>
      <c r="OSH208" s="128">
        <f>DATA!OSK35</f>
        <v>0</v>
      </c>
      <c r="OSI208" s="128">
        <f>DATA!OSL35</f>
        <v>0</v>
      </c>
      <c r="OSJ208" s="128">
        <f>DATA!OSM35</f>
        <v>0</v>
      </c>
      <c r="OSK208" s="128">
        <f>DATA!OSN35</f>
        <v>0</v>
      </c>
      <c r="OSL208" s="128">
        <f>DATA!OSO35</f>
        <v>0</v>
      </c>
      <c r="OSM208" s="128">
        <f>DATA!OSP35</f>
        <v>0</v>
      </c>
      <c r="OSN208" s="128">
        <f>DATA!OSQ35</f>
        <v>0</v>
      </c>
      <c r="OSO208" s="128">
        <f>DATA!OSR35</f>
        <v>0</v>
      </c>
      <c r="OSP208" s="128">
        <f>DATA!OSS35</f>
        <v>0</v>
      </c>
      <c r="OSQ208" s="128">
        <f>DATA!OST35</f>
        <v>0</v>
      </c>
      <c r="OSR208" s="128">
        <f>DATA!OSU35</f>
        <v>0</v>
      </c>
      <c r="OSS208" s="128">
        <f>DATA!OSV35</f>
        <v>0</v>
      </c>
      <c r="OST208" s="128">
        <f>DATA!OSW35</f>
        <v>0</v>
      </c>
      <c r="OSU208" s="128">
        <f>DATA!OSX35</f>
        <v>0</v>
      </c>
      <c r="OSV208" s="128">
        <f>DATA!OSY35</f>
        <v>0</v>
      </c>
      <c r="OSW208" s="128">
        <f>DATA!OSZ35</f>
        <v>0</v>
      </c>
      <c r="OSX208" s="128">
        <f>DATA!OTA35</f>
        <v>0</v>
      </c>
      <c r="OSY208" s="128">
        <f>DATA!OTB35</f>
        <v>0</v>
      </c>
      <c r="OSZ208" s="128">
        <f>DATA!OTC35</f>
        <v>0</v>
      </c>
      <c r="OTA208" s="128">
        <f>DATA!OTD35</f>
        <v>0</v>
      </c>
      <c r="OTB208" s="128">
        <f>DATA!OTE35</f>
        <v>0</v>
      </c>
      <c r="OTC208" s="128">
        <f>DATA!OTF35</f>
        <v>0</v>
      </c>
      <c r="OTD208" s="128">
        <f>DATA!OTG35</f>
        <v>0</v>
      </c>
      <c r="OTE208" s="128">
        <f>DATA!OTH35</f>
        <v>0</v>
      </c>
      <c r="OTF208" s="128">
        <f>DATA!OTI35</f>
        <v>0</v>
      </c>
      <c r="OTG208" s="128">
        <f>DATA!OTJ35</f>
        <v>0</v>
      </c>
      <c r="OTH208" s="128">
        <f>DATA!OTK35</f>
        <v>0</v>
      </c>
      <c r="OTI208" s="128">
        <f>DATA!OTL35</f>
        <v>0</v>
      </c>
      <c r="OTJ208" s="128">
        <f>DATA!OTM35</f>
        <v>0</v>
      </c>
      <c r="OTK208" s="128">
        <f>DATA!OTN35</f>
        <v>0</v>
      </c>
      <c r="OTL208" s="128">
        <f>DATA!OTO35</f>
        <v>0</v>
      </c>
      <c r="OTM208" s="128">
        <f>DATA!OTP35</f>
        <v>0</v>
      </c>
      <c r="OTN208" s="128">
        <f>DATA!OTQ35</f>
        <v>0</v>
      </c>
      <c r="OTO208" s="128">
        <f>DATA!OTR35</f>
        <v>0</v>
      </c>
      <c r="OTP208" s="128">
        <f>DATA!OTS35</f>
        <v>0</v>
      </c>
      <c r="OTQ208" s="128">
        <f>DATA!OTT35</f>
        <v>0</v>
      </c>
      <c r="OTR208" s="128">
        <f>DATA!OTU35</f>
        <v>0</v>
      </c>
      <c r="OTS208" s="128">
        <f>DATA!OTV35</f>
        <v>0</v>
      </c>
      <c r="OTT208" s="128">
        <f>DATA!OTW35</f>
        <v>0</v>
      </c>
      <c r="OTU208" s="128">
        <f>DATA!OTX35</f>
        <v>0</v>
      </c>
      <c r="OTV208" s="128">
        <f>DATA!OTY35</f>
        <v>0</v>
      </c>
      <c r="OTW208" s="128">
        <f>DATA!OTZ35</f>
        <v>0</v>
      </c>
      <c r="OTX208" s="128">
        <f>DATA!OUA35</f>
        <v>0</v>
      </c>
      <c r="OTY208" s="128">
        <f>DATA!OUB35</f>
        <v>0</v>
      </c>
      <c r="OTZ208" s="128">
        <f>DATA!OUC35</f>
        <v>0</v>
      </c>
      <c r="OUA208" s="128">
        <f>DATA!OUD35</f>
        <v>0</v>
      </c>
      <c r="OUB208" s="128">
        <f>DATA!OUE35</f>
        <v>0</v>
      </c>
      <c r="OUC208" s="128">
        <f>DATA!OUF35</f>
        <v>0</v>
      </c>
      <c r="OUD208" s="128">
        <f>DATA!OUG35</f>
        <v>0</v>
      </c>
      <c r="OUE208" s="128">
        <f>DATA!OUH35</f>
        <v>0</v>
      </c>
      <c r="OUF208" s="128">
        <f>DATA!OUI35</f>
        <v>0</v>
      </c>
      <c r="OUG208" s="128">
        <f>DATA!OUJ35</f>
        <v>0</v>
      </c>
      <c r="OUH208" s="128">
        <f>DATA!OUK35</f>
        <v>0</v>
      </c>
      <c r="OUI208" s="128">
        <f>DATA!OUL35</f>
        <v>0</v>
      </c>
      <c r="OUJ208" s="128">
        <f>DATA!OUM35</f>
        <v>0</v>
      </c>
      <c r="OUK208" s="128">
        <f>DATA!OUN35</f>
        <v>0</v>
      </c>
      <c r="OUL208" s="128">
        <f>DATA!OUO35</f>
        <v>0</v>
      </c>
      <c r="OUM208" s="128">
        <f>DATA!OUP35</f>
        <v>0</v>
      </c>
      <c r="OUN208" s="128">
        <f>DATA!OUQ35</f>
        <v>0</v>
      </c>
      <c r="OUO208" s="128">
        <f>DATA!OUR35</f>
        <v>0</v>
      </c>
      <c r="OUP208" s="128">
        <f>DATA!OUS35</f>
        <v>0</v>
      </c>
      <c r="OUQ208" s="128">
        <f>DATA!OUT35</f>
        <v>0</v>
      </c>
      <c r="OUR208" s="128">
        <f>DATA!OUU35</f>
        <v>0</v>
      </c>
      <c r="OUS208" s="128">
        <f>DATA!OUV35</f>
        <v>0</v>
      </c>
      <c r="OUT208" s="128">
        <f>DATA!OUW35</f>
        <v>0</v>
      </c>
      <c r="OUU208" s="128">
        <f>DATA!OUX35</f>
        <v>0</v>
      </c>
      <c r="OUV208" s="128">
        <f>DATA!OUY35</f>
        <v>0</v>
      </c>
      <c r="OUW208" s="128">
        <f>DATA!OUZ35</f>
        <v>0</v>
      </c>
      <c r="OUX208" s="128">
        <f>DATA!OVA35</f>
        <v>0</v>
      </c>
      <c r="OUY208" s="128">
        <f>DATA!OVB35</f>
        <v>0</v>
      </c>
      <c r="OUZ208" s="128">
        <f>DATA!OVC35</f>
        <v>0</v>
      </c>
      <c r="OVA208" s="128">
        <f>DATA!OVD35</f>
        <v>0</v>
      </c>
      <c r="OVB208" s="128">
        <f>DATA!OVE35</f>
        <v>0</v>
      </c>
      <c r="OVC208" s="128">
        <f>DATA!OVF35</f>
        <v>0</v>
      </c>
      <c r="OVD208" s="128">
        <f>DATA!OVG35</f>
        <v>0</v>
      </c>
      <c r="OVE208" s="128">
        <f>DATA!OVH35</f>
        <v>0</v>
      </c>
      <c r="OVF208" s="128">
        <f>DATA!OVI35</f>
        <v>0</v>
      </c>
      <c r="OVG208" s="128">
        <f>DATA!OVJ35</f>
        <v>0</v>
      </c>
      <c r="OVH208" s="128">
        <f>DATA!OVK35</f>
        <v>0</v>
      </c>
      <c r="OVI208" s="128">
        <f>DATA!OVL35</f>
        <v>0</v>
      </c>
      <c r="OVJ208" s="128">
        <f>DATA!OVM35</f>
        <v>0</v>
      </c>
      <c r="OVK208" s="128">
        <f>DATA!OVN35</f>
        <v>0</v>
      </c>
      <c r="OVL208" s="128">
        <f>DATA!OVO35</f>
        <v>0</v>
      </c>
      <c r="OVM208" s="128">
        <f>DATA!OVP35</f>
        <v>0</v>
      </c>
      <c r="OVN208" s="128">
        <f>DATA!OVQ35</f>
        <v>0</v>
      </c>
      <c r="OVO208" s="128">
        <f>DATA!OVR35</f>
        <v>0</v>
      </c>
      <c r="OVP208" s="128">
        <f>DATA!OVS35</f>
        <v>0</v>
      </c>
      <c r="OVQ208" s="128">
        <f>DATA!OVT35</f>
        <v>0</v>
      </c>
      <c r="OVR208" s="128">
        <f>DATA!OVU35</f>
        <v>0</v>
      </c>
      <c r="OVS208" s="128">
        <f>DATA!OVV35</f>
        <v>0</v>
      </c>
      <c r="OVT208" s="128">
        <f>DATA!OVW35</f>
        <v>0</v>
      </c>
      <c r="OVU208" s="128">
        <f>DATA!OVX35</f>
        <v>0</v>
      </c>
      <c r="OVV208" s="128">
        <f>DATA!OVY35</f>
        <v>0</v>
      </c>
      <c r="OVW208" s="128">
        <f>DATA!OVZ35</f>
        <v>0</v>
      </c>
      <c r="OVX208" s="128">
        <f>DATA!OWA35</f>
        <v>0</v>
      </c>
      <c r="OVY208" s="128">
        <f>DATA!OWB35</f>
        <v>0</v>
      </c>
      <c r="OVZ208" s="128">
        <f>DATA!OWC35</f>
        <v>0</v>
      </c>
      <c r="OWA208" s="128">
        <f>DATA!OWD35</f>
        <v>0</v>
      </c>
      <c r="OWB208" s="128">
        <f>DATA!OWE35</f>
        <v>0</v>
      </c>
      <c r="OWC208" s="128">
        <f>DATA!OWF35</f>
        <v>0</v>
      </c>
      <c r="OWD208" s="128">
        <f>DATA!OWG35</f>
        <v>0</v>
      </c>
      <c r="OWE208" s="128">
        <f>DATA!OWH35</f>
        <v>0</v>
      </c>
      <c r="OWF208" s="128">
        <f>DATA!OWI35</f>
        <v>0</v>
      </c>
      <c r="OWG208" s="128">
        <f>DATA!OWJ35</f>
        <v>0</v>
      </c>
      <c r="OWH208" s="128">
        <f>DATA!OWK35</f>
        <v>0</v>
      </c>
      <c r="OWI208" s="128">
        <f>DATA!OWL35</f>
        <v>0</v>
      </c>
      <c r="OWJ208" s="128">
        <f>DATA!OWM35</f>
        <v>0</v>
      </c>
      <c r="OWK208" s="128">
        <f>DATA!OWN35</f>
        <v>0</v>
      </c>
      <c r="OWL208" s="128">
        <f>DATA!OWO35</f>
        <v>0</v>
      </c>
      <c r="OWM208" s="128">
        <f>DATA!OWP35</f>
        <v>0</v>
      </c>
      <c r="OWN208" s="128">
        <f>DATA!OWQ35</f>
        <v>0</v>
      </c>
      <c r="OWO208" s="128">
        <f>DATA!OWR35</f>
        <v>0</v>
      </c>
      <c r="OWP208" s="128">
        <f>DATA!OWS35</f>
        <v>0</v>
      </c>
      <c r="OWQ208" s="128">
        <f>DATA!OWT35</f>
        <v>0</v>
      </c>
      <c r="OWR208" s="128">
        <f>DATA!OWU35</f>
        <v>0</v>
      </c>
      <c r="OWS208" s="128">
        <f>DATA!OWV35</f>
        <v>0</v>
      </c>
      <c r="OWT208" s="128">
        <f>DATA!OWW35</f>
        <v>0</v>
      </c>
      <c r="OWU208" s="128">
        <f>DATA!OWX35</f>
        <v>0</v>
      </c>
      <c r="OWV208" s="128">
        <f>DATA!OWY35</f>
        <v>0</v>
      </c>
      <c r="OWW208" s="128">
        <f>DATA!OWZ35</f>
        <v>0</v>
      </c>
      <c r="OWX208" s="128">
        <f>DATA!OXA35</f>
        <v>0</v>
      </c>
      <c r="OWY208" s="128">
        <f>DATA!OXB35</f>
        <v>0</v>
      </c>
      <c r="OWZ208" s="128">
        <f>DATA!OXC35</f>
        <v>0</v>
      </c>
      <c r="OXA208" s="128">
        <f>DATA!OXD35</f>
        <v>0</v>
      </c>
      <c r="OXB208" s="128">
        <f>DATA!OXE35</f>
        <v>0</v>
      </c>
      <c r="OXC208" s="128">
        <f>DATA!OXF35</f>
        <v>0</v>
      </c>
      <c r="OXD208" s="128">
        <f>DATA!OXG35</f>
        <v>0</v>
      </c>
      <c r="OXE208" s="128">
        <f>DATA!OXH35</f>
        <v>0</v>
      </c>
      <c r="OXF208" s="128">
        <f>DATA!OXI35</f>
        <v>0</v>
      </c>
      <c r="OXG208" s="128">
        <f>DATA!OXJ35</f>
        <v>0</v>
      </c>
      <c r="OXH208" s="128">
        <f>DATA!OXK35</f>
        <v>0</v>
      </c>
      <c r="OXI208" s="128">
        <f>DATA!OXL35</f>
        <v>0</v>
      </c>
      <c r="OXJ208" s="128">
        <f>DATA!OXM35</f>
        <v>0</v>
      </c>
      <c r="OXK208" s="128">
        <f>DATA!OXN35</f>
        <v>0</v>
      </c>
      <c r="OXL208" s="128">
        <f>DATA!OXO35</f>
        <v>0</v>
      </c>
      <c r="OXM208" s="128">
        <f>DATA!OXP35</f>
        <v>0</v>
      </c>
      <c r="OXN208" s="128">
        <f>DATA!OXQ35</f>
        <v>0</v>
      </c>
      <c r="OXO208" s="128">
        <f>DATA!OXR35</f>
        <v>0</v>
      </c>
      <c r="OXP208" s="128">
        <f>DATA!OXS35</f>
        <v>0</v>
      </c>
      <c r="OXQ208" s="128">
        <f>DATA!OXT35</f>
        <v>0</v>
      </c>
      <c r="OXR208" s="128">
        <f>DATA!OXU35</f>
        <v>0</v>
      </c>
      <c r="OXS208" s="128">
        <f>DATA!OXV35</f>
        <v>0</v>
      </c>
      <c r="OXT208" s="128">
        <f>DATA!OXW35</f>
        <v>0</v>
      </c>
      <c r="OXU208" s="128">
        <f>DATA!OXX35</f>
        <v>0</v>
      </c>
      <c r="OXV208" s="128">
        <f>DATA!OXY35</f>
        <v>0</v>
      </c>
      <c r="OXW208" s="128">
        <f>DATA!OXZ35</f>
        <v>0</v>
      </c>
      <c r="OXX208" s="128">
        <f>DATA!OYA35</f>
        <v>0</v>
      </c>
      <c r="OXY208" s="128">
        <f>DATA!OYB35</f>
        <v>0</v>
      </c>
      <c r="OXZ208" s="128">
        <f>DATA!OYC35</f>
        <v>0</v>
      </c>
      <c r="OYA208" s="128">
        <f>DATA!OYD35</f>
        <v>0</v>
      </c>
      <c r="OYB208" s="128">
        <f>DATA!OYE35</f>
        <v>0</v>
      </c>
      <c r="OYC208" s="128">
        <f>DATA!OYF35</f>
        <v>0</v>
      </c>
      <c r="OYD208" s="128">
        <f>DATA!OYG35</f>
        <v>0</v>
      </c>
      <c r="OYE208" s="128">
        <f>DATA!OYH35</f>
        <v>0</v>
      </c>
      <c r="OYF208" s="128">
        <f>DATA!OYI35</f>
        <v>0</v>
      </c>
      <c r="OYG208" s="128">
        <f>DATA!OYJ35</f>
        <v>0</v>
      </c>
      <c r="OYH208" s="128">
        <f>DATA!OYK35</f>
        <v>0</v>
      </c>
      <c r="OYI208" s="128">
        <f>DATA!OYL35</f>
        <v>0</v>
      </c>
      <c r="OYJ208" s="128">
        <f>DATA!OYM35</f>
        <v>0</v>
      </c>
      <c r="OYK208" s="128">
        <f>DATA!OYN35</f>
        <v>0</v>
      </c>
      <c r="OYL208" s="128">
        <f>DATA!OYO35</f>
        <v>0</v>
      </c>
      <c r="OYM208" s="128">
        <f>DATA!OYP35</f>
        <v>0</v>
      </c>
      <c r="OYN208" s="128">
        <f>DATA!OYQ35</f>
        <v>0</v>
      </c>
      <c r="OYO208" s="128">
        <f>DATA!OYR35</f>
        <v>0</v>
      </c>
      <c r="OYP208" s="128">
        <f>DATA!OYS35</f>
        <v>0</v>
      </c>
      <c r="OYQ208" s="128">
        <f>DATA!OYT35</f>
        <v>0</v>
      </c>
      <c r="OYR208" s="128">
        <f>DATA!OYU35</f>
        <v>0</v>
      </c>
      <c r="OYS208" s="128">
        <f>DATA!OYV35</f>
        <v>0</v>
      </c>
      <c r="OYT208" s="128">
        <f>DATA!OYW35</f>
        <v>0</v>
      </c>
      <c r="OYU208" s="128">
        <f>DATA!OYX35</f>
        <v>0</v>
      </c>
      <c r="OYV208" s="128">
        <f>DATA!OYY35</f>
        <v>0</v>
      </c>
      <c r="OYW208" s="128">
        <f>DATA!OYZ35</f>
        <v>0</v>
      </c>
      <c r="OYX208" s="128">
        <f>DATA!OZA35</f>
        <v>0</v>
      </c>
      <c r="OYY208" s="128">
        <f>DATA!OZB35</f>
        <v>0</v>
      </c>
      <c r="OYZ208" s="128">
        <f>DATA!OZC35</f>
        <v>0</v>
      </c>
      <c r="OZA208" s="128">
        <f>DATA!OZD35</f>
        <v>0</v>
      </c>
      <c r="OZB208" s="128">
        <f>DATA!OZE35</f>
        <v>0</v>
      </c>
      <c r="OZC208" s="128">
        <f>DATA!OZF35</f>
        <v>0</v>
      </c>
      <c r="OZD208" s="128">
        <f>DATA!OZG35</f>
        <v>0</v>
      </c>
      <c r="OZE208" s="128">
        <f>DATA!OZH35</f>
        <v>0</v>
      </c>
      <c r="OZF208" s="128">
        <f>DATA!OZI35</f>
        <v>0</v>
      </c>
      <c r="OZG208" s="128">
        <f>DATA!OZJ35</f>
        <v>0</v>
      </c>
      <c r="OZH208" s="128">
        <f>DATA!OZK35</f>
        <v>0</v>
      </c>
      <c r="OZI208" s="128">
        <f>DATA!OZL35</f>
        <v>0</v>
      </c>
      <c r="OZJ208" s="128">
        <f>DATA!OZM35</f>
        <v>0</v>
      </c>
      <c r="OZK208" s="128">
        <f>DATA!OZN35</f>
        <v>0</v>
      </c>
      <c r="OZL208" s="128">
        <f>DATA!OZO35</f>
        <v>0</v>
      </c>
      <c r="OZM208" s="128">
        <f>DATA!OZP35</f>
        <v>0</v>
      </c>
      <c r="OZN208" s="128">
        <f>DATA!OZQ35</f>
        <v>0</v>
      </c>
      <c r="OZO208" s="128">
        <f>DATA!OZR35</f>
        <v>0</v>
      </c>
      <c r="OZP208" s="128">
        <f>DATA!OZS35</f>
        <v>0</v>
      </c>
      <c r="OZQ208" s="128">
        <f>DATA!OZT35</f>
        <v>0</v>
      </c>
      <c r="OZR208" s="128">
        <f>DATA!OZU35</f>
        <v>0</v>
      </c>
      <c r="OZS208" s="128">
        <f>DATA!OZV35</f>
        <v>0</v>
      </c>
      <c r="OZT208" s="128">
        <f>DATA!OZW35</f>
        <v>0</v>
      </c>
      <c r="OZU208" s="128">
        <f>DATA!OZX35</f>
        <v>0</v>
      </c>
      <c r="OZV208" s="128">
        <f>DATA!OZY35</f>
        <v>0</v>
      </c>
      <c r="OZW208" s="128">
        <f>DATA!OZZ35</f>
        <v>0</v>
      </c>
      <c r="OZX208" s="128">
        <f>DATA!PAA35</f>
        <v>0</v>
      </c>
      <c r="OZY208" s="128">
        <f>DATA!PAB35</f>
        <v>0</v>
      </c>
      <c r="OZZ208" s="128">
        <f>DATA!PAC35</f>
        <v>0</v>
      </c>
      <c r="PAA208" s="128">
        <f>DATA!PAD35</f>
        <v>0</v>
      </c>
      <c r="PAB208" s="128">
        <f>DATA!PAE35</f>
        <v>0</v>
      </c>
      <c r="PAC208" s="128">
        <f>DATA!PAF35</f>
        <v>0</v>
      </c>
      <c r="PAD208" s="128">
        <f>DATA!PAG35</f>
        <v>0</v>
      </c>
      <c r="PAE208" s="128">
        <f>DATA!PAH35</f>
        <v>0</v>
      </c>
      <c r="PAF208" s="128">
        <f>DATA!PAI35</f>
        <v>0</v>
      </c>
      <c r="PAG208" s="128">
        <f>DATA!PAJ35</f>
        <v>0</v>
      </c>
      <c r="PAH208" s="128">
        <f>DATA!PAK35</f>
        <v>0</v>
      </c>
      <c r="PAI208" s="128">
        <f>DATA!PAL35</f>
        <v>0</v>
      </c>
      <c r="PAJ208" s="128">
        <f>DATA!PAM35</f>
        <v>0</v>
      </c>
      <c r="PAK208" s="128">
        <f>DATA!PAN35</f>
        <v>0</v>
      </c>
      <c r="PAL208" s="128">
        <f>DATA!PAO35</f>
        <v>0</v>
      </c>
      <c r="PAM208" s="128">
        <f>DATA!PAP35</f>
        <v>0</v>
      </c>
      <c r="PAN208" s="128">
        <f>DATA!PAQ35</f>
        <v>0</v>
      </c>
      <c r="PAO208" s="128">
        <f>DATA!PAR35</f>
        <v>0</v>
      </c>
      <c r="PAP208" s="128">
        <f>DATA!PAS35</f>
        <v>0</v>
      </c>
      <c r="PAQ208" s="128">
        <f>DATA!PAT35</f>
        <v>0</v>
      </c>
      <c r="PAR208" s="128">
        <f>DATA!PAU35</f>
        <v>0</v>
      </c>
      <c r="PAS208" s="128">
        <f>DATA!PAV35</f>
        <v>0</v>
      </c>
      <c r="PAT208" s="128">
        <f>DATA!PAW35</f>
        <v>0</v>
      </c>
      <c r="PAU208" s="128">
        <f>DATA!PAX35</f>
        <v>0</v>
      </c>
      <c r="PAV208" s="128">
        <f>DATA!PAY35</f>
        <v>0</v>
      </c>
      <c r="PAW208" s="128">
        <f>DATA!PAZ35</f>
        <v>0</v>
      </c>
      <c r="PAX208" s="128">
        <f>DATA!PBA35</f>
        <v>0</v>
      </c>
      <c r="PAY208" s="128">
        <f>DATA!PBB35</f>
        <v>0</v>
      </c>
      <c r="PAZ208" s="128">
        <f>DATA!PBC35</f>
        <v>0</v>
      </c>
      <c r="PBA208" s="128">
        <f>DATA!PBD35</f>
        <v>0</v>
      </c>
      <c r="PBB208" s="128">
        <f>DATA!PBE35</f>
        <v>0</v>
      </c>
      <c r="PBC208" s="128">
        <f>DATA!PBF35</f>
        <v>0</v>
      </c>
      <c r="PBD208" s="128">
        <f>DATA!PBG35</f>
        <v>0</v>
      </c>
      <c r="PBE208" s="128">
        <f>DATA!PBH35</f>
        <v>0</v>
      </c>
      <c r="PBF208" s="128">
        <f>DATA!PBI35</f>
        <v>0</v>
      </c>
      <c r="PBG208" s="128">
        <f>DATA!PBJ35</f>
        <v>0</v>
      </c>
      <c r="PBH208" s="128">
        <f>DATA!PBK35</f>
        <v>0</v>
      </c>
      <c r="PBI208" s="128">
        <f>DATA!PBL35</f>
        <v>0</v>
      </c>
      <c r="PBJ208" s="128">
        <f>DATA!PBM35</f>
        <v>0</v>
      </c>
      <c r="PBK208" s="128">
        <f>DATA!PBN35</f>
        <v>0</v>
      </c>
      <c r="PBL208" s="128">
        <f>DATA!PBO35</f>
        <v>0</v>
      </c>
      <c r="PBM208" s="128">
        <f>DATA!PBP35</f>
        <v>0</v>
      </c>
      <c r="PBN208" s="128">
        <f>DATA!PBQ35</f>
        <v>0</v>
      </c>
      <c r="PBO208" s="128">
        <f>DATA!PBR35</f>
        <v>0</v>
      </c>
      <c r="PBP208" s="128">
        <f>DATA!PBS35</f>
        <v>0</v>
      </c>
      <c r="PBQ208" s="128">
        <f>DATA!PBT35</f>
        <v>0</v>
      </c>
      <c r="PBR208" s="128">
        <f>DATA!PBU35</f>
        <v>0</v>
      </c>
      <c r="PBS208" s="128">
        <f>DATA!PBV35</f>
        <v>0</v>
      </c>
      <c r="PBT208" s="128">
        <f>DATA!PBW35</f>
        <v>0</v>
      </c>
      <c r="PBU208" s="128">
        <f>DATA!PBX35</f>
        <v>0</v>
      </c>
      <c r="PBV208" s="128">
        <f>DATA!PBY35</f>
        <v>0</v>
      </c>
      <c r="PBW208" s="128">
        <f>DATA!PBZ35</f>
        <v>0</v>
      </c>
      <c r="PBX208" s="128">
        <f>DATA!PCA35</f>
        <v>0</v>
      </c>
      <c r="PBY208" s="128">
        <f>DATA!PCB35</f>
        <v>0</v>
      </c>
      <c r="PBZ208" s="128">
        <f>DATA!PCC35</f>
        <v>0</v>
      </c>
      <c r="PCA208" s="128">
        <f>DATA!PCD35</f>
        <v>0</v>
      </c>
      <c r="PCB208" s="128">
        <f>DATA!PCE35</f>
        <v>0</v>
      </c>
      <c r="PCC208" s="128">
        <f>DATA!PCF35</f>
        <v>0</v>
      </c>
      <c r="PCD208" s="128">
        <f>DATA!PCG35</f>
        <v>0</v>
      </c>
      <c r="PCE208" s="128">
        <f>DATA!PCH35</f>
        <v>0</v>
      </c>
      <c r="PCF208" s="128">
        <f>DATA!PCI35</f>
        <v>0</v>
      </c>
      <c r="PCG208" s="128">
        <f>DATA!PCJ35</f>
        <v>0</v>
      </c>
      <c r="PCH208" s="128">
        <f>DATA!PCK35</f>
        <v>0</v>
      </c>
      <c r="PCI208" s="128">
        <f>DATA!PCL35</f>
        <v>0</v>
      </c>
      <c r="PCJ208" s="128">
        <f>DATA!PCM35</f>
        <v>0</v>
      </c>
      <c r="PCK208" s="128">
        <f>DATA!PCN35</f>
        <v>0</v>
      </c>
      <c r="PCL208" s="128">
        <f>DATA!PCO35</f>
        <v>0</v>
      </c>
      <c r="PCM208" s="128">
        <f>DATA!PCP35</f>
        <v>0</v>
      </c>
      <c r="PCN208" s="128">
        <f>DATA!PCQ35</f>
        <v>0</v>
      </c>
      <c r="PCO208" s="128">
        <f>DATA!PCR35</f>
        <v>0</v>
      </c>
      <c r="PCP208" s="128">
        <f>DATA!PCS35</f>
        <v>0</v>
      </c>
      <c r="PCQ208" s="128">
        <f>DATA!PCT35</f>
        <v>0</v>
      </c>
      <c r="PCR208" s="128">
        <f>DATA!PCU35</f>
        <v>0</v>
      </c>
      <c r="PCS208" s="128">
        <f>DATA!PCV35</f>
        <v>0</v>
      </c>
      <c r="PCT208" s="128">
        <f>DATA!PCW35</f>
        <v>0</v>
      </c>
      <c r="PCU208" s="128">
        <f>DATA!PCX35</f>
        <v>0</v>
      </c>
      <c r="PCV208" s="128">
        <f>DATA!PCY35</f>
        <v>0</v>
      </c>
      <c r="PCW208" s="128">
        <f>DATA!PCZ35</f>
        <v>0</v>
      </c>
      <c r="PCX208" s="128">
        <f>DATA!PDA35</f>
        <v>0</v>
      </c>
      <c r="PCY208" s="128">
        <f>DATA!PDB35</f>
        <v>0</v>
      </c>
      <c r="PCZ208" s="128">
        <f>DATA!PDC35</f>
        <v>0</v>
      </c>
      <c r="PDA208" s="128">
        <f>DATA!PDD35</f>
        <v>0</v>
      </c>
      <c r="PDB208" s="128">
        <f>DATA!PDE35</f>
        <v>0</v>
      </c>
      <c r="PDC208" s="128">
        <f>DATA!PDF35</f>
        <v>0</v>
      </c>
      <c r="PDD208" s="128">
        <f>DATA!PDG35</f>
        <v>0</v>
      </c>
      <c r="PDE208" s="128">
        <f>DATA!PDH35</f>
        <v>0</v>
      </c>
      <c r="PDF208" s="128">
        <f>DATA!PDI35</f>
        <v>0</v>
      </c>
      <c r="PDG208" s="128">
        <f>DATA!PDJ35</f>
        <v>0</v>
      </c>
      <c r="PDH208" s="128">
        <f>DATA!PDK35</f>
        <v>0</v>
      </c>
      <c r="PDI208" s="128">
        <f>DATA!PDL35</f>
        <v>0</v>
      </c>
      <c r="PDJ208" s="128">
        <f>DATA!PDM35</f>
        <v>0</v>
      </c>
      <c r="PDK208" s="128">
        <f>DATA!PDN35</f>
        <v>0</v>
      </c>
      <c r="PDL208" s="128">
        <f>DATA!PDO35</f>
        <v>0</v>
      </c>
      <c r="PDM208" s="128">
        <f>DATA!PDP35</f>
        <v>0</v>
      </c>
      <c r="PDN208" s="128">
        <f>DATA!PDQ35</f>
        <v>0</v>
      </c>
      <c r="PDO208" s="128">
        <f>DATA!PDR35</f>
        <v>0</v>
      </c>
      <c r="PDP208" s="128">
        <f>DATA!PDS35</f>
        <v>0</v>
      </c>
      <c r="PDQ208" s="128">
        <f>DATA!PDT35</f>
        <v>0</v>
      </c>
      <c r="PDR208" s="128">
        <f>DATA!PDU35</f>
        <v>0</v>
      </c>
      <c r="PDS208" s="128">
        <f>DATA!PDV35</f>
        <v>0</v>
      </c>
      <c r="PDT208" s="128">
        <f>DATA!PDW35</f>
        <v>0</v>
      </c>
      <c r="PDU208" s="128">
        <f>DATA!PDX35</f>
        <v>0</v>
      </c>
      <c r="PDV208" s="128">
        <f>DATA!PDY35</f>
        <v>0</v>
      </c>
      <c r="PDW208" s="128">
        <f>DATA!PDZ35</f>
        <v>0</v>
      </c>
      <c r="PDX208" s="128">
        <f>DATA!PEA35</f>
        <v>0</v>
      </c>
      <c r="PDY208" s="128">
        <f>DATA!PEB35</f>
        <v>0</v>
      </c>
      <c r="PDZ208" s="128">
        <f>DATA!PEC35</f>
        <v>0</v>
      </c>
      <c r="PEA208" s="128">
        <f>DATA!PED35</f>
        <v>0</v>
      </c>
      <c r="PEB208" s="128">
        <f>DATA!PEE35</f>
        <v>0</v>
      </c>
      <c r="PEC208" s="128">
        <f>DATA!PEF35</f>
        <v>0</v>
      </c>
      <c r="PED208" s="128">
        <f>DATA!PEG35</f>
        <v>0</v>
      </c>
      <c r="PEE208" s="128">
        <f>DATA!PEH35</f>
        <v>0</v>
      </c>
      <c r="PEF208" s="128">
        <f>DATA!PEI35</f>
        <v>0</v>
      </c>
      <c r="PEG208" s="128">
        <f>DATA!PEJ35</f>
        <v>0</v>
      </c>
      <c r="PEH208" s="128">
        <f>DATA!PEK35</f>
        <v>0</v>
      </c>
      <c r="PEI208" s="128">
        <f>DATA!PEL35</f>
        <v>0</v>
      </c>
      <c r="PEJ208" s="128">
        <f>DATA!PEM35</f>
        <v>0</v>
      </c>
      <c r="PEK208" s="128">
        <f>DATA!PEN35</f>
        <v>0</v>
      </c>
      <c r="PEL208" s="128">
        <f>DATA!PEO35</f>
        <v>0</v>
      </c>
      <c r="PEM208" s="128">
        <f>DATA!PEP35</f>
        <v>0</v>
      </c>
      <c r="PEN208" s="128">
        <f>DATA!PEQ35</f>
        <v>0</v>
      </c>
      <c r="PEO208" s="128">
        <f>DATA!PER35</f>
        <v>0</v>
      </c>
      <c r="PEP208" s="128">
        <f>DATA!PES35</f>
        <v>0</v>
      </c>
      <c r="PEQ208" s="128">
        <f>DATA!PET35</f>
        <v>0</v>
      </c>
      <c r="PER208" s="128">
        <f>DATA!PEU35</f>
        <v>0</v>
      </c>
      <c r="PES208" s="128">
        <f>DATA!PEV35</f>
        <v>0</v>
      </c>
      <c r="PET208" s="128">
        <f>DATA!PEW35</f>
        <v>0</v>
      </c>
      <c r="PEU208" s="128">
        <f>DATA!PEX35</f>
        <v>0</v>
      </c>
      <c r="PEV208" s="128">
        <f>DATA!PEY35</f>
        <v>0</v>
      </c>
      <c r="PEW208" s="128">
        <f>DATA!PEZ35</f>
        <v>0</v>
      </c>
      <c r="PEX208" s="128">
        <f>DATA!PFA35</f>
        <v>0</v>
      </c>
      <c r="PEY208" s="128">
        <f>DATA!PFB35</f>
        <v>0</v>
      </c>
      <c r="PEZ208" s="128">
        <f>DATA!PFC35</f>
        <v>0</v>
      </c>
      <c r="PFA208" s="128">
        <f>DATA!PFD35</f>
        <v>0</v>
      </c>
      <c r="PFB208" s="128">
        <f>DATA!PFE35</f>
        <v>0</v>
      </c>
      <c r="PFC208" s="128">
        <f>DATA!PFF35</f>
        <v>0</v>
      </c>
      <c r="PFD208" s="128">
        <f>DATA!PFG35</f>
        <v>0</v>
      </c>
      <c r="PFE208" s="128">
        <f>DATA!PFH35</f>
        <v>0</v>
      </c>
      <c r="PFF208" s="128">
        <f>DATA!PFI35</f>
        <v>0</v>
      </c>
      <c r="PFG208" s="128">
        <f>DATA!PFJ35</f>
        <v>0</v>
      </c>
      <c r="PFH208" s="128">
        <f>DATA!PFK35</f>
        <v>0</v>
      </c>
      <c r="PFI208" s="128">
        <f>DATA!PFL35</f>
        <v>0</v>
      </c>
      <c r="PFJ208" s="128">
        <f>DATA!PFM35</f>
        <v>0</v>
      </c>
      <c r="PFK208" s="128">
        <f>DATA!PFN35</f>
        <v>0</v>
      </c>
      <c r="PFL208" s="128">
        <f>DATA!PFO35</f>
        <v>0</v>
      </c>
      <c r="PFM208" s="128">
        <f>DATA!PFP35</f>
        <v>0</v>
      </c>
      <c r="PFN208" s="128">
        <f>DATA!PFQ35</f>
        <v>0</v>
      </c>
      <c r="PFO208" s="128">
        <f>DATA!PFR35</f>
        <v>0</v>
      </c>
      <c r="PFP208" s="128">
        <f>DATA!PFS35</f>
        <v>0</v>
      </c>
      <c r="PFQ208" s="128">
        <f>DATA!PFT35</f>
        <v>0</v>
      </c>
      <c r="PFR208" s="128">
        <f>DATA!PFU35</f>
        <v>0</v>
      </c>
      <c r="PFS208" s="128">
        <f>DATA!PFV35</f>
        <v>0</v>
      </c>
      <c r="PFT208" s="128">
        <f>DATA!PFW35</f>
        <v>0</v>
      </c>
      <c r="PFU208" s="128">
        <f>DATA!PFX35</f>
        <v>0</v>
      </c>
      <c r="PFV208" s="128">
        <f>DATA!PFY35</f>
        <v>0</v>
      </c>
      <c r="PFW208" s="128">
        <f>DATA!PFZ35</f>
        <v>0</v>
      </c>
      <c r="PFX208" s="128">
        <f>DATA!PGA35</f>
        <v>0</v>
      </c>
      <c r="PFY208" s="128">
        <f>DATA!PGB35</f>
        <v>0</v>
      </c>
      <c r="PFZ208" s="128">
        <f>DATA!PGC35</f>
        <v>0</v>
      </c>
      <c r="PGA208" s="128">
        <f>DATA!PGD35</f>
        <v>0</v>
      </c>
      <c r="PGB208" s="128">
        <f>DATA!PGE35</f>
        <v>0</v>
      </c>
      <c r="PGC208" s="128">
        <f>DATA!PGF35</f>
        <v>0</v>
      </c>
      <c r="PGD208" s="128">
        <f>DATA!PGG35</f>
        <v>0</v>
      </c>
      <c r="PGE208" s="128">
        <f>DATA!PGH35</f>
        <v>0</v>
      </c>
      <c r="PGF208" s="128">
        <f>DATA!PGI35</f>
        <v>0</v>
      </c>
      <c r="PGG208" s="128">
        <f>DATA!PGJ35</f>
        <v>0</v>
      </c>
      <c r="PGH208" s="128">
        <f>DATA!PGK35</f>
        <v>0</v>
      </c>
      <c r="PGI208" s="128">
        <f>DATA!PGL35</f>
        <v>0</v>
      </c>
      <c r="PGJ208" s="128">
        <f>DATA!PGM35</f>
        <v>0</v>
      </c>
      <c r="PGK208" s="128">
        <f>DATA!PGN35</f>
        <v>0</v>
      </c>
      <c r="PGL208" s="128">
        <f>DATA!PGO35</f>
        <v>0</v>
      </c>
      <c r="PGM208" s="128">
        <f>DATA!PGP35</f>
        <v>0</v>
      </c>
      <c r="PGN208" s="128">
        <f>DATA!PGQ35</f>
        <v>0</v>
      </c>
      <c r="PGO208" s="128">
        <f>DATA!PGR35</f>
        <v>0</v>
      </c>
      <c r="PGP208" s="128">
        <f>DATA!PGS35</f>
        <v>0</v>
      </c>
      <c r="PGQ208" s="128">
        <f>DATA!PGT35</f>
        <v>0</v>
      </c>
      <c r="PGR208" s="128">
        <f>DATA!PGU35</f>
        <v>0</v>
      </c>
      <c r="PGS208" s="128">
        <f>DATA!PGV35</f>
        <v>0</v>
      </c>
      <c r="PGT208" s="128">
        <f>DATA!PGW35</f>
        <v>0</v>
      </c>
      <c r="PGU208" s="128">
        <f>DATA!PGX35</f>
        <v>0</v>
      </c>
      <c r="PGV208" s="128">
        <f>DATA!PGY35</f>
        <v>0</v>
      </c>
      <c r="PGW208" s="128">
        <f>DATA!PGZ35</f>
        <v>0</v>
      </c>
      <c r="PGX208" s="128">
        <f>DATA!PHA35</f>
        <v>0</v>
      </c>
      <c r="PGY208" s="128">
        <f>DATA!PHB35</f>
        <v>0</v>
      </c>
      <c r="PGZ208" s="128">
        <f>DATA!PHC35</f>
        <v>0</v>
      </c>
      <c r="PHA208" s="128">
        <f>DATA!PHD35</f>
        <v>0</v>
      </c>
      <c r="PHB208" s="128">
        <f>DATA!PHE35</f>
        <v>0</v>
      </c>
      <c r="PHC208" s="128">
        <f>DATA!PHF35</f>
        <v>0</v>
      </c>
      <c r="PHD208" s="128">
        <f>DATA!PHG35</f>
        <v>0</v>
      </c>
      <c r="PHE208" s="128">
        <f>DATA!PHH35</f>
        <v>0</v>
      </c>
      <c r="PHF208" s="128">
        <f>DATA!PHI35</f>
        <v>0</v>
      </c>
      <c r="PHG208" s="128">
        <f>DATA!PHJ35</f>
        <v>0</v>
      </c>
      <c r="PHH208" s="128">
        <f>DATA!PHK35</f>
        <v>0</v>
      </c>
      <c r="PHI208" s="128">
        <f>DATA!PHL35</f>
        <v>0</v>
      </c>
      <c r="PHJ208" s="128">
        <f>DATA!PHM35</f>
        <v>0</v>
      </c>
      <c r="PHK208" s="128">
        <f>DATA!PHN35</f>
        <v>0</v>
      </c>
      <c r="PHL208" s="128">
        <f>DATA!PHO35</f>
        <v>0</v>
      </c>
      <c r="PHM208" s="128">
        <f>DATA!PHP35</f>
        <v>0</v>
      </c>
      <c r="PHN208" s="128">
        <f>DATA!PHQ35</f>
        <v>0</v>
      </c>
      <c r="PHO208" s="128">
        <f>DATA!PHR35</f>
        <v>0</v>
      </c>
      <c r="PHP208" s="128">
        <f>DATA!PHS35</f>
        <v>0</v>
      </c>
      <c r="PHQ208" s="128">
        <f>DATA!PHT35</f>
        <v>0</v>
      </c>
      <c r="PHR208" s="128">
        <f>DATA!PHU35</f>
        <v>0</v>
      </c>
      <c r="PHS208" s="128">
        <f>DATA!PHV35</f>
        <v>0</v>
      </c>
      <c r="PHT208" s="128">
        <f>DATA!PHW35</f>
        <v>0</v>
      </c>
      <c r="PHU208" s="128">
        <f>DATA!PHX35</f>
        <v>0</v>
      </c>
      <c r="PHV208" s="128">
        <f>DATA!PHY35</f>
        <v>0</v>
      </c>
      <c r="PHW208" s="128">
        <f>DATA!PHZ35</f>
        <v>0</v>
      </c>
      <c r="PHX208" s="128">
        <f>DATA!PIA35</f>
        <v>0</v>
      </c>
      <c r="PHY208" s="128">
        <f>DATA!PIB35</f>
        <v>0</v>
      </c>
      <c r="PHZ208" s="128">
        <f>DATA!PIC35</f>
        <v>0</v>
      </c>
      <c r="PIA208" s="128">
        <f>DATA!PID35</f>
        <v>0</v>
      </c>
      <c r="PIB208" s="128">
        <f>DATA!PIE35</f>
        <v>0</v>
      </c>
      <c r="PIC208" s="128">
        <f>DATA!PIF35</f>
        <v>0</v>
      </c>
      <c r="PID208" s="128">
        <f>DATA!PIG35</f>
        <v>0</v>
      </c>
      <c r="PIE208" s="128">
        <f>DATA!PIH35</f>
        <v>0</v>
      </c>
      <c r="PIF208" s="128">
        <f>DATA!PII35</f>
        <v>0</v>
      </c>
      <c r="PIG208" s="128">
        <f>DATA!PIJ35</f>
        <v>0</v>
      </c>
      <c r="PIH208" s="128">
        <f>DATA!PIK35</f>
        <v>0</v>
      </c>
      <c r="PII208" s="128">
        <f>DATA!PIL35</f>
        <v>0</v>
      </c>
      <c r="PIJ208" s="128">
        <f>DATA!PIM35</f>
        <v>0</v>
      </c>
      <c r="PIK208" s="128">
        <f>DATA!PIN35</f>
        <v>0</v>
      </c>
      <c r="PIL208" s="128">
        <f>DATA!PIO35</f>
        <v>0</v>
      </c>
      <c r="PIM208" s="128">
        <f>DATA!PIP35</f>
        <v>0</v>
      </c>
      <c r="PIN208" s="128">
        <f>DATA!PIQ35</f>
        <v>0</v>
      </c>
      <c r="PIO208" s="128">
        <f>DATA!PIR35</f>
        <v>0</v>
      </c>
      <c r="PIP208" s="128">
        <f>DATA!PIS35</f>
        <v>0</v>
      </c>
      <c r="PIQ208" s="128">
        <f>DATA!PIT35</f>
        <v>0</v>
      </c>
      <c r="PIR208" s="128">
        <f>DATA!PIU35</f>
        <v>0</v>
      </c>
      <c r="PIS208" s="128">
        <f>DATA!PIV35</f>
        <v>0</v>
      </c>
      <c r="PIT208" s="128">
        <f>DATA!PIW35</f>
        <v>0</v>
      </c>
      <c r="PIU208" s="128">
        <f>DATA!PIX35</f>
        <v>0</v>
      </c>
      <c r="PIV208" s="128">
        <f>DATA!PIY35</f>
        <v>0</v>
      </c>
      <c r="PIW208" s="128">
        <f>DATA!PIZ35</f>
        <v>0</v>
      </c>
      <c r="PIX208" s="128">
        <f>DATA!PJA35</f>
        <v>0</v>
      </c>
      <c r="PIY208" s="128">
        <f>DATA!PJB35</f>
        <v>0</v>
      </c>
      <c r="PIZ208" s="128">
        <f>DATA!PJC35</f>
        <v>0</v>
      </c>
      <c r="PJA208" s="128">
        <f>DATA!PJD35</f>
        <v>0</v>
      </c>
      <c r="PJB208" s="128">
        <f>DATA!PJE35</f>
        <v>0</v>
      </c>
      <c r="PJC208" s="128">
        <f>DATA!PJF35</f>
        <v>0</v>
      </c>
      <c r="PJD208" s="128">
        <f>DATA!PJG35</f>
        <v>0</v>
      </c>
      <c r="PJE208" s="128">
        <f>DATA!PJH35</f>
        <v>0</v>
      </c>
      <c r="PJF208" s="128">
        <f>DATA!PJI35</f>
        <v>0</v>
      </c>
      <c r="PJG208" s="128">
        <f>DATA!PJJ35</f>
        <v>0</v>
      </c>
      <c r="PJH208" s="128">
        <f>DATA!PJK35</f>
        <v>0</v>
      </c>
      <c r="PJI208" s="128">
        <f>DATA!PJL35</f>
        <v>0</v>
      </c>
      <c r="PJJ208" s="128">
        <f>DATA!PJM35</f>
        <v>0</v>
      </c>
      <c r="PJK208" s="128">
        <f>DATA!PJN35</f>
        <v>0</v>
      </c>
      <c r="PJL208" s="128">
        <f>DATA!PJO35</f>
        <v>0</v>
      </c>
      <c r="PJM208" s="128">
        <f>DATA!PJP35</f>
        <v>0</v>
      </c>
      <c r="PJN208" s="128">
        <f>DATA!PJQ35</f>
        <v>0</v>
      </c>
      <c r="PJO208" s="128">
        <f>DATA!PJR35</f>
        <v>0</v>
      </c>
      <c r="PJP208" s="128">
        <f>DATA!PJS35</f>
        <v>0</v>
      </c>
      <c r="PJQ208" s="128">
        <f>DATA!PJT35</f>
        <v>0</v>
      </c>
      <c r="PJR208" s="128">
        <f>DATA!PJU35</f>
        <v>0</v>
      </c>
      <c r="PJS208" s="128">
        <f>DATA!PJV35</f>
        <v>0</v>
      </c>
      <c r="PJT208" s="128">
        <f>DATA!PJW35</f>
        <v>0</v>
      </c>
      <c r="PJU208" s="128">
        <f>DATA!PJX35</f>
        <v>0</v>
      </c>
      <c r="PJV208" s="128">
        <f>DATA!PJY35</f>
        <v>0</v>
      </c>
      <c r="PJW208" s="128">
        <f>DATA!PJZ35</f>
        <v>0</v>
      </c>
      <c r="PJX208" s="128">
        <f>DATA!PKA35</f>
        <v>0</v>
      </c>
      <c r="PJY208" s="128">
        <f>DATA!PKB35</f>
        <v>0</v>
      </c>
      <c r="PJZ208" s="128">
        <f>DATA!PKC35</f>
        <v>0</v>
      </c>
      <c r="PKA208" s="128">
        <f>DATA!PKD35</f>
        <v>0</v>
      </c>
      <c r="PKB208" s="128">
        <f>DATA!PKE35</f>
        <v>0</v>
      </c>
      <c r="PKC208" s="128">
        <f>DATA!PKF35</f>
        <v>0</v>
      </c>
      <c r="PKD208" s="128">
        <f>DATA!PKG35</f>
        <v>0</v>
      </c>
      <c r="PKE208" s="128">
        <f>DATA!PKH35</f>
        <v>0</v>
      </c>
      <c r="PKF208" s="128">
        <f>DATA!PKI35</f>
        <v>0</v>
      </c>
      <c r="PKG208" s="128">
        <f>DATA!PKJ35</f>
        <v>0</v>
      </c>
      <c r="PKH208" s="128">
        <f>DATA!PKK35</f>
        <v>0</v>
      </c>
      <c r="PKI208" s="128">
        <f>DATA!PKL35</f>
        <v>0</v>
      </c>
      <c r="PKJ208" s="128">
        <f>DATA!PKM35</f>
        <v>0</v>
      </c>
      <c r="PKK208" s="128">
        <f>DATA!PKN35</f>
        <v>0</v>
      </c>
      <c r="PKL208" s="128">
        <f>DATA!PKO35</f>
        <v>0</v>
      </c>
      <c r="PKM208" s="128">
        <f>DATA!PKP35</f>
        <v>0</v>
      </c>
      <c r="PKN208" s="128">
        <f>DATA!PKQ35</f>
        <v>0</v>
      </c>
      <c r="PKO208" s="128">
        <f>DATA!PKR35</f>
        <v>0</v>
      </c>
      <c r="PKP208" s="128">
        <f>DATA!PKS35</f>
        <v>0</v>
      </c>
      <c r="PKQ208" s="128">
        <f>DATA!PKT35</f>
        <v>0</v>
      </c>
      <c r="PKR208" s="128">
        <f>DATA!PKU35</f>
        <v>0</v>
      </c>
      <c r="PKS208" s="128">
        <f>DATA!PKV35</f>
        <v>0</v>
      </c>
      <c r="PKT208" s="128">
        <f>DATA!PKW35</f>
        <v>0</v>
      </c>
      <c r="PKU208" s="128">
        <f>DATA!PKX35</f>
        <v>0</v>
      </c>
      <c r="PKV208" s="128">
        <f>DATA!PKY35</f>
        <v>0</v>
      </c>
      <c r="PKW208" s="128">
        <f>DATA!PKZ35</f>
        <v>0</v>
      </c>
      <c r="PKX208" s="128">
        <f>DATA!PLA35</f>
        <v>0</v>
      </c>
      <c r="PKY208" s="128">
        <f>DATA!PLB35</f>
        <v>0</v>
      </c>
      <c r="PKZ208" s="128">
        <f>DATA!PLC35</f>
        <v>0</v>
      </c>
      <c r="PLA208" s="128">
        <f>DATA!PLD35</f>
        <v>0</v>
      </c>
      <c r="PLB208" s="128">
        <f>DATA!PLE35</f>
        <v>0</v>
      </c>
      <c r="PLC208" s="128">
        <f>DATA!PLF35</f>
        <v>0</v>
      </c>
      <c r="PLD208" s="128">
        <f>DATA!PLG35</f>
        <v>0</v>
      </c>
      <c r="PLE208" s="128">
        <f>DATA!PLH35</f>
        <v>0</v>
      </c>
      <c r="PLF208" s="128">
        <f>DATA!PLI35</f>
        <v>0</v>
      </c>
      <c r="PLG208" s="128">
        <f>DATA!PLJ35</f>
        <v>0</v>
      </c>
      <c r="PLH208" s="128">
        <f>DATA!PLK35</f>
        <v>0</v>
      </c>
      <c r="PLI208" s="128">
        <f>DATA!PLL35</f>
        <v>0</v>
      </c>
      <c r="PLJ208" s="128">
        <f>DATA!PLM35</f>
        <v>0</v>
      </c>
      <c r="PLK208" s="128">
        <f>DATA!PLN35</f>
        <v>0</v>
      </c>
      <c r="PLL208" s="128">
        <f>DATA!PLO35</f>
        <v>0</v>
      </c>
      <c r="PLM208" s="128">
        <f>DATA!PLP35</f>
        <v>0</v>
      </c>
      <c r="PLN208" s="128">
        <f>DATA!PLQ35</f>
        <v>0</v>
      </c>
      <c r="PLO208" s="128">
        <f>DATA!PLR35</f>
        <v>0</v>
      </c>
      <c r="PLP208" s="128">
        <f>DATA!PLS35</f>
        <v>0</v>
      </c>
      <c r="PLQ208" s="128">
        <f>DATA!PLT35</f>
        <v>0</v>
      </c>
      <c r="PLR208" s="128">
        <f>DATA!PLU35</f>
        <v>0</v>
      </c>
      <c r="PLS208" s="128">
        <f>DATA!PLV35</f>
        <v>0</v>
      </c>
      <c r="PLT208" s="128">
        <f>DATA!PLW35</f>
        <v>0</v>
      </c>
      <c r="PLU208" s="128">
        <f>DATA!PLX35</f>
        <v>0</v>
      </c>
      <c r="PLV208" s="128">
        <f>DATA!PLY35</f>
        <v>0</v>
      </c>
      <c r="PLW208" s="128">
        <f>DATA!PLZ35</f>
        <v>0</v>
      </c>
      <c r="PLX208" s="128">
        <f>DATA!PMA35</f>
        <v>0</v>
      </c>
      <c r="PLY208" s="128">
        <f>DATA!PMB35</f>
        <v>0</v>
      </c>
      <c r="PLZ208" s="128">
        <f>DATA!PMC35</f>
        <v>0</v>
      </c>
      <c r="PMA208" s="128">
        <f>DATA!PMD35</f>
        <v>0</v>
      </c>
      <c r="PMB208" s="128">
        <f>DATA!PME35</f>
        <v>0</v>
      </c>
      <c r="PMC208" s="128">
        <f>DATA!PMF35</f>
        <v>0</v>
      </c>
      <c r="PMD208" s="128">
        <f>DATA!PMG35</f>
        <v>0</v>
      </c>
      <c r="PME208" s="128">
        <f>DATA!PMH35</f>
        <v>0</v>
      </c>
      <c r="PMF208" s="128">
        <f>DATA!PMI35</f>
        <v>0</v>
      </c>
      <c r="PMG208" s="128">
        <f>DATA!PMJ35</f>
        <v>0</v>
      </c>
      <c r="PMH208" s="128">
        <f>DATA!PMK35</f>
        <v>0</v>
      </c>
      <c r="PMI208" s="128">
        <f>DATA!PML35</f>
        <v>0</v>
      </c>
      <c r="PMJ208" s="128">
        <f>DATA!PMM35</f>
        <v>0</v>
      </c>
      <c r="PMK208" s="128">
        <f>DATA!PMN35</f>
        <v>0</v>
      </c>
      <c r="PML208" s="128">
        <f>DATA!PMO35</f>
        <v>0</v>
      </c>
      <c r="PMM208" s="128">
        <f>DATA!PMP35</f>
        <v>0</v>
      </c>
      <c r="PMN208" s="128">
        <f>DATA!PMQ35</f>
        <v>0</v>
      </c>
      <c r="PMO208" s="128">
        <f>DATA!PMR35</f>
        <v>0</v>
      </c>
      <c r="PMP208" s="128">
        <f>DATA!PMS35</f>
        <v>0</v>
      </c>
      <c r="PMQ208" s="128">
        <f>DATA!PMT35</f>
        <v>0</v>
      </c>
      <c r="PMR208" s="128">
        <f>DATA!PMU35</f>
        <v>0</v>
      </c>
      <c r="PMS208" s="128">
        <f>DATA!PMV35</f>
        <v>0</v>
      </c>
      <c r="PMT208" s="128">
        <f>DATA!PMW35</f>
        <v>0</v>
      </c>
      <c r="PMU208" s="128">
        <f>DATA!PMX35</f>
        <v>0</v>
      </c>
      <c r="PMV208" s="128">
        <f>DATA!PMY35</f>
        <v>0</v>
      </c>
      <c r="PMW208" s="128">
        <f>DATA!PMZ35</f>
        <v>0</v>
      </c>
      <c r="PMX208" s="128">
        <f>DATA!PNA35</f>
        <v>0</v>
      </c>
      <c r="PMY208" s="128">
        <f>DATA!PNB35</f>
        <v>0</v>
      </c>
      <c r="PMZ208" s="128">
        <f>DATA!PNC35</f>
        <v>0</v>
      </c>
      <c r="PNA208" s="128">
        <f>DATA!PND35</f>
        <v>0</v>
      </c>
      <c r="PNB208" s="128">
        <f>DATA!PNE35</f>
        <v>0</v>
      </c>
      <c r="PNC208" s="128">
        <f>DATA!PNF35</f>
        <v>0</v>
      </c>
      <c r="PND208" s="128">
        <f>DATA!PNG35</f>
        <v>0</v>
      </c>
      <c r="PNE208" s="128">
        <f>DATA!PNH35</f>
        <v>0</v>
      </c>
      <c r="PNF208" s="128">
        <f>DATA!PNI35</f>
        <v>0</v>
      </c>
      <c r="PNG208" s="128">
        <f>DATA!PNJ35</f>
        <v>0</v>
      </c>
      <c r="PNH208" s="128">
        <f>DATA!PNK35</f>
        <v>0</v>
      </c>
      <c r="PNI208" s="128">
        <f>DATA!PNL35</f>
        <v>0</v>
      </c>
      <c r="PNJ208" s="128">
        <f>DATA!PNM35</f>
        <v>0</v>
      </c>
      <c r="PNK208" s="128">
        <f>DATA!PNN35</f>
        <v>0</v>
      </c>
      <c r="PNL208" s="128">
        <f>DATA!PNO35</f>
        <v>0</v>
      </c>
      <c r="PNM208" s="128">
        <f>DATA!PNP35</f>
        <v>0</v>
      </c>
      <c r="PNN208" s="128">
        <f>DATA!PNQ35</f>
        <v>0</v>
      </c>
      <c r="PNO208" s="128">
        <f>DATA!PNR35</f>
        <v>0</v>
      </c>
      <c r="PNP208" s="128">
        <f>DATA!PNS35</f>
        <v>0</v>
      </c>
      <c r="PNQ208" s="128">
        <f>DATA!PNT35</f>
        <v>0</v>
      </c>
      <c r="PNR208" s="128">
        <f>DATA!PNU35</f>
        <v>0</v>
      </c>
      <c r="PNS208" s="128">
        <f>DATA!PNV35</f>
        <v>0</v>
      </c>
      <c r="PNT208" s="128">
        <f>DATA!PNW35</f>
        <v>0</v>
      </c>
      <c r="PNU208" s="128">
        <f>DATA!PNX35</f>
        <v>0</v>
      </c>
      <c r="PNV208" s="128">
        <f>DATA!PNY35</f>
        <v>0</v>
      </c>
      <c r="PNW208" s="128">
        <f>DATA!PNZ35</f>
        <v>0</v>
      </c>
      <c r="PNX208" s="128">
        <f>DATA!POA35</f>
        <v>0</v>
      </c>
      <c r="PNY208" s="128">
        <f>DATA!POB35</f>
        <v>0</v>
      </c>
      <c r="PNZ208" s="128">
        <f>DATA!POC35</f>
        <v>0</v>
      </c>
      <c r="POA208" s="128">
        <f>DATA!POD35</f>
        <v>0</v>
      </c>
      <c r="POB208" s="128">
        <f>DATA!POE35</f>
        <v>0</v>
      </c>
      <c r="POC208" s="128">
        <f>DATA!POF35</f>
        <v>0</v>
      </c>
      <c r="POD208" s="128">
        <f>DATA!POG35</f>
        <v>0</v>
      </c>
      <c r="POE208" s="128">
        <f>DATA!POH35</f>
        <v>0</v>
      </c>
      <c r="POF208" s="128">
        <f>DATA!POI35</f>
        <v>0</v>
      </c>
      <c r="POG208" s="128">
        <f>DATA!POJ35</f>
        <v>0</v>
      </c>
      <c r="POH208" s="128">
        <f>DATA!POK35</f>
        <v>0</v>
      </c>
      <c r="POI208" s="128">
        <f>DATA!POL35</f>
        <v>0</v>
      </c>
      <c r="POJ208" s="128">
        <f>DATA!POM35</f>
        <v>0</v>
      </c>
      <c r="POK208" s="128">
        <f>DATA!PON35</f>
        <v>0</v>
      </c>
      <c r="POL208" s="128">
        <f>DATA!POO35</f>
        <v>0</v>
      </c>
      <c r="POM208" s="128">
        <f>DATA!POP35</f>
        <v>0</v>
      </c>
      <c r="PON208" s="128">
        <f>DATA!POQ35</f>
        <v>0</v>
      </c>
      <c r="POO208" s="128">
        <f>DATA!POR35</f>
        <v>0</v>
      </c>
      <c r="POP208" s="128">
        <f>DATA!POS35</f>
        <v>0</v>
      </c>
      <c r="POQ208" s="128">
        <f>DATA!POT35</f>
        <v>0</v>
      </c>
      <c r="POR208" s="128">
        <f>DATA!POU35</f>
        <v>0</v>
      </c>
      <c r="POS208" s="128">
        <f>DATA!POV35</f>
        <v>0</v>
      </c>
      <c r="POT208" s="128">
        <f>DATA!POW35</f>
        <v>0</v>
      </c>
      <c r="POU208" s="128">
        <f>DATA!POX35</f>
        <v>0</v>
      </c>
      <c r="POV208" s="128">
        <f>DATA!POY35</f>
        <v>0</v>
      </c>
      <c r="POW208" s="128">
        <f>DATA!POZ35</f>
        <v>0</v>
      </c>
      <c r="POX208" s="128">
        <f>DATA!PPA35</f>
        <v>0</v>
      </c>
      <c r="POY208" s="128">
        <f>DATA!PPB35</f>
        <v>0</v>
      </c>
      <c r="POZ208" s="128">
        <f>DATA!PPC35</f>
        <v>0</v>
      </c>
      <c r="PPA208" s="128">
        <f>DATA!PPD35</f>
        <v>0</v>
      </c>
      <c r="PPB208" s="128">
        <f>DATA!PPE35</f>
        <v>0</v>
      </c>
      <c r="PPC208" s="128">
        <f>DATA!PPF35</f>
        <v>0</v>
      </c>
      <c r="PPD208" s="128">
        <f>DATA!PPG35</f>
        <v>0</v>
      </c>
      <c r="PPE208" s="128">
        <f>DATA!PPH35</f>
        <v>0</v>
      </c>
      <c r="PPF208" s="128">
        <f>DATA!PPI35</f>
        <v>0</v>
      </c>
      <c r="PPG208" s="128">
        <f>DATA!PPJ35</f>
        <v>0</v>
      </c>
      <c r="PPH208" s="128">
        <f>DATA!PPK35</f>
        <v>0</v>
      </c>
      <c r="PPI208" s="128">
        <f>DATA!PPL35</f>
        <v>0</v>
      </c>
      <c r="PPJ208" s="128">
        <f>DATA!PPM35</f>
        <v>0</v>
      </c>
      <c r="PPK208" s="128">
        <f>DATA!PPN35</f>
        <v>0</v>
      </c>
      <c r="PPL208" s="128">
        <f>DATA!PPO35</f>
        <v>0</v>
      </c>
      <c r="PPM208" s="128">
        <f>DATA!PPP35</f>
        <v>0</v>
      </c>
      <c r="PPN208" s="128">
        <f>DATA!PPQ35</f>
        <v>0</v>
      </c>
      <c r="PPO208" s="128">
        <f>DATA!PPR35</f>
        <v>0</v>
      </c>
      <c r="PPP208" s="128">
        <f>DATA!PPS35</f>
        <v>0</v>
      </c>
      <c r="PPQ208" s="128">
        <f>DATA!PPT35</f>
        <v>0</v>
      </c>
      <c r="PPR208" s="128">
        <f>DATA!PPU35</f>
        <v>0</v>
      </c>
      <c r="PPS208" s="128">
        <f>DATA!PPV35</f>
        <v>0</v>
      </c>
      <c r="PPT208" s="128">
        <f>DATA!PPW35</f>
        <v>0</v>
      </c>
      <c r="PPU208" s="128">
        <f>DATA!PPX35</f>
        <v>0</v>
      </c>
      <c r="PPV208" s="128">
        <f>DATA!PPY35</f>
        <v>0</v>
      </c>
      <c r="PPW208" s="128">
        <f>DATA!PPZ35</f>
        <v>0</v>
      </c>
      <c r="PPX208" s="128">
        <f>DATA!PQA35</f>
        <v>0</v>
      </c>
      <c r="PPY208" s="128">
        <f>DATA!PQB35</f>
        <v>0</v>
      </c>
      <c r="PPZ208" s="128">
        <f>DATA!PQC35</f>
        <v>0</v>
      </c>
      <c r="PQA208" s="128">
        <f>DATA!PQD35</f>
        <v>0</v>
      </c>
      <c r="PQB208" s="128">
        <f>DATA!PQE35</f>
        <v>0</v>
      </c>
      <c r="PQC208" s="128">
        <f>DATA!PQF35</f>
        <v>0</v>
      </c>
      <c r="PQD208" s="128">
        <f>DATA!PQG35</f>
        <v>0</v>
      </c>
      <c r="PQE208" s="128">
        <f>DATA!PQH35</f>
        <v>0</v>
      </c>
      <c r="PQF208" s="128">
        <f>DATA!PQI35</f>
        <v>0</v>
      </c>
      <c r="PQG208" s="128">
        <f>DATA!PQJ35</f>
        <v>0</v>
      </c>
      <c r="PQH208" s="128">
        <f>DATA!PQK35</f>
        <v>0</v>
      </c>
      <c r="PQI208" s="128">
        <f>DATA!PQL35</f>
        <v>0</v>
      </c>
      <c r="PQJ208" s="128">
        <f>DATA!PQM35</f>
        <v>0</v>
      </c>
      <c r="PQK208" s="128">
        <f>DATA!PQN35</f>
        <v>0</v>
      </c>
      <c r="PQL208" s="128">
        <f>DATA!PQO35</f>
        <v>0</v>
      </c>
      <c r="PQM208" s="128">
        <f>DATA!PQP35</f>
        <v>0</v>
      </c>
      <c r="PQN208" s="128">
        <f>DATA!PQQ35</f>
        <v>0</v>
      </c>
      <c r="PQO208" s="128">
        <f>DATA!PQR35</f>
        <v>0</v>
      </c>
      <c r="PQP208" s="128">
        <f>DATA!PQS35</f>
        <v>0</v>
      </c>
      <c r="PQQ208" s="128">
        <f>DATA!PQT35</f>
        <v>0</v>
      </c>
      <c r="PQR208" s="128">
        <f>DATA!PQU35</f>
        <v>0</v>
      </c>
      <c r="PQS208" s="128">
        <f>DATA!PQV35</f>
        <v>0</v>
      </c>
      <c r="PQT208" s="128">
        <f>DATA!PQW35</f>
        <v>0</v>
      </c>
      <c r="PQU208" s="128">
        <f>DATA!PQX35</f>
        <v>0</v>
      </c>
      <c r="PQV208" s="128">
        <f>DATA!PQY35</f>
        <v>0</v>
      </c>
      <c r="PQW208" s="128">
        <f>DATA!PQZ35</f>
        <v>0</v>
      </c>
      <c r="PQX208" s="128">
        <f>DATA!PRA35</f>
        <v>0</v>
      </c>
      <c r="PQY208" s="128">
        <f>DATA!PRB35</f>
        <v>0</v>
      </c>
      <c r="PQZ208" s="128">
        <f>DATA!PRC35</f>
        <v>0</v>
      </c>
      <c r="PRA208" s="128">
        <f>DATA!PRD35</f>
        <v>0</v>
      </c>
      <c r="PRB208" s="128">
        <f>DATA!PRE35</f>
        <v>0</v>
      </c>
      <c r="PRC208" s="128">
        <f>DATA!PRF35</f>
        <v>0</v>
      </c>
      <c r="PRD208" s="128">
        <f>DATA!PRG35</f>
        <v>0</v>
      </c>
      <c r="PRE208" s="128">
        <f>DATA!PRH35</f>
        <v>0</v>
      </c>
      <c r="PRF208" s="128">
        <f>DATA!PRI35</f>
        <v>0</v>
      </c>
      <c r="PRG208" s="128">
        <f>DATA!PRJ35</f>
        <v>0</v>
      </c>
      <c r="PRH208" s="128">
        <f>DATA!PRK35</f>
        <v>0</v>
      </c>
      <c r="PRI208" s="128">
        <f>DATA!PRL35</f>
        <v>0</v>
      </c>
      <c r="PRJ208" s="128">
        <f>DATA!PRM35</f>
        <v>0</v>
      </c>
      <c r="PRK208" s="128">
        <f>DATA!PRN35</f>
        <v>0</v>
      </c>
      <c r="PRL208" s="128">
        <f>DATA!PRO35</f>
        <v>0</v>
      </c>
      <c r="PRM208" s="128">
        <f>DATA!PRP35</f>
        <v>0</v>
      </c>
      <c r="PRN208" s="128">
        <f>DATA!PRQ35</f>
        <v>0</v>
      </c>
      <c r="PRO208" s="128">
        <f>DATA!PRR35</f>
        <v>0</v>
      </c>
      <c r="PRP208" s="128">
        <f>DATA!PRS35</f>
        <v>0</v>
      </c>
      <c r="PRQ208" s="128">
        <f>DATA!PRT35</f>
        <v>0</v>
      </c>
      <c r="PRR208" s="128">
        <f>DATA!PRU35</f>
        <v>0</v>
      </c>
      <c r="PRS208" s="128">
        <f>DATA!PRV35</f>
        <v>0</v>
      </c>
      <c r="PRT208" s="128">
        <f>DATA!PRW35</f>
        <v>0</v>
      </c>
      <c r="PRU208" s="128">
        <f>DATA!PRX35</f>
        <v>0</v>
      </c>
      <c r="PRV208" s="128">
        <f>DATA!PRY35</f>
        <v>0</v>
      </c>
      <c r="PRW208" s="128">
        <f>DATA!PRZ35</f>
        <v>0</v>
      </c>
      <c r="PRX208" s="128">
        <f>DATA!PSA35</f>
        <v>0</v>
      </c>
      <c r="PRY208" s="128">
        <f>DATA!PSB35</f>
        <v>0</v>
      </c>
      <c r="PRZ208" s="128">
        <f>DATA!PSC35</f>
        <v>0</v>
      </c>
      <c r="PSA208" s="128">
        <f>DATA!PSD35</f>
        <v>0</v>
      </c>
      <c r="PSB208" s="128">
        <f>DATA!PSE35</f>
        <v>0</v>
      </c>
      <c r="PSC208" s="128">
        <f>DATA!PSF35</f>
        <v>0</v>
      </c>
      <c r="PSD208" s="128">
        <f>DATA!PSG35</f>
        <v>0</v>
      </c>
      <c r="PSE208" s="128">
        <f>DATA!PSH35</f>
        <v>0</v>
      </c>
      <c r="PSF208" s="128">
        <f>DATA!PSI35</f>
        <v>0</v>
      </c>
      <c r="PSG208" s="128">
        <f>DATA!PSJ35</f>
        <v>0</v>
      </c>
      <c r="PSH208" s="128">
        <f>DATA!PSK35</f>
        <v>0</v>
      </c>
      <c r="PSI208" s="128">
        <f>DATA!PSL35</f>
        <v>0</v>
      </c>
      <c r="PSJ208" s="128">
        <f>DATA!PSM35</f>
        <v>0</v>
      </c>
      <c r="PSK208" s="128">
        <f>DATA!PSN35</f>
        <v>0</v>
      </c>
      <c r="PSL208" s="128">
        <f>DATA!PSO35</f>
        <v>0</v>
      </c>
      <c r="PSM208" s="128">
        <f>DATA!PSP35</f>
        <v>0</v>
      </c>
      <c r="PSN208" s="128">
        <f>DATA!PSQ35</f>
        <v>0</v>
      </c>
      <c r="PSO208" s="128">
        <f>DATA!PSR35</f>
        <v>0</v>
      </c>
      <c r="PSP208" s="128">
        <f>DATA!PSS35</f>
        <v>0</v>
      </c>
      <c r="PSQ208" s="128">
        <f>DATA!PST35</f>
        <v>0</v>
      </c>
      <c r="PSR208" s="128">
        <f>DATA!PSU35</f>
        <v>0</v>
      </c>
      <c r="PSS208" s="128">
        <f>DATA!PSV35</f>
        <v>0</v>
      </c>
      <c r="PST208" s="128">
        <f>DATA!PSW35</f>
        <v>0</v>
      </c>
      <c r="PSU208" s="128">
        <f>DATA!PSX35</f>
        <v>0</v>
      </c>
      <c r="PSV208" s="128">
        <f>DATA!PSY35</f>
        <v>0</v>
      </c>
      <c r="PSW208" s="128">
        <f>DATA!PSZ35</f>
        <v>0</v>
      </c>
      <c r="PSX208" s="128">
        <f>DATA!PTA35</f>
        <v>0</v>
      </c>
      <c r="PSY208" s="128">
        <f>DATA!PTB35</f>
        <v>0</v>
      </c>
      <c r="PSZ208" s="128">
        <f>DATA!PTC35</f>
        <v>0</v>
      </c>
      <c r="PTA208" s="128">
        <f>DATA!PTD35</f>
        <v>0</v>
      </c>
      <c r="PTB208" s="128">
        <f>DATA!PTE35</f>
        <v>0</v>
      </c>
      <c r="PTC208" s="128">
        <f>DATA!PTF35</f>
        <v>0</v>
      </c>
      <c r="PTD208" s="128">
        <f>DATA!PTG35</f>
        <v>0</v>
      </c>
      <c r="PTE208" s="128">
        <f>DATA!PTH35</f>
        <v>0</v>
      </c>
      <c r="PTF208" s="128">
        <f>DATA!PTI35</f>
        <v>0</v>
      </c>
      <c r="PTG208" s="128">
        <f>DATA!PTJ35</f>
        <v>0</v>
      </c>
      <c r="PTH208" s="128">
        <f>DATA!PTK35</f>
        <v>0</v>
      </c>
      <c r="PTI208" s="128">
        <f>DATA!PTL35</f>
        <v>0</v>
      </c>
      <c r="PTJ208" s="128">
        <f>DATA!PTM35</f>
        <v>0</v>
      </c>
      <c r="PTK208" s="128">
        <f>DATA!PTN35</f>
        <v>0</v>
      </c>
      <c r="PTL208" s="128">
        <f>DATA!PTO35</f>
        <v>0</v>
      </c>
      <c r="PTM208" s="128">
        <f>DATA!PTP35</f>
        <v>0</v>
      </c>
      <c r="PTN208" s="128">
        <f>DATA!PTQ35</f>
        <v>0</v>
      </c>
      <c r="PTO208" s="128">
        <f>DATA!PTR35</f>
        <v>0</v>
      </c>
      <c r="PTP208" s="128">
        <f>DATA!PTS35</f>
        <v>0</v>
      </c>
      <c r="PTQ208" s="128">
        <f>DATA!PTT35</f>
        <v>0</v>
      </c>
      <c r="PTR208" s="128">
        <f>DATA!PTU35</f>
        <v>0</v>
      </c>
      <c r="PTS208" s="128">
        <f>DATA!PTV35</f>
        <v>0</v>
      </c>
      <c r="PTT208" s="128">
        <f>DATA!PTW35</f>
        <v>0</v>
      </c>
      <c r="PTU208" s="128">
        <f>DATA!PTX35</f>
        <v>0</v>
      </c>
      <c r="PTV208" s="128">
        <f>DATA!PTY35</f>
        <v>0</v>
      </c>
      <c r="PTW208" s="128">
        <f>DATA!PTZ35</f>
        <v>0</v>
      </c>
      <c r="PTX208" s="128">
        <f>DATA!PUA35</f>
        <v>0</v>
      </c>
      <c r="PTY208" s="128">
        <f>DATA!PUB35</f>
        <v>0</v>
      </c>
      <c r="PTZ208" s="128">
        <f>DATA!PUC35</f>
        <v>0</v>
      </c>
      <c r="PUA208" s="128">
        <f>DATA!PUD35</f>
        <v>0</v>
      </c>
      <c r="PUB208" s="128">
        <f>DATA!PUE35</f>
        <v>0</v>
      </c>
      <c r="PUC208" s="128">
        <f>DATA!PUF35</f>
        <v>0</v>
      </c>
      <c r="PUD208" s="128">
        <f>DATA!PUG35</f>
        <v>0</v>
      </c>
      <c r="PUE208" s="128">
        <f>DATA!PUH35</f>
        <v>0</v>
      </c>
      <c r="PUF208" s="128">
        <f>DATA!PUI35</f>
        <v>0</v>
      </c>
      <c r="PUG208" s="128">
        <f>DATA!PUJ35</f>
        <v>0</v>
      </c>
      <c r="PUH208" s="128">
        <f>DATA!PUK35</f>
        <v>0</v>
      </c>
      <c r="PUI208" s="128">
        <f>DATA!PUL35</f>
        <v>0</v>
      </c>
      <c r="PUJ208" s="128">
        <f>DATA!PUM35</f>
        <v>0</v>
      </c>
      <c r="PUK208" s="128">
        <f>DATA!PUN35</f>
        <v>0</v>
      </c>
      <c r="PUL208" s="128">
        <f>DATA!PUO35</f>
        <v>0</v>
      </c>
      <c r="PUM208" s="128">
        <f>DATA!PUP35</f>
        <v>0</v>
      </c>
      <c r="PUN208" s="128">
        <f>DATA!PUQ35</f>
        <v>0</v>
      </c>
      <c r="PUO208" s="128">
        <f>DATA!PUR35</f>
        <v>0</v>
      </c>
      <c r="PUP208" s="128">
        <f>DATA!PUS35</f>
        <v>0</v>
      </c>
      <c r="PUQ208" s="128">
        <f>DATA!PUT35</f>
        <v>0</v>
      </c>
      <c r="PUR208" s="128">
        <f>DATA!PUU35</f>
        <v>0</v>
      </c>
      <c r="PUS208" s="128">
        <f>DATA!PUV35</f>
        <v>0</v>
      </c>
      <c r="PUT208" s="128">
        <f>DATA!PUW35</f>
        <v>0</v>
      </c>
      <c r="PUU208" s="128">
        <f>DATA!PUX35</f>
        <v>0</v>
      </c>
      <c r="PUV208" s="128">
        <f>DATA!PUY35</f>
        <v>0</v>
      </c>
      <c r="PUW208" s="128">
        <f>DATA!PUZ35</f>
        <v>0</v>
      </c>
      <c r="PUX208" s="128">
        <f>DATA!PVA35</f>
        <v>0</v>
      </c>
      <c r="PUY208" s="128">
        <f>DATA!PVB35</f>
        <v>0</v>
      </c>
      <c r="PUZ208" s="128">
        <f>DATA!PVC35</f>
        <v>0</v>
      </c>
      <c r="PVA208" s="128">
        <f>DATA!PVD35</f>
        <v>0</v>
      </c>
      <c r="PVB208" s="128">
        <f>DATA!PVE35</f>
        <v>0</v>
      </c>
      <c r="PVC208" s="128">
        <f>DATA!PVF35</f>
        <v>0</v>
      </c>
      <c r="PVD208" s="128">
        <f>DATA!PVG35</f>
        <v>0</v>
      </c>
      <c r="PVE208" s="128">
        <f>DATA!PVH35</f>
        <v>0</v>
      </c>
      <c r="PVF208" s="128">
        <f>DATA!PVI35</f>
        <v>0</v>
      </c>
      <c r="PVG208" s="128">
        <f>DATA!PVJ35</f>
        <v>0</v>
      </c>
      <c r="PVH208" s="128">
        <f>DATA!PVK35</f>
        <v>0</v>
      </c>
      <c r="PVI208" s="128">
        <f>DATA!PVL35</f>
        <v>0</v>
      </c>
      <c r="PVJ208" s="128">
        <f>DATA!PVM35</f>
        <v>0</v>
      </c>
      <c r="PVK208" s="128">
        <f>DATA!PVN35</f>
        <v>0</v>
      </c>
      <c r="PVL208" s="128">
        <f>DATA!PVO35</f>
        <v>0</v>
      </c>
      <c r="PVM208" s="128">
        <f>DATA!PVP35</f>
        <v>0</v>
      </c>
      <c r="PVN208" s="128">
        <f>DATA!PVQ35</f>
        <v>0</v>
      </c>
      <c r="PVO208" s="128">
        <f>DATA!PVR35</f>
        <v>0</v>
      </c>
      <c r="PVP208" s="128">
        <f>DATA!PVS35</f>
        <v>0</v>
      </c>
      <c r="PVQ208" s="128">
        <f>DATA!PVT35</f>
        <v>0</v>
      </c>
      <c r="PVR208" s="128">
        <f>DATA!PVU35</f>
        <v>0</v>
      </c>
      <c r="PVS208" s="128">
        <f>DATA!PVV35</f>
        <v>0</v>
      </c>
      <c r="PVT208" s="128">
        <f>DATA!PVW35</f>
        <v>0</v>
      </c>
      <c r="PVU208" s="128">
        <f>DATA!PVX35</f>
        <v>0</v>
      </c>
      <c r="PVV208" s="128">
        <f>DATA!PVY35</f>
        <v>0</v>
      </c>
      <c r="PVW208" s="128">
        <f>DATA!PVZ35</f>
        <v>0</v>
      </c>
      <c r="PVX208" s="128">
        <f>DATA!PWA35</f>
        <v>0</v>
      </c>
      <c r="PVY208" s="128">
        <f>DATA!PWB35</f>
        <v>0</v>
      </c>
      <c r="PVZ208" s="128">
        <f>DATA!PWC35</f>
        <v>0</v>
      </c>
      <c r="PWA208" s="128">
        <f>DATA!PWD35</f>
        <v>0</v>
      </c>
      <c r="PWB208" s="128">
        <f>DATA!PWE35</f>
        <v>0</v>
      </c>
      <c r="PWC208" s="128">
        <f>DATA!PWF35</f>
        <v>0</v>
      </c>
      <c r="PWD208" s="128">
        <f>DATA!PWG35</f>
        <v>0</v>
      </c>
      <c r="PWE208" s="128">
        <f>DATA!PWH35</f>
        <v>0</v>
      </c>
      <c r="PWF208" s="128">
        <f>DATA!PWI35</f>
        <v>0</v>
      </c>
      <c r="PWG208" s="128">
        <f>DATA!PWJ35</f>
        <v>0</v>
      </c>
      <c r="PWH208" s="128">
        <f>DATA!PWK35</f>
        <v>0</v>
      </c>
      <c r="PWI208" s="128">
        <f>DATA!PWL35</f>
        <v>0</v>
      </c>
      <c r="PWJ208" s="128">
        <f>DATA!PWM35</f>
        <v>0</v>
      </c>
      <c r="PWK208" s="128">
        <f>DATA!PWN35</f>
        <v>0</v>
      </c>
      <c r="PWL208" s="128">
        <f>DATA!PWO35</f>
        <v>0</v>
      </c>
      <c r="PWM208" s="128">
        <f>DATA!PWP35</f>
        <v>0</v>
      </c>
      <c r="PWN208" s="128">
        <f>DATA!PWQ35</f>
        <v>0</v>
      </c>
      <c r="PWO208" s="128">
        <f>DATA!PWR35</f>
        <v>0</v>
      </c>
      <c r="PWP208" s="128">
        <f>DATA!PWS35</f>
        <v>0</v>
      </c>
      <c r="PWQ208" s="128">
        <f>DATA!PWT35</f>
        <v>0</v>
      </c>
      <c r="PWR208" s="128">
        <f>DATA!PWU35</f>
        <v>0</v>
      </c>
      <c r="PWS208" s="128">
        <f>DATA!PWV35</f>
        <v>0</v>
      </c>
      <c r="PWT208" s="128">
        <f>DATA!PWW35</f>
        <v>0</v>
      </c>
      <c r="PWU208" s="128">
        <f>DATA!PWX35</f>
        <v>0</v>
      </c>
      <c r="PWV208" s="128">
        <f>DATA!PWY35</f>
        <v>0</v>
      </c>
      <c r="PWW208" s="128">
        <f>DATA!PWZ35</f>
        <v>0</v>
      </c>
      <c r="PWX208" s="128">
        <f>DATA!PXA35</f>
        <v>0</v>
      </c>
      <c r="PWY208" s="128">
        <f>DATA!PXB35</f>
        <v>0</v>
      </c>
      <c r="PWZ208" s="128">
        <f>DATA!PXC35</f>
        <v>0</v>
      </c>
      <c r="PXA208" s="128">
        <f>DATA!PXD35</f>
        <v>0</v>
      </c>
      <c r="PXB208" s="128">
        <f>DATA!PXE35</f>
        <v>0</v>
      </c>
      <c r="PXC208" s="128">
        <f>DATA!PXF35</f>
        <v>0</v>
      </c>
      <c r="PXD208" s="128">
        <f>DATA!PXG35</f>
        <v>0</v>
      </c>
      <c r="PXE208" s="128">
        <f>DATA!PXH35</f>
        <v>0</v>
      </c>
      <c r="PXF208" s="128">
        <f>DATA!PXI35</f>
        <v>0</v>
      </c>
      <c r="PXG208" s="128">
        <f>DATA!PXJ35</f>
        <v>0</v>
      </c>
      <c r="PXH208" s="128">
        <f>DATA!PXK35</f>
        <v>0</v>
      </c>
      <c r="PXI208" s="128">
        <f>DATA!PXL35</f>
        <v>0</v>
      </c>
      <c r="PXJ208" s="128">
        <f>DATA!PXM35</f>
        <v>0</v>
      </c>
      <c r="PXK208" s="128">
        <f>DATA!PXN35</f>
        <v>0</v>
      </c>
      <c r="PXL208" s="128">
        <f>DATA!PXO35</f>
        <v>0</v>
      </c>
      <c r="PXM208" s="128">
        <f>DATA!PXP35</f>
        <v>0</v>
      </c>
      <c r="PXN208" s="128">
        <f>DATA!PXQ35</f>
        <v>0</v>
      </c>
      <c r="PXO208" s="128">
        <f>DATA!PXR35</f>
        <v>0</v>
      </c>
      <c r="PXP208" s="128">
        <f>DATA!PXS35</f>
        <v>0</v>
      </c>
      <c r="PXQ208" s="128">
        <f>DATA!PXT35</f>
        <v>0</v>
      </c>
      <c r="PXR208" s="128">
        <f>DATA!PXU35</f>
        <v>0</v>
      </c>
      <c r="PXS208" s="128">
        <f>DATA!PXV35</f>
        <v>0</v>
      </c>
      <c r="PXT208" s="128">
        <f>DATA!PXW35</f>
        <v>0</v>
      </c>
      <c r="PXU208" s="128">
        <f>DATA!PXX35</f>
        <v>0</v>
      </c>
      <c r="PXV208" s="128">
        <f>DATA!PXY35</f>
        <v>0</v>
      </c>
      <c r="PXW208" s="128">
        <f>DATA!PXZ35</f>
        <v>0</v>
      </c>
      <c r="PXX208" s="128">
        <f>DATA!PYA35</f>
        <v>0</v>
      </c>
      <c r="PXY208" s="128">
        <f>DATA!PYB35</f>
        <v>0</v>
      </c>
      <c r="PXZ208" s="128">
        <f>DATA!PYC35</f>
        <v>0</v>
      </c>
      <c r="PYA208" s="128">
        <f>DATA!PYD35</f>
        <v>0</v>
      </c>
      <c r="PYB208" s="128">
        <f>DATA!PYE35</f>
        <v>0</v>
      </c>
      <c r="PYC208" s="128">
        <f>DATA!PYF35</f>
        <v>0</v>
      </c>
      <c r="PYD208" s="128">
        <f>DATA!PYG35</f>
        <v>0</v>
      </c>
      <c r="PYE208" s="128">
        <f>DATA!PYH35</f>
        <v>0</v>
      </c>
      <c r="PYF208" s="128">
        <f>DATA!PYI35</f>
        <v>0</v>
      </c>
      <c r="PYG208" s="128">
        <f>DATA!PYJ35</f>
        <v>0</v>
      </c>
      <c r="PYH208" s="128">
        <f>DATA!PYK35</f>
        <v>0</v>
      </c>
      <c r="PYI208" s="128">
        <f>DATA!PYL35</f>
        <v>0</v>
      </c>
      <c r="PYJ208" s="128">
        <f>DATA!PYM35</f>
        <v>0</v>
      </c>
      <c r="PYK208" s="128">
        <f>DATA!PYN35</f>
        <v>0</v>
      </c>
      <c r="PYL208" s="128">
        <f>DATA!PYO35</f>
        <v>0</v>
      </c>
      <c r="PYM208" s="128">
        <f>DATA!PYP35</f>
        <v>0</v>
      </c>
      <c r="PYN208" s="128">
        <f>DATA!PYQ35</f>
        <v>0</v>
      </c>
      <c r="PYO208" s="128">
        <f>DATA!PYR35</f>
        <v>0</v>
      </c>
      <c r="PYP208" s="128">
        <f>DATA!PYS35</f>
        <v>0</v>
      </c>
      <c r="PYQ208" s="128">
        <f>DATA!PYT35</f>
        <v>0</v>
      </c>
      <c r="PYR208" s="128">
        <f>DATA!PYU35</f>
        <v>0</v>
      </c>
      <c r="PYS208" s="128">
        <f>DATA!PYV35</f>
        <v>0</v>
      </c>
      <c r="PYT208" s="128">
        <f>DATA!PYW35</f>
        <v>0</v>
      </c>
      <c r="PYU208" s="128">
        <f>DATA!PYX35</f>
        <v>0</v>
      </c>
      <c r="PYV208" s="128">
        <f>DATA!PYY35</f>
        <v>0</v>
      </c>
      <c r="PYW208" s="128">
        <f>DATA!PYZ35</f>
        <v>0</v>
      </c>
      <c r="PYX208" s="128">
        <f>DATA!PZA35</f>
        <v>0</v>
      </c>
      <c r="PYY208" s="128">
        <f>DATA!PZB35</f>
        <v>0</v>
      </c>
      <c r="PYZ208" s="128">
        <f>DATA!PZC35</f>
        <v>0</v>
      </c>
      <c r="PZA208" s="128">
        <f>DATA!PZD35</f>
        <v>0</v>
      </c>
      <c r="PZB208" s="128">
        <f>DATA!PZE35</f>
        <v>0</v>
      </c>
      <c r="PZC208" s="128">
        <f>DATA!PZF35</f>
        <v>0</v>
      </c>
      <c r="PZD208" s="128">
        <f>DATA!PZG35</f>
        <v>0</v>
      </c>
      <c r="PZE208" s="128">
        <f>DATA!PZH35</f>
        <v>0</v>
      </c>
      <c r="PZF208" s="128">
        <f>DATA!PZI35</f>
        <v>0</v>
      </c>
      <c r="PZG208" s="128">
        <f>DATA!PZJ35</f>
        <v>0</v>
      </c>
      <c r="PZH208" s="128">
        <f>DATA!PZK35</f>
        <v>0</v>
      </c>
      <c r="PZI208" s="128">
        <f>DATA!PZL35</f>
        <v>0</v>
      </c>
      <c r="PZJ208" s="128">
        <f>DATA!PZM35</f>
        <v>0</v>
      </c>
      <c r="PZK208" s="128">
        <f>DATA!PZN35</f>
        <v>0</v>
      </c>
      <c r="PZL208" s="128">
        <f>DATA!PZO35</f>
        <v>0</v>
      </c>
      <c r="PZM208" s="128">
        <f>DATA!PZP35</f>
        <v>0</v>
      </c>
      <c r="PZN208" s="128">
        <f>DATA!PZQ35</f>
        <v>0</v>
      </c>
      <c r="PZO208" s="128">
        <f>DATA!PZR35</f>
        <v>0</v>
      </c>
      <c r="PZP208" s="128">
        <f>DATA!PZS35</f>
        <v>0</v>
      </c>
      <c r="PZQ208" s="128">
        <f>DATA!PZT35</f>
        <v>0</v>
      </c>
      <c r="PZR208" s="128">
        <f>DATA!PZU35</f>
        <v>0</v>
      </c>
      <c r="PZS208" s="128">
        <f>DATA!PZV35</f>
        <v>0</v>
      </c>
      <c r="PZT208" s="128">
        <f>DATA!PZW35</f>
        <v>0</v>
      </c>
      <c r="PZU208" s="128">
        <f>DATA!PZX35</f>
        <v>0</v>
      </c>
      <c r="PZV208" s="128">
        <f>DATA!PZY35</f>
        <v>0</v>
      </c>
      <c r="PZW208" s="128">
        <f>DATA!PZZ35</f>
        <v>0</v>
      </c>
      <c r="PZX208" s="128">
        <f>DATA!QAA35</f>
        <v>0</v>
      </c>
      <c r="PZY208" s="128">
        <f>DATA!QAB35</f>
        <v>0</v>
      </c>
      <c r="PZZ208" s="128">
        <f>DATA!QAC35</f>
        <v>0</v>
      </c>
      <c r="QAA208" s="128">
        <f>DATA!QAD35</f>
        <v>0</v>
      </c>
      <c r="QAB208" s="128">
        <f>DATA!QAE35</f>
        <v>0</v>
      </c>
      <c r="QAC208" s="128">
        <f>DATA!QAF35</f>
        <v>0</v>
      </c>
      <c r="QAD208" s="128">
        <f>DATA!QAG35</f>
        <v>0</v>
      </c>
      <c r="QAE208" s="128">
        <f>DATA!QAH35</f>
        <v>0</v>
      </c>
      <c r="QAF208" s="128">
        <f>DATA!QAI35</f>
        <v>0</v>
      </c>
      <c r="QAG208" s="128">
        <f>DATA!QAJ35</f>
        <v>0</v>
      </c>
      <c r="QAH208" s="128">
        <f>DATA!QAK35</f>
        <v>0</v>
      </c>
      <c r="QAI208" s="128">
        <f>DATA!QAL35</f>
        <v>0</v>
      </c>
      <c r="QAJ208" s="128">
        <f>DATA!QAM35</f>
        <v>0</v>
      </c>
      <c r="QAK208" s="128">
        <f>DATA!QAN35</f>
        <v>0</v>
      </c>
      <c r="QAL208" s="128">
        <f>DATA!QAO35</f>
        <v>0</v>
      </c>
      <c r="QAM208" s="128">
        <f>DATA!QAP35</f>
        <v>0</v>
      </c>
      <c r="QAN208" s="128">
        <f>DATA!QAQ35</f>
        <v>0</v>
      </c>
      <c r="QAO208" s="128">
        <f>DATA!QAR35</f>
        <v>0</v>
      </c>
      <c r="QAP208" s="128">
        <f>DATA!QAS35</f>
        <v>0</v>
      </c>
      <c r="QAQ208" s="128">
        <f>DATA!QAT35</f>
        <v>0</v>
      </c>
      <c r="QAR208" s="128">
        <f>DATA!QAU35</f>
        <v>0</v>
      </c>
      <c r="QAS208" s="128">
        <f>DATA!QAV35</f>
        <v>0</v>
      </c>
      <c r="QAT208" s="128">
        <f>DATA!QAW35</f>
        <v>0</v>
      </c>
      <c r="QAU208" s="128">
        <f>DATA!QAX35</f>
        <v>0</v>
      </c>
      <c r="QAV208" s="128">
        <f>DATA!QAY35</f>
        <v>0</v>
      </c>
      <c r="QAW208" s="128">
        <f>DATA!QAZ35</f>
        <v>0</v>
      </c>
      <c r="QAX208" s="128">
        <f>DATA!QBA35</f>
        <v>0</v>
      </c>
      <c r="QAY208" s="128">
        <f>DATA!QBB35</f>
        <v>0</v>
      </c>
      <c r="QAZ208" s="128">
        <f>DATA!QBC35</f>
        <v>0</v>
      </c>
      <c r="QBA208" s="128">
        <f>DATA!QBD35</f>
        <v>0</v>
      </c>
      <c r="QBB208" s="128">
        <f>DATA!QBE35</f>
        <v>0</v>
      </c>
      <c r="QBC208" s="128">
        <f>DATA!QBF35</f>
        <v>0</v>
      </c>
      <c r="QBD208" s="128">
        <f>DATA!QBG35</f>
        <v>0</v>
      </c>
      <c r="QBE208" s="128">
        <f>DATA!QBH35</f>
        <v>0</v>
      </c>
      <c r="QBF208" s="128">
        <f>DATA!QBI35</f>
        <v>0</v>
      </c>
      <c r="QBG208" s="128">
        <f>DATA!QBJ35</f>
        <v>0</v>
      </c>
      <c r="QBH208" s="128">
        <f>DATA!QBK35</f>
        <v>0</v>
      </c>
      <c r="QBI208" s="128">
        <f>DATA!QBL35</f>
        <v>0</v>
      </c>
      <c r="QBJ208" s="128">
        <f>DATA!QBM35</f>
        <v>0</v>
      </c>
      <c r="QBK208" s="128">
        <f>DATA!QBN35</f>
        <v>0</v>
      </c>
      <c r="QBL208" s="128">
        <f>DATA!QBO35</f>
        <v>0</v>
      </c>
      <c r="QBM208" s="128">
        <f>DATA!QBP35</f>
        <v>0</v>
      </c>
      <c r="QBN208" s="128">
        <f>DATA!QBQ35</f>
        <v>0</v>
      </c>
      <c r="QBO208" s="128">
        <f>DATA!QBR35</f>
        <v>0</v>
      </c>
      <c r="QBP208" s="128">
        <f>DATA!QBS35</f>
        <v>0</v>
      </c>
      <c r="QBQ208" s="128">
        <f>DATA!QBT35</f>
        <v>0</v>
      </c>
      <c r="QBR208" s="128">
        <f>DATA!QBU35</f>
        <v>0</v>
      </c>
      <c r="QBS208" s="128">
        <f>DATA!QBV35</f>
        <v>0</v>
      </c>
      <c r="QBT208" s="128">
        <f>DATA!QBW35</f>
        <v>0</v>
      </c>
      <c r="QBU208" s="128">
        <f>DATA!QBX35</f>
        <v>0</v>
      </c>
      <c r="QBV208" s="128">
        <f>DATA!QBY35</f>
        <v>0</v>
      </c>
      <c r="QBW208" s="128">
        <f>DATA!QBZ35</f>
        <v>0</v>
      </c>
      <c r="QBX208" s="128">
        <f>DATA!QCA35</f>
        <v>0</v>
      </c>
      <c r="QBY208" s="128">
        <f>DATA!QCB35</f>
        <v>0</v>
      </c>
      <c r="QBZ208" s="128">
        <f>DATA!QCC35</f>
        <v>0</v>
      </c>
      <c r="QCA208" s="128">
        <f>DATA!QCD35</f>
        <v>0</v>
      </c>
      <c r="QCB208" s="128">
        <f>DATA!QCE35</f>
        <v>0</v>
      </c>
      <c r="QCC208" s="128">
        <f>DATA!QCF35</f>
        <v>0</v>
      </c>
      <c r="QCD208" s="128">
        <f>DATA!QCG35</f>
        <v>0</v>
      </c>
      <c r="QCE208" s="128">
        <f>DATA!QCH35</f>
        <v>0</v>
      </c>
      <c r="QCF208" s="128">
        <f>DATA!QCI35</f>
        <v>0</v>
      </c>
      <c r="QCG208" s="128">
        <f>DATA!QCJ35</f>
        <v>0</v>
      </c>
      <c r="QCH208" s="128">
        <f>DATA!QCK35</f>
        <v>0</v>
      </c>
      <c r="QCI208" s="128">
        <f>DATA!QCL35</f>
        <v>0</v>
      </c>
      <c r="QCJ208" s="128">
        <f>DATA!QCM35</f>
        <v>0</v>
      </c>
      <c r="QCK208" s="128">
        <f>DATA!QCN35</f>
        <v>0</v>
      </c>
      <c r="QCL208" s="128">
        <f>DATA!QCO35</f>
        <v>0</v>
      </c>
      <c r="QCM208" s="128">
        <f>DATA!QCP35</f>
        <v>0</v>
      </c>
      <c r="QCN208" s="128">
        <f>DATA!QCQ35</f>
        <v>0</v>
      </c>
      <c r="QCO208" s="128">
        <f>DATA!QCR35</f>
        <v>0</v>
      </c>
      <c r="QCP208" s="128">
        <f>DATA!QCS35</f>
        <v>0</v>
      </c>
      <c r="QCQ208" s="128">
        <f>DATA!QCT35</f>
        <v>0</v>
      </c>
      <c r="QCR208" s="128">
        <f>DATA!QCU35</f>
        <v>0</v>
      </c>
      <c r="QCS208" s="128">
        <f>DATA!QCV35</f>
        <v>0</v>
      </c>
      <c r="QCT208" s="128">
        <f>DATA!QCW35</f>
        <v>0</v>
      </c>
      <c r="QCU208" s="128">
        <f>DATA!QCX35</f>
        <v>0</v>
      </c>
      <c r="QCV208" s="128">
        <f>DATA!QCY35</f>
        <v>0</v>
      </c>
      <c r="QCW208" s="128">
        <f>DATA!QCZ35</f>
        <v>0</v>
      </c>
      <c r="QCX208" s="128">
        <f>DATA!QDA35</f>
        <v>0</v>
      </c>
      <c r="QCY208" s="128">
        <f>DATA!QDB35</f>
        <v>0</v>
      </c>
      <c r="QCZ208" s="128">
        <f>DATA!QDC35</f>
        <v>0</v>
      </c>
      <c r="QDA208" s="128">
        <f>DATA!QDD35</f>
        <v>0</v>
      </c>
      <c r="QDB208" s="128">
        <f>DATA!QDE35</f>
        <v>0</v>
      </c>
      <c r="QDC208" s="128">
        <f>DATA!QDF35</f>
        <v>0</v>
      </c>
      <c r="QDD208" s="128">
        <f>DATA!QDG35</f>
        <v>0</v>
      </c>
      <c r="QDE208" s="128">
        <f>DATA!QDH35</f>
        <v>0</v>
      </c>
      <c r="QDF208" s="128">
        <f>DATA!QDI35</f>
        <v>0</v>
      </c>
      <c r="QDG208" s="128">
        <f>DATA!QDJ35</f>
        <v>0</v>
      </c>
      <c r="QDH208" s="128">
        <f>DATA!QDK35</f>
        <v>0</v>
      </c>
      <c r="QDI208" s="128">
        <f>DATA!QDL35</f>
        <v>0</v>
      </c>
      <c r="QDJ208" s="128">
        <f>DATA!QDM35</f>
        <v>0</v>
      </c>
      <c r="QDK208" s="128">
        <f>DATA!QDN35</f>
        <v>0</v>
      </c>
      <c r="QDL208" s="128">
        <f>DATA!QDO35</f>
        <v>0</v>
      </c>
      <c r="QDM208" s="128">
        <f>DATA!QDP35</f>
        <v>0</v>
      </c>
      <c r="QDN208" s="128">
        <f>DATA!QDQ35</f>
        <v>0</v>
      </c>
      <c r="QDO208" s="128">
        <f>DATA!QDR35</f>
        <v>0</v>
      </c>
      <c r="QDP208" s="128">
        <f>DATA!QDS35</f>
        <v>0</v>
      </c>
      <c r="QDQ208" s="128">
        <f>DATA!QDT35</f>
        <v>0</v>
      </c>
      <c r="QDR208" s="128">
        <f>DATA!QDU35</f>
        <v>0</v>
      </c>
      <c r="QDS208" s="128">
        <f>DATA!QDV35</f>
        <v>0</v>
      </c>
      <c r="QDT208" s="128">
        <f>DATA!QDW35</f>
        <v>0</v>
      </c>
      <c r="QDU208" s="128">
        <f>DATA!QDX35</f>
        <v>0</v>
      </c>
      <c r="QDV208" s="128">
        <f>DATA!QDY35</f>
        <v>0</v>
      </c>
      <c r="QDW208" s="128">
        <f>DATA!QDZ35</f>
        <v>0</v>
      </c>
      <c r="QDX208" s="128">
        <f>DATA!QEA35</f>
        <v>0</v>
      </c>
      <c r="QDY208" s="128">
        <f>DATA!QEB35</f>
        <v>0</v>
      </c>
      <c r="QDZ208" s="128">
        <f>DATA!QEC35</f>
        <v>0</v>
      </c>
      <c r="QEA208" s="128">
        <f>DATA!QED35</f>
        <v>0</v>
      </c>
      <c r="QEB208" s="128">
        <f>DATA!QEE35</f>
        <v>0</v>
      </c>
      <c r="QEC208" s="128">
        <f>DATA!QEF35</f>
        <v>0</v>
      </c>
      <c r="QED208" s="128">
        <f>DATA!QEG35</f>
        <v>0</v>
      </c>
      <c r="QEE208" s="128">
        <f>DATA!QEH35</f>
        <v>0</v>
      </c>
      <c r="QEF208" s="128">
        <f>DATA!QEI35</f>
        <v>0</v>
      </c>
      <c r="QEG208" s="128">
        <f>DATA!QEJ35</f>
        <v>0</v>
      </c>
      <c r="QEH208" s="128">
        <f>DATA!QEK35</f>
        <v>0</v>
      </c>
      <c r="QEI208" s="128">
        <f>DATA!QEL35</f>
        <v>0</v>
      </c>
      <c r="QEJ208" s="128">
        <f>DATA!QEM35</f>
        <v>0</v>
      </c>
      <c r="QEK208" s="128">
        <f>DATA!QEN35</f>
        <v>0</v>
      </c>
      <c r="QEL208" s="128">
        <f>DATA!QEO35</f>
        <v>0</v>
      </c>
      <c r="QEM208" s="128">
        <f>DATA!QEP35</f>
        <v>0</v>
      </c>
      <c r="QEN208" s="128">
        <f>DATA!QEQ35</f>
        <v>0</v>
      </c>
      <c r="QEO208" s="128">
        <f>DATA!QER35</f>
        <v>0</v>
      </c>
      <c r="QEP208" s="128">
        <f>DATA!QES35</f>
        <v>0</v>
      </c>
      <c r="QEQ208" s="128">
        <f>DATA!QET35</f>
        <v>0</v>
      </c>
      <c r="QER208" s="128">
        <f>DATA!QEU35</f>
        <v>0</v>
      </c>
      <c r="QES208" s="128">
        <f>DATA!QEV35</f>
        <v>0</v>
      </c>
      <c r="QET208" s="128">
        <f>DATA!QEW35</f>
        <v>0</v>
      </c>
      <c r="QEU208" s="128">
        <f>DATA!QEX35</f>
        <v>0</v>
      </c>
      <c r="QEV208" s="128">
        <f>DATA!QEY35</f>
        <v>0</v>
      </c>
      <c r="QEW208" s="128">
        <f>DATA!QEZ35</f>
        <v>0</v>
      </c>
      <c r="QEX208" s="128">
        <f>DATA!QFA35</f>
        <v>0</v>
      </c>
      <c r="QEY208" s="128">
        <f>DATA!QFB35</f>
        <v>0</v>
      </c>
      <c r="QEZ208" s="128">
        <f>DATA!QFC35</f>
        <v>0</v>
      </c>
      <c r="QFA208" s="128">
        <f>DATA!QFD35</f>
        <v>0</v>
      </c>
      <c r="QFB208" s="128">
        <f>DATA!QFE35</f>
        <v>0</v>
      </c>
      <c r="QFC208" s="128">
        <f>DATA!QFF35</f>
        <v>0</v>
      </c>
      <c r="QFD208" s="128">
        <f>DATA!QFG35</f>
        <v>0</v>
      </c>
      <c r="QFE208" s="128">
        <f>DATA!QFH35</f>
        <v>0</v>
      </c>
      <c r="QFF208" s="128">
        <f>DATA!QFI35</f>
        <v>0</v>
      </c>
      <c r="QFG208" s="128">
        <f>DATA!QFJ35</f>
        <v>0</v>
      </c>
      <c r="QFH208" s="128">
        <f>DATA!QFK35</f>
        <v>0</v>
      </c>
      <c r="QFI208" s="128">
        <f>DATA!QFL35</f>
        <v>0</v>
      </c>
      <c r="QFJ208" s="128">
        <f>DATA!QFM35</f>
        <v>0</v>
      </c>
      <c r="QFK208" s="128">
        <f>DATA!QFN35</f>
        <v>0</v>
      </c>
      <c r="QFL208" s="128">
        <f>DATA!QFO35</f>
        <v>0</v>
      </c>
      <c r="QFM208" s="128">
        <f>DATA!QFP35</f>
        <v>0</v>
      </c>
      <c r="QFN208" s="128">
        <f>DATA!QFQ35</f>
        <v>0</v>
      </c>
      <c r="QFO208" s="128">
        <f>DATA!QFR35</f>
        <v>0</v>
      </c>
      <c r="QFP208" s="128">
        <f>DATA!QFS35</f>
        <v>0</v>
      </c>
      <c r="QFQ208" s="128">
        <f>DATA!QFT35</f>
        <v>0</v>
      </c>
      <c r="QFR208" s="128">
        <f>DATA!QFU35</f>
        <v>0</v>
      </c>
      <c r="QFS208" s="128">
        <f>DATA!QFV35</f>
        <v>0</v>
      </c>
      <c r="QFT208" s="128">
        <f>DATA!QFW35</f>
        <v>0</v>
      </c>
      <c r="QFU208" s="128">
        <f>DATA!QFX35</f>
        <v>0</v>
      </c>
      <c r="QFV208" s="128">
        <f>DATA!QFY35</f>
        <v>0</v>
      </c>
      <c r="QFW208" s="128">
        <f>DATA!QFZ35</f>
        <v>0</v>
      </c>
      <c r="QFX208" s="128">
        <f>DATA!QGA35</f>
        <v>0</v>
      </c>
      <c r="QFY208" s="128">
        <f>DATA!QGB35</f>
        <v>0</v>
      </c>
      <c r="QFZ208" s="128">
        <f>DATA!QGC35</f>
        <v>0</v>
      </c>
      <c r="QGA208" s="128">
        <f>DATA!QGD35</f>
        <v>0</v>
      </c>
      <c r="QGB208" s="128">
        <f>DATA!QGE35</f>
        <v>0</v>
      </c>
      <c r="QGC208" s="128">
        <f>DATA!QGF35</f>
        <v>0</v>
      </c>
      <c r="QGD208" s="128">
        <f>DATA!QGG35</f>
        <v>0</v>
      </c>
      <c r="QGE208" s="128">
        <f>DATA!QGH35</f>
        <v>0</v>
      </c>
      <c r="QGF208" s="128">
        <f>DATA!QGI35</f>
        <v>0</v>
      </c>
      <c r="QGG208" s="128">
        <f>DATA!QGJ35</f>
        <v>0</v>
      </c>
      <c r="QGH208" s="128">
        <f>DATA!QGK35</f>
        <v>0</v>
      </c>
      <c r="QGI208" s="128">
        <f>DATA!QGL35</f>
        <v>0</v>
      </c>
      <c r="QGJ208" s="128">
        <f>DATA!QGM35</f>
        <v>0</v>
      </c>
      <c r="QGK208" s="128">
        <f>DATA!QGN35</f>
        <v>0</v>
      </c>
      <c r="QGL208" s="128">
        <f>DATA!QGO35</f>
        <v>0</v>
      </c>
      <c r="QGM208" s="128">
        <f>DATA!QGP35</f>
        <v>0</v>
      </c>
      <c r="QGN208" s="128">
        <f>DATA!QGQ35</f>
        <v>0</v>
      </c>
      <c r="QGO208" s="128">
        <f>DATA!QGR35</f>
        <v>0</v>
      </c>
      <c r="QGP208" s="128">
        <f>DATA!QGS35</f>
        <v>0</v>
      </c>
      <c r="QGQ208" s="128">
        <f>DATA!QGT35</f>
        <v>0</v>
      </c>
      <c r="QGR208" s="128">
        <f>DATA!QGU35</f>
        <v>0</v>
      </c>
      <c r="QGS208" s="128">
        <f>DATA!QGV35</f>
        <v>0</v>
      </c>
      <c r="QGT208" s="128">
        <f>DATA!QGW35</f>
        <v>0</v>
      </c>
      <c r="QGU208" s="128">
        <f>DATA!QGX35</f>
        <v>0</v>
      </c>
      <c r="QGV208" s="128">
        <f>DATA!QGY35</f>
        <v>0</v>
      </c>
      <c r="QGW208" s="128">
        <f>DATA!QGZ35</f>
        <v>0</v>
      </c>
      <c r="QGX208" s="128">
        <f>DATA!QHA35</f>
        <v>0</v>
      </c>
      <c r="QGY208" s="128">
        <f>DATA!QHB35</f>
        <v>0</v>
      </c>
      <c r="QGZ208" s="128">
        <f>DATA!QHC35</f>
        <v>0</v>
      </c>
      <c r="QHA208" s="128">
        <f>DATA!QHD35</f>
        <v>0</v>
      </c>
      <c r="QHB208" s="128">
        <f>DATA!QHE35</f>
        <v>0</v>
      </c>
      <c r="QHC208" s="128">
        <f>DATA!QHF35</f>
        <v>0</v>
      </c>
      <c r="QHD208" s="128">
        <f>DATA!QHG35</f>
        <v>0</v>
      </c>
      <c r="QHE208" s="128">
        <f>DATA!QHH35</f>
        <v>0</v>
      </c>
      <c r="QHF208" s="128">
        <f>DATA!QHI35</f>
        <v>0</v>
      </c>
      <c r="QHG208" s="128">
        <f>DATA!QHJ35</f>
        <v>0</v>
      </c>
      <c r="QHH208" s="128">
        <f>DATA!QHK35</f>
        <v>0</v>
      </c>
      <c r="QHI208" s="128">
        <f>DATA!QHL35</f>
        <v>0</v>
      </c>
      <c r="QHJ208" s="128">
        <f>DATA!QHM35</f>
        <v>0</v>
      </c>
      <c r="QHK208" s="128">
        <f>DATA!QHN35</f>
        <v>0</v>
      </c>
      <c r="QHL208" s="128">
        <f>DATA!QHO35</f>
        <v>0</v>
      </c>
      <c r="QHM208" s="128">
        <f>DATA!QHP35</f>
        <v>0</v>
      </c>
      <c r="QHN208" s="128">
        <f>DATA!QHQ35</f>
        <v>0</v>
      </c>
      <c r="QHO208" s="128">
        <f>DATA!QHR35</f>
        <v>0</v>
      </c>
      <c r="QHP208" s="128">
        <f>DATA!QHS35</f>
        <v>0</v>
      </c>
      <c r="QHQ208" s="128">
        <f>DATA!QHT35</f>
        <v>0</v>
      </c>
      <c r="QHR208" s="128">
        <f>DATA!QHU35</f>
        <v>0</v>
      </c>
      <c r="QHS208" s="128">
        <f>DATA!QHV35</f>
        <v>0</v>
      </c>
      <c r="QHT208" s="128">
        <f>DATA!QHW35</f>
        <v>0</v>
      </c>
      <c r="QHU208" s="128">
        <f>DATA!QHX35</f>
        <v>0</v>
      </c>
      <c r="QHV208" s="128">
        <f>DATA!QHY35</f>
        <v>0</v>
      </c>
      <c r="QHW208" s="128">
        <f>DATA!QHZ35</f>
        <v>0</v>
      </c>
      <c r="QHX208" s="128">
        <f>DATA!QIA35</f>
        <v>0</v>
      </c>
      <c r="QHY208" s="128">
        <f>DATA!QIB35</f>
        <v>0</v>
      </c>
      <c r="QHZ208" s="128">
        <f>DATA!QIC35</f>
        <v>0</v>
      </c>
      <c r="QIA208" s="128">
        <f>DATA!QID35</f>
        <v>0</v>
      </c>
      <c r="QIB208" s="128">
        <f>DATA!QIE35</f>
        <v>0</v>
      </c>
      <c r="QIC208" s="128">
        <f>DATA!QIF35</f>
        <v>0</v>
      </c>
      <c r="QID208" s="128">
        <f>DATA!QIG35</f>
        <v>0</v>
      </c>
      <c r="QIE208" s="128">
        <f>DATA!QIH35</f>
        <v>0</v>
      </c>
      <c r="QIF208" s="128">
        <f>DATA!QII35</f>
        <v>0</v>
      </c>
      <c r="QIG208" s="128">
        <f>DATA!QIJ35</f>
        <v>0</v>
      </c>
      <c r="QIH208" s="128">
        <f>DATA!QIK35</f>
        <v>0</v>
      </c>
      <c r="QII208" s="128">
        <f>DATA!QIL35</f>
        <v>0</v>
      </c>
      <c r="QIJ208" s="128">
        <f>DATA!QIM35</f>
        <v>0</v>
      </c>
      <c r="QIK208" s="128">
        <f>DATA!QIN35</f>
        <v>0</v>
      </c>
      <c r="QIL208" s="128">
        <f>DATA!QIO35</f>
        <v>0</v>
      </c>
      <c r="QIM208" s="128">
        <f>DATA!QIP35</f>
        <v>0</v>
      </c>
      <c r="QIN208" s="128">
        <f>DATA!QIQ35</f>
        <v>0</v>
      </c>
      <c r="QIO208" s="128">
        <f>DATA!QIR35</f>
        <v>0</v>
      </c>
      <c r="QIP208" s="128">
        <f>DATA!QIS35</f>
        <v>0</v>
      </c>
      <c r="QIQ208" s="128">
        <f>DATA!QIT35</f>
        <v>0</v>
      </c>
      <c r="QIR208" s="128">
        <f>DATA!QIU35</f>
        <v>0</v>
      </c>
      <c r="QIS208" s="128">
        <f>DATA!QIV35</f>
        <v>0</v>
      </c>
      <c r="QIT208" s="128">
        <f>DATA!QIW35</f>
        <v>0</v>
      </c>
      <c r="QIU208" s="128">
        <f>DATA!QIX35</f>
        <v>0</v>
      </c>
      <c r="QIV208" s="128">
        <f>DATA!QIY35</f>
        <v>0</v>
      </c>
      <c r="QIW208" s="128">
        <f>DATA!QIZ35</f>
        <v>0</v>
      </c>
      <c r="QIX208" s="128">
        <f>DATA!QJA35</f>
        <v>0</v>
      </c>
      <c r="QIY208" s="128">
        <f>DATA!QJB35</f>
        <v>0</v>
      </c>
      <c r="QIZ208" s="128">
        <f>DATA!QJC35</f>
        <v>0</v>
      </c>
      <c r="QJA208" s="128">
        <f>DATA!QJD35</f>
        <v>0</v>
      </c>
      <c r="QJB208" s="128">
        <f>DATA!QJE35</f>
        <v>0</v>
      </c>
      <c r="QJC208" s="128">
        <f>DATA!QJF35</f>
        <v>0</v>
      </c>
      <c r="QJD208" s="128">
        <f>DATA!QJG35</f>
        <v>0</v>
      </c>
      <c r="QJE208" s="128">
        <f>DATA!QJH35</f>
        <v>0</v>
      </c>
      <c r="QJF208" s="128">
        <f>DATA!QJI35</f>
        <v>0</v>
      </c>
      <c r="QJG208" s="128">
        <f>DATA!QJJ35</f>
        <v>0</v>
      </c>
      <c r="QJH208" s="128">
        <f>DATA!QJK35</f>
        <v>0</v>
      </c>
      <c r="QJI208" s="128">
        <f>DATA!QJL35</f>
        <v>0</v>
      </c>
      <c r="QJJ208" s="128">
        <f>DATA!QJM35</f>
        <v>0</v>
      </c>
      <c r="QJK208" s="128">
        <f>DATA!QJN35</f>
        <v>0</v>
      </c>
      <c r="QJL208" s="128">
        <f>DATA!QJO35</f>
        <v>0</v>
      </c>
      <c r="QJM208" s="128">
        <f>DATA!QJP35</f>
        <v>0</v>
      </c>
      <c r="QJN208" s="128">
        <f>DATA!QJQ35</f>
        <v>0</v>
      </c>
      <c r="QJO208" s="128">
        <f>DATA!QJR35</f>
        <v>0</v>
      </c>
      <c r="QJP208" s="128">
        <f>DATA!QJS35</f>
        <v>0</v>
      </c>
      <c r="QJQ208" s="128">
        <f>DATA!QJT35</f>
        <v>0</v>
      </c>
      <c r="QJR208" s="128">
        <f>DATA!QJU35</f>
        <v>0</v>
      </c>
      <c r="QJS208" s="128">
        <f>DATA!QJV35</f>
        <v>0</v>
      </c>
      <c r="QJT208" s="128">
        <f>DATA!QJW35</f>
        <v>0</v>
      </c>
      <c r="QJU208" s="128">
        <f>DATA!QJX35</f>
        <v>0</v>
      </c>
      <c r="QJV208" s="128">
        <f>DATA!QJY35</f>
        <v>0</v>
      </c>
      <c r="QJW208" s="128">
        <f>DATA!QJZ35</f>
        <v>0</v>
      </c>
      <c r="QJX208" s="128">
        <f>DATA!QKA35</f>
        <v>0</v>
      </c>
      <c r="QJY208" s="128">
        <f>DATA!QKB35</f>
        <v>0</v>
      </c>
      <c r="QJZ208" s="128">
        <f>DATA!QKC35</f>
        <v>0</v>
      </c>
      <c r="QKA208" s="128">
        <f>DATA!QKD35</f>
        <v>0</v>
      </c>
      <c r="QKB208" s="128">
        <f>DATA!QKE35</f>
        <v>0</v>
      </c>
      <c r="QKC208" s="128">
        <f>DATA!QKF35</f>
        <v>0</v>
      </c>
      <c r="QKD208" s="128">
        <f>DATA!QKG35</f>
        <v>0</v>
      </c>
      <c r="QKE208" s="128">
        <f>DATA!QKH35</f>
        <v>0</v>
      </c>
      <c r="QKF208" s="128">
        <f>DATA!QKI35</f>
        <v>0</v>
      </c>
      <c r="QKG208" s="128">
        <f>DATA!QKJ35</f>
        <v>0</v>
      </c>
      <c r="QKH208" s="128">
        <f>DATA!QKK35</f>
        <v>0</v>
      </c>
      <c r="QKI208" s="128">
        <f>DATA!QKL35</f>
        <v>0</v>
      </c>
      <c r="QKJ208" s="128">
        <f>DATA!QKM35</f>
        <v>0</v>
      </c>
      <c r="QKK208" s="128">
        <f>DATA!QKN35</f>
        <v>0</v>
      </c>
      <c r="QKL208" s="128">
        <f>DATA!QKO35</f>
        <v>0</v>
      </c>
      <c r="QKM208" s="128">
        <f>DATA!QKP35</f>
        <v>0</v>
      </c>
      <c r="QKN208" s="128">
        <f>DATA!QKQ35</f>
        <v>0</v>
      </c>
      <c r="QKO208" s="128">
        <f>DATA!QKR35</f>
        <v>0</v>
      </c>
      <c r="QKP208" s="128">
        <f>DATA!QKS35</f>
        <v>0</v>
      </c>
      <c r="QKQ208" s="128">
        <f>DATA!QKT35</f>
        <v>0</v>
      </c>
      <c r="QKR208" s="128">
        <f>DATA!QKU35</f>
        <v>0</v>
      </c>
      <c r="QKS208" s="128">
        <f>DATA!QKV35</f>
        <v>0</v>
      </c>
      <c r="QKT208" s="128">
        <f>DATA!QKW35</f>
        <v>0</v>
      </c>
      <c r="QKU208" s="128">
        <f>DATA!QKX35</f>
        <v>0</v>
      </c>
      <c r="QKV208" s="128">
        <f>DATA!QKY35</f>
        <v>0</v>
      </c>
      <c r="QKW208" s="128">
        <f>DATA!QKZ35</f>
        <v>0</v>
      </c>
      <c r="QKX208" s="128">
        <f>DATA!QLA35</f>
        <v>0</v>
      </c>
      <c r="QKY208" s="128">
        <f>DATA!QLB35</f>
        <v>0</v>
      </c>
      <c r="QKZ208" s="128">
        <f>DATA!QLC35</f>
        <v>0</v>
      </c>
      <c r="QLA208" s="128">
        <f>DATA!QLD35</f>
        <v>0</v>
      </c>
      <c r="QLB208" s="128">
        <f>DATA!QLE35</f>
        <v>0</v>
      </c>
      <c r="QLC208" s="128">
        <f>DATA!QLF35</f>
        <v>0</v>
      </c>
      <c r="QLD208" s="128">
        <f>DATA!QLG35</f>
        <v>0</v>
      </c>
      <c r="QLE208" s="128">
        <f>DATA!QLH35</f>
        <v>0</v>
      </c>
      <c r="QLF208" s="128">
        <f>DATA!QLI35</f>
        <v>0</v>
      </c>
      <c r="QLG208" s="128">
        <f>DATA!QLJ35</f>
        <v>0</v>
      </c>
      <c r="QLH208" s="128">
        <f>DATA!QLK35</f>
        <v>0</v>
      </c>
      <c r="QLI208" s="128">
        <f>DATA!QLL35</f>
        <v>0</v>
      </c>
      <c r="QLJ208" s="128">
        <f>DATA!QLM35</f>
        <v>0</v>
      </c>
      <c r="QLK208" s="128">
        <f>DATA!QLN35</f>
        <v>0</v>
      </c>
      <c r="QLL208" s="128">
        <f>DATA!QLO35</f>
        <v>0</v>
      </c>
      <c r="QLM208" s="128">
        <f>DATA!QLP35</f>
        <v>0</v>
      </c>
      <c r="QLN208" s="128">
        <f>DATA!QLQ35</f>
        <v>0</v>
      </c>
      <c r="QLO208" s="128">
        <f>DATA!QLR35</f>
        <v>0</v>
      </c>
      <c r="QLP208" s="128">
        <f>DATA!QLS35</f>
        <v>0</v>
      </c>
      <c r="QLQ208" s="128">
        <f>DATA!QLT35</f>
        <v>0</v>
      </c>
      <c r="QLR208" s="128">
        <f>DATA!QLU35</f>
        <v>0</v>
      </c>
      <c r="QLS208" s="128">
        <f>DATA!QLV35</f>
        <v>0</v>
      </c>
      <c r="QLT208" s="128">
        <f>DATA!QLW35</f>
        <v>0</v>
      </c>
      <c r="QLU208" s="128">
        <f>DATA!QLX35</f>
        <v>0</v>
      </c>
      <c r="QLV208" s="128">
        <f>DATA!QLY35</f>
        <v>0</v>
      </c>
      <c r="QLW208" s="128">
        <f>DATA!QLZ35</f>
        <v>0</v>
      </c>
      <c r="QLX208" s="128">
        <f>DATA!QMA35</f>
        <v>0</v>
      </c>
      <c r="QLY208" s="128">
        <f>DATA!QMB35</f>
        <v>0</v>
      </c>
      <c r="QLZ208" s="128">
        <f>DATA!QMC35</f>
        <v>0</v>
      </c>
      <c r="QMA208" s="128">
        <f>DATA!QMD35</f>
        <v>0</v>
      </c>
      <c r="QMB208" s="128">
        <f>DATA!QME35</f>
        <v>0</v>
      </c>
      <c r="QMC208" s="128">
        <f>DATA!QMF35</f>
        <v>0</v>
      </c>
      <c r="QMD208" s="128">
        <f>DATA!QMG35</f>
        <v>0</v>
      </c>
      <c r="QME208" s="128">
        <f>DATA!QMH35</f>
        <v>0</v>
      </c>
      <c r="QMF208" s="128">
        <f>DATA!QMI35</f>
        <v>0</v>
      </c>
      <c r="QMG208" s="128">
        <f>DATA!QMJ35</f>
        <v>0</v>
      </c>
      <c r="QMH208" s="128">
        <f>DATA!QMK35</f>
        <v>0</v>
      </c>
      <c r="QMI208" s="128">
        <f>DATA!QML35</f>
        <v>0</v>
      </c>
      <c r="QMJ208" s="128">
        <f>DATA!QMM35</f>
        <v>0</v>
      </c>
      <c r="QMK208" s="128">
        <f>DATA!QMN35</f>
        <v>0</v>
      </c>
      <c r="QML208" s="128">
        <f>DATA!QMO35</f>
        <v>0</v>
      </c>
      <c r="QMM208" s="128">
        <f>DATA!QMP35</f>
        <v>0</v>
      </c>
      <c r="QMN208" s="128">
        <f>DATA!QMQ35</f>
        <v>0</v>
      </c>
      <c r="QMO208" s="128">
        <f>DATA!QMR35</f>
        <v>0</v>
      </c>
      <c r="QMP208" s="128">
        <f>DATA!QMS35</f>
        <v>0</v>
      </c>
      <c r="QMQ208" s="128">
        <f>DATA!QMT35</f>
        <v>0</v>
      </c>
      <c r="QMR208" s="128">
        <f>DATA!QMU35</f>
        <v>0</v>
      </c>
      <c r="QMS208" s="128">
        <f>DATA!QMV35</f>
        <v>0</v>
      </c>
      <c r="QMT208" s="128">
        <f>DATA!QMW35</f>
        <v>0</v>
      </c>
      <c r="QMU208" s="128">
        <f>DATA!QMX35</f>
        <v>0</v>
      </c>
      <c r="QMV208" s="128">
        <f>DATA!QMY35</f>
        <v>0</v>
      </c>
      <c r="QMW208" s="128">
        <f>DATA!QMZ35</f>
        <v>0</v>
      </c>
      <c r="QMX208" s="128">
        <f>DATA!QNA35</f>
        <v>0</v>
      </c>
      <c r="QMY208" s="128">
        <f>DATA!QNB35</f>
        <v>0</v>
      </c>
      <c r="QMZ208" s="128">
        <f>DATA!QNC35</f>
        <v>0</v>
      </c>
      <c r="QNA208" s="128">
        <f>DATA!QND35</f>
        <v>0</v>
      </c>
      <c r="QNB208" s="128">
        <f>DATA!QNE35</f>
        <v>0</v>
      </c>
      <c r="QNC208" s="128">
        <f>DATA!QNF35</f>
        <v>0</v>
      </c>
      <c r="QND208" s="128">
        <f>DATA!QNG35</f>
        <v>0</v>
      </c>
      <c r="QNE208" s="128">
        <f>DATA!QNH35</f>
        <v>0</v>
      </c>
      <c r="QNF208" s="128">
        <f>DATA!QNI35</f>
        <v>0</v>
      </c>
      <c r="QNG208" s="128">
        <f>DATA!QNJ35</f>
        <v>0</v>
      </c>
      <c r="QNH208" s="128">
        <f>DATA!QNK35</f>
        <v>0</v>
      </c>
      <c r="QNI208" s="128">
        <f>DATA!QNL35</f>
        <v>0</v>
      </c>
      <c r="QNJ208" s="128">
        <f>DATA!QNM35</f>
        <v>0</v>
      </c>
      <c r="QNK208" s="128">
        <f>DATA!QNN35</f>
        <v>0</v>
      </c>
      <c r="QNL208" s="128">
        <f>DATA!QNO35</f>
        <v>0</v>
      </c>
      <c r="QNM208" s="128">
        <f>DATA!QNP35</f>
        <v>0</v>
      </c>
      <c r="QNN208" s="128">
        <f>DATA!QNQ35</f>
        <v>0</v>
      </c>
      <c r="QNO208" s="128">
        <f>DATA!QNR35</f>
        <v>0</v>
      </c>
      <c r="QNP208" s="128">
        <f>DATA!QNS35</f>
        <v>0</v>
      </c>
      <c r="QNQ208" s="128">
        <f>DATA!QNT35</f>
        <v>0</v>
      </c>
      <c r="QNR208" s="128">
        <f>DATA!QNU35</f>
        <v>0</v>
      </c>
      <c r="QNS208" s="128">
        <f>DATA!QNV35</f>
        <v>0</v>
      </c>
      <c r="QNT208" s="128">
        <f>DATA!QNW35</f>
        <v>0</v>
      </c>
      <c r="QNU208" s="128">
        <f>DATA!QNX35</f>
        <v>0</v>
      </c>
      <c r="QNV208" s="128">
        <f>DATA!QNY35</f>
        <v>0</v>
      </c>
      <c r="QNW208" s="128">
        <f>DATA!QNZ35</f>
        <v>0</v>
      </c>
      <c r="QNX208" s="128">
        <f>DATA!QOA35</f>
        <v>0</v>
      </c>
      <c r="QNY208" s="128">
        <f>DATA!QOB35</f>
        <v>0</v>
      </c>
      <c r="QNZ208" s="128">
        <f>DATA!QOC35</f>
        <v>0</v>
      </c>
      <c r="QOA208" s="128">
        <f>DATA!QOD35</f>
        <v>0</v>
      </c>
      <c r="QOB208" s="128">
        <f>DATA!QOE35</f>
        <v>0</v>
      </c>
      <c r="QOC208" s="128">
        <f>DATA!QOF35</f>
        <v>0</v>
      </c>
      <c r="QOD208" s="128">
        <f>DATA!QOG35</f>
        <v>0</v>
      </c>
      <c r="QOE208" s="128">
        <f>DATA!QOH35</f>
        <v>0</v>
      </c>
      <c r="QOF208" s="128">
        <f>DATA!QOI35</f>
        <v>0</v>
      </c>
      <c r="QOG208" s="128">
        <f>DATA!QOJ35</f>
        <v>0</v>
      </c>
      <c r="QOH208" s="128">
        <f>DATA!QOK35</f>
        <v>0</v>
      </c>
      <c r="QOI208" s="128">
        <f>DATA!QOL35</f>
        <v>0</v>
      </c>
      <c r="QOJ208" s="128">
        <f>DATA!QOM35</f>
        <v>0</v>
      </c>
      <c r="QOK208" s="128">
        <f>DATA!QON35</f>
        <v>0</v>
      </c>
      <c r="QOL208" s="128">
        <f>DATA!QOO35</f>
        <v>0</v>
      </c>
      <c r="QOM208" s="128">
        <f>DATA!QOP35</f>
        <v>0</v>
      </c>
      <c r="QON208" s="128">
        <f>DATA!QOQ35</f>
        <v>0</v>
      </c>
      <c r="QOO208" s="128">
        <f>DATA!QOR35</f>
        <v>0</v>
      </c>
      <c r="QOP208" s="128">
        <f>DATA!QOS35</f>
        <v>0</v>
      </c>
      <c r="QOQ208" s="128">
        <f>DATA!QOT35</f>
        <v>0</v>
      </c>
      <c r="QOR208" s="128">
        <f>DATA!QOU35</f>
        <v>0</v>
      </c>
      <c r="QOS208" s="128">
        <f>DATA!QOV35</f>
        <v>0</v>
      </c>
      <c r="QOT208" s="128">
        <f>DATA!QOW35</f>
        <v>0</v>
      </c>
      <c r="QOU208" s="128">
        <f>DATA!QOX35</f>
        <v>0</v>
      </c>
      <c r="QOV208" s="128">
        <f>DATA!QOY35</f>
        <v>0</v>
      </c>
      <c r="QOW208" s="128">
        <f>DATA!QOZ35</f>
        <v>0</v>
      </c>
      <c r="QOX208" s="128">
        <f>DATA!QPA35</f>
        <v>0</v>
      </c>
      <c r="QOY208" s="128">
        <f>DATA!QPB35</f>
        <v>0</v>
      </c>
      <c r="QOZ208" s="128">
        <f>DATA!QPC35</f>
        <v>0</v>
      </c>
      <c r="QPA208" s="128">
        <f>DATA!QPD35</f>
        <v>0</v>
      </c>
      <c r="QPB208" s="128">
        <f>DATA!QPE35</f>
        <v>0</v>
      </c>
      <c r="QPC208" s="128">
        <f>DATA!QPF35</f>
        <v>0</v>
      </c>
      <c r="QPD208" s="128">
        <f>DATA!QPG35</f>
        <v>0</v>
      </c>
      <c r="QPE208" s="128">
        <f>DATA!QPH35</f>
        <v>0</v>
      </c>
      <c r="QPF208" s="128">
        <f>DATA!QPI35</f>
        <v>0</v>
      </c>
      <c r="QPG208" s="128">
        <f>DATA!QPJ35</f>
        <v>0</v>
      </c>
      <c r="QPH208" s="128">
        <f>DATA!QPK35</f>
        <v>0</v>
      </c>
      <c r="QPI208" s="128">
        <f>DATA!QPL35</f>
        <v>0</v>
      </c>
      <c r="QPJ208" s="128">
        <f>DATA!QPM35</f>
        <v>0</v>
      </c>
      <c r="QPK208" s="128">
        <f>DATA!QPN35</f>
        <v>0</v>
      </c>
      <c r="QPL208" s="128">
        <f>DATA!QPO35</f>
        <v>0</v>
      </c>
      <c r="QPM208" s="128">
        <f>DATA!QPP35</f>
        <v>0</v>
      </c>
      <c r="QPN208" s="128">
        <f>DATA!QPQ35</f>
        <v>0</v>
      </c>
      <c r="QPO208" s="128">
        <f>DATA!QPR35</f>
        <v>0</v>
      </c>
      <c r="QPP208" s="128">
        <f>DATA!QPS35</f>
        <v>0</v>
      </c>
      <c r="QPQ208" s="128">
        <f>DATA!QPT35</f>
        <v>0</v>
      </c>
      <c r="QPR208" s="128">
        <f>DATA!QPU35</f>
        <v>0</v>
      </c>
      <c r="QPS208" s="128">
        <f>DATA!QPV35</f>
        <v>0</v>
      </c>
      <c r="QPT208" s="128">
        <f>DATA!QPW35</f>
        <v>0</v>
      </c>
      <c r="QPU208" s="128">
        <f>DATA!QPX35</f>
        <v>0</v>
      </c>
      <c r="QPV208" s="128">
        <f>DATA!QPY35</f>
        <v>0</v>
      </c>
      <c r="QPW208" s="128">
        <f>DATA!QPZ35</f>
        <v>0</v>
      </c>
      <c r="QPX208" s="128">
        <f>DATA!QQA35</f>
        <v>0</v>
      </c>
      <c r="QPY208" s="128">
        <f>DATA!QQB35</f>
        <v>0</v>
      </c>
      <c r="QPZ208" s="128">
        <f>DATA!QQC35</f>
        <v>0</v>
      </c>
      <c r="QQA208" s="128">
        <f>DATA!QQD35</f>
        <v>0</v>
      </c>
      <c r="QQB208" s="128">
        <f>DATA!QQE35</f>
        <v>0</v>
      </c>
      <c r="QQC208" s="128">
        <f>DATA!QQF35</f>
        <v>0</v>
      </c>
      <c r="QQD208" s="128">
        <f>DATA!QQG35</f>
        <v>0</v>
      </c>
      <c r="QQE208" s="128">
        <f>DATA!QQH35</f>
        <v>0</v>
      </c>
      <c r="QQF208" s="128">
        <f>DATA!QQI35</f>
        <v>0</v>
      </c>
      <c r="QQG208" s="128">
        <f>DATA!QQJ35</f>
        <v>0</v>
      </c>
      <c r="QQH208" s="128">
        <f>DATA!QQK35</f>
        <v>0</v>
      </c>
      <c r="QQI208" s="128">
        <f>DATA!QQL35</f>
        <v>0</v>
      </c>
      <c r="QQJ208" s="128">
        <f>DATA!QQM35</f>
        <v>0</v>
      </c>
      <c r="QQK208" s="128">
        <f>DATA!QQN35</f>
        <v>0</v>
      </c>
      <c r="QQL208" s="128">
        <f>DATA!QQO35</f>
        <v>0</v>
      </c>
      <c r="QQM208" s="128">
        <f>DATA!QQP35</f>
        <v>0</v>
      </c>
      <c r="QQN208" s="128">
        <f>DATA!QQQ35</f>
        <v>0</v>
      </c>
      <c r="QQO208" s="128">
        <f>DATA!QQR35</f>
        <v>0</v>
      </c>
      <c r="QQP208" s="128">
        <f>DATA!QQS35</f>
        <v>0</v>
      </c>
      <c r="QQQ208" s="128">
        <f>DATA!QQT35</f>
        <v>0</v>
      </c>
      <c r="QQR208" s="128">
        <f>DATA!QQU35</f>
        <v>0</v>
      </c>
      <c r="QQS208" s="128">
        <f>DATA!QQV35</f>
        <v>0</v>
      </c>
      <c r="QQT208" s="128">
        <f>DATA!QQW35</f>
        <v>0</v>
      </c>
      <c r="QQU208" s="128">
        <f>DATA!QQX35</f>
        <v>0</v>
      </c>
      <c r="QQV208" s="128">
        <f>DATA!QQY35</f>
        <v>0</v>
      </c>
      <c r="QQW208" s="128">
        <f>DATA!QQZ35</f>
        <v>0</v>
      </c>
      <c r="QQX208" s="128">
        <f>DATA!QRA35</f>
        <v>0</v>
      </c>
      <c r="QQY208" s="128">
        <f>DATA!QRB35</f>
        <v>0</v>
      </c>
      <c r="QQZ208" s="128">
        <f>DATA!QRC35</f>
        <v>0</v>
      </c>
      <c r="QRA208" s="128">
        <f>DATA!QRD35</f>
        <v>0</v>
      </c>
      <c r="QRB208" s="128">
        <f>DATA!QRE35</f>
        <v>0</v>
      </c>
      <c r="QRC208" s="128">
        <f>DATA!QRF35</f>
        <v>0</v>
      </c>
      <c r="QRD208" s="128">
        <f>DATA!QRG35</f>
        <v>0</v>
      </c>
      <c r="QRE208" s="128">
        <f>DATA!QRH35</f>
        <v>0</v>
      </c>
      <c r="QRF208" s="128">
        <f>DATA!QRI35</f>
        <v>0</v>
      </c>
      <c r="QRG208" s="128">
        <f>DATA!QRJ35</f>
        <v>0</v>
      </c>
      <c r="QRH208" s="128">
        <f>DATA!QRK35</f>
        <v>0</v>
      </c>
      <c r="QRI208" s="128">
        <f>DATA!QRL35</f>
        <v>0</v>
      </c>
      <c r="QRJ208" s="128">
        <f>DATA!QRM35</f>
        <v>0</v>
      </c>
      <c r="QRK208" s="128">
        <f>DATA!QRN35</f>
        <v>0</v>
      </c>
      <c r="QRL208" s="128">
        <f>DATA!QRO35</f>
        <v>0</v>
      </c>
      <c r="QRM208" s="128">
        <f>DATA!QRP35</f>
        <v>0</v>
      </c>
      <c r="QRN208" s="128">
        <f>DATA!QRQ35</f>
        <v>0</v>
      </c>
      <c r="QRO208" s="128">
        <f>DATA!QRR35</f>
        <v>0</v>
      </c>
      <c r="QRP208" s="128">
        <f>DATA!QRS35</f>
        <v>0</v>
      </c>
      <c r="QRQ208" s="128">
        <f>DATA!QRT35</f>
        <v>0</v>
      </c>
      <c r="QRR208" s="128">
        <f>DATA!QRU35</f>
        <v>0</v>
      </c>
      <c r="QRS208" s="128">
        <f>DATA!QRV35</f>
        <v>0</v>
      </c>
      <c r="QRT208" s="128">
        <f>DATA!QRW35</f>
        <v>0</v>
      </c>
      <c r="QRU208" s="128">
        <f>DATA!QRX35</f>
        <v>0</v>
      </c>
      <c r="QRV208" s="128">
        <f>DATA!QRY35</f>
        <v>0</v>
      </c>
      <c r="QRW208" s="128">
        <f>DATA!QRZ35</f>
        <v>0</v>
      </c>
      <c r="QRX208" s="128">
        <f>DATA!QSA35</f>
        <v>0</v>
      </c>
      <c r="QRY208" s="128">
        <f>DATA!QSB35</f>
        <v>0</v>
      </c>
      <c r="QRZ208" s="128">
        <f>DATA!QSC35</f>
        <v>0</v>
      </c>
      <c r="QSA208" s="128">
        <f>DATA!QSD35</f>
        <v>0</v>
      </c>
      <c r="QSB208" s="128">
        <f>DATA!QSE35</f>
        <v>0</v>
      </c>
      <c r="QSC208" s="128">
        <f>DATA!QSF35</f>
        <v>0</v>
      </c>
      <c r="QSD208" s="128">
        <f>DATA!QSG35</f>
        <v>0</v>
      </c>
      <c r="QSE208" s="128">
        <f>DATA!QSH35</f>
        <v>0</v>
      </c>
      <c r="QSF208" s="128">
        <f>DATA!QSI35</f>
        <v>0</v>
      </c>
      <c r="QSG208" s="128">
        <f>DATA!QSJ35</f>
        <v>0</v>
      </c>
      <c r="QSH208" s="128">
        <f>DATA!QSK35</f>
        <v>0</v>
      </c>
      <c r="QSI208" s="128">
        <f>DATA!QSL35</f>
        <v>0</v>
      </c>
      <c r="QSJ208" s="128">
        <f>DATA!QSM35</f>
        <v>0</v>
      </c>
      <c r="QSK208" s="128">
        <f>DATA!QSN35</f>
        <v>0</v>
      </c>
      <c r="QSL208" s="128">
        <f>DATA!QSO35</f>
        <v>0</v>
      </c>
      <c r="QSM208" s="128">
        <f>DATA!QSP35</f>
        <v>0</v>
      </c>
      <c r="QSN208" s="128">
        <f>DATA!QSQ35</f>
        <v>0</v>
      </c>
      <c r="QSO208" s="128">
        <f>DATA!QSR35</f>
        <v>0</v>
      </c>
      <c r="QSP208" s="128">
        <f>DATA!QSS35</f>
        <v>0</v>
      </c>
      <c r="QSQ208" s="128">
        <f>DATA!QST35</f>
        <v>0</v>
      </c>
      <c r="QSR208" s="128">
        <f>DATA!QSU35</f>
        <v>0</v>
      </c>
      <c r="QSS208" s="128">
        <f>DATA!QSV35</f>
        <v>0</v>
      </c>
      <c r="QST208" s="128">
        <f>DATA!QSW35</f>
        <v>0</v>
      </c>
      <c r="QSU208" s="128">
        <f>DATA!QSX35</f>
        <v>0</v>
      </c>
      <c r="QSV208" s="128">
        <f>DATA!QSY35</f>
        <v>0</v>
      </c>
      <c r="QSW208" s="128">
        <f>DATA!QSZ35</f>
        <v>0</v>
      </c>
      <c r="QSX208" s="128">
        <f>DATA!QTA35</f>
        <v>0</v>
      </c>
      <c r="QSY208" s="128">
        <f>DATA!QTB35</f>
        <v>0</v>
      </c>
      <c r="QSZ208" s="128">
        <f>DATA!QTC35</f>
        <v>0</v>
      </c>
      <c r="QTA208" s="128">
        <f>DATA!QTD35</f>
        <v>0</v>
      </c>
      <c r="QTB208" s="128">
        <f>DATA!QTE35</f>
        <v>0</v>
      </c>
      <c r="QTC208" s="128">
        <f>DATA!QTF35</f>
        <v>0</v>
      </c>
      <c r="QTD208" s="128">
        <f>DATA!QTG35</f>
        <v>0</v>
      </c>
      <c r="QTE208" s="128">
        <f>DATA!QTH35</f>
        <v>0</v>
      </c>
      <c r="QTF208" s="128">
        <f>DATA!QTI35</f>
        <v>0</v>
      </c>
      <c r="QTG208" s="128">
        <f>DATA!QTJ35</f>
        <v>0</v>
      </c>
      <c r="QTH208" s="128">
        <f>DATA!QTK35</f>
        <v>0</v>
      </c>
      <c r="QTI208" s="128">
        <f>DATA!QTL35</f>
        <v>0</v>
      </c>
      <c r="QTJ208" s="128">
        <f>DATA!QTM35</f>
        <v>0</v>
      </c>
      <c r="QTK208" s="128">
        <f>DATA!QTN35</f>
        <v>0</v>
      </c>
      <c r="QTL208" s="128">
        <f>DATA!QTO35</f>
        <v>0</v>
      </c>
      <c r="QTM208" s="128">
        <f>DATA!QTP35</f>
        <v>0</v>
      </c>
      <c r="QTN208" s="128">
        <f>DATA!QTQ35</f>
        <v>0</v>
      </c>
      <c r="QTO208" s="128">
        <f>DATA!QTR35</f>
        <v>0</v>
      </c>
      <c r="QTP208" s="128">
        <f>DATA!QTS35</f>
        <v>0</v>
      </c>
      <c r="QTQ208" s="128">
        <f>DATA!QTT35</f>
        <v>0</v>
      </c>
      <c r="QTR208" s="128">
        <f>DATA!QTU35</f>
        <v>0</v>
      </c>
      <c r="QTS208" s="128">
        <f>DATA!QTV35</f>
        <v>0</v>
      </c>
      <c r="QTT208" s="128">
        <f>DATA!QTW35</f>
        <v>0</v>
      </c>
      <c r="QTU208" s="128">
        <f>DATA!QTX35</f>
        <v>0</v>
      </c>
      <c r="QTV208" s="128">
        <f>DATA!QTY35</f>
        <v>0</v>
      </c>
      <c r="QTW208" s="128">
        <f>DATA!QTZ35</f>
        <v>0</v>
      </c>
      <c r="QTX208" s="128">
        <f>DATA!QUA35</f>
        <v>0</v>
      </c>
      <c r="QTY208" s="128">
        <f>DATA!QUB35</f>
        <v>0</v>
      </c>
      <c r="QTZ208" s="128">
        <f>DATA!QUC35</f>
        <v>0</v>
      </c>
      <c r="QUA208" s="128">
        <f>DATA!QUD35</f>
        <v>0</v>
      </c>
      <c r="QUB208" s="128">
        <f>DATA!QUE35</f>
        <v>0</v>
      </c>
      <c r="QUC208" s="128">
        <f>DATA!QUF35</f>
        <v>0</v>
      </c>
      <c r="QUD208" s="128">
        <f>DATA!QUG35</f>
        <v>0</v>
      </c>
      <c r="QUE208" s="128">
        <f>DATA!QUH35</f>
        <v>0</v>
      </c>
      <c r="QUF208" s="128">
        <f>DATA!QUI35</f>
        <v>0</v>
      </c>
      <c r="QUG208" s="128">
        <f>DATA!QUJ35</f>
        <v>0</v>
      </c>
      <c r="QUH208" s="128">
        <f>DATA!QUK35</f>
        <v>0</v>
      </c>
      <c r="QUI208" s="128">
        <f>DATA!QUL35</f>
        <v>0</v>
      </c>
      <c r="QUJ208" s="128">
        <f>DATA!QUM35</f>
        <v>0</v>
      </c>
      <c r="QUK208" s="128">
        <f>DATA!QUN35</f>
        <v>0</v>
      </c>
      <c r="QUL208" s="128">
        <f>DATA!QUO35</f>
        <v>0</v>
      </c>
      <c r="QUM208" s="128">
        <f>DATA!QUP35</f>
        <v>0</v>
      </c>
      <c r="QUN208" s="128">
        <f>DATA!QUQ35</f>
        <v>0</v>
      </c>
      <c r="QUO208" s="128">
        <f>DATA!QUR35</f>
        <v>0</v>
      </c>
      <c r="QUP208" s="128">
        <f>DATA!QUS35</f>
        <v>0</v>
      </c>
      <c r="QUQ208" s="128">
        <f>DATA!QUT35</f>
        <v>0</v>
      </c>
      <c r="QUR208" s="128">
        <f>DATA!QUU35</f>
        <v>0</v>
      </c>
      <c r="QUS208" s="128">
        <f>DATA!QUV35</f>
        <v>0</v>
      </c>
      <c r="QUT208" s="128">
        <f>DATA!QUW35</f>
        <v>0</v>
      </c>
      <c r="QUU208" s="128">
        <f>DATA!QUX35</f>
        <v>0</v>
      </c>
      <c r="QUV208" s="128">
        <f>DATA!QUY35</f>
        <v>0</v>
      </c>
      <c r="QUW208" s="128">
        <f>DATA!QUZ35</f>
        <v>0</v>
      </c>
      <c r="QUX208" s="128">
        <f>DATA!QVA35</f>
        <v>0</v>
      </c>
      <c r="QUY208" s="128">
        <f>DATA!QVB35</f>
        <v>0</v>
      </c>
      <c r="QUZ208" s="128">
        <f>DATA!QVC35</f>
        <v>0</v>
      </c>
      <c r="QVA208" s="128">
        <f>DATA!QVD35</f>
        <v>0</v>
      </c>
      <c r="QVB208" s="128">
        <f>DATA!QVE35</f>
        <v>0</v>
      </c>
      <c r="QVC208" s="128">
        <f>DATA!QVF35</f>
        <v>0</v>
      </c>
      <c r="QVD208" s="128">
        <f>DATA!QVG35</f>
        <v>0</v>
      </c>
      <c r="QVE208" s="128">
        <f>DATA!QVH35</f>
        <v>0</v>
      </c>
      <c r="QVF208" s="128">
        <f>DATA!QVI35</f>
        <v>0</v>
      </c>
      <c r="QVG208" s="128">
        <f>DATA!QVJ35</f>
        <v>0</v>
      </c>
      <c r="QVH208" s="128">
        <f>DATA!QVK35</f>
        <v>0</v>
      </c>
      <c r="QVI208" s="128">
        <f>DATA!QVL35</f>
        <v>0</v>
      </c>
      <c r="QVJ208" s="128">
        <f>DATA!QVM35</f>
        <v>0</v>
      </c>
      <c r="QVK208" s="128">
        <f>DATA!QVN35</f>
        <v>0</v>
      </c>
      <c r="QVL208" s="128">
        <f>DATA!QVO35</f>
        <v>0</v>
      </c>
      <c r="QVM208" s="128">
        <f>DATA!QVP35</f>
        <v>0</v>
      </c>
      <c r="QVN208" s="128">
        <f>DATA!QVQ35</f>
        <v>0</v>
      </c>
      <c r="QVO208" s="128">
        <f>DATA!QVR35</f>
        <v>0</v>
      </c>
      <c r="QVP208" s="128">
        <f>DATA!QVS35</f>
        <v>0</v>
      </c>
      <c r="QVQ208" s="128">
        <f>DATA!QVT35</f>
        <v>0</v>
      </c>
      <c r="QVR208" s="128">
        <f>DATA!QVU35</f>
        <v>0</v>
      </c>
      <c r="QVS208" s="128">
        <f>DATA!QVV35</f>
        <v>0</v>
      </c>
      <c r="QVT208" s="128">
        <f>DATA!QVW35</f>
        <v>0</v>
      </c>
      <c r="QVU208" s="128">
        <f>DATA!QVX35</f>
        <v>0</v>
      </c>
      <c r="QVV208" s="128">
        <f>DATA!QVY35</f>
        <v>0</v>
      </c>
      <c r="QVW208" s="128">
        <f>DATA!QVZ35</f>
        <v>0</v>
      </c>
      <c r="QVX208" s="128">
        <f>DATA!QWA35</f>
        <v>0</v>
      </c>
      <c r="QVY208" s="128">
        <f>DATA!QWB35</f>
        <v>0</v>
      </c>
      <c r="QVZ208" s="128">
        <f>DATA!QWC35</f>
        <v>0</v>
      </c>
      <c r="QWA208" s="128">
        <f>DATA!QWD35</f>
        <v>0</v>
      </c>
      <c r="QWB208" s="128">
        <f>DATA!QWE35</f>
        <v>0</v>
      </c>
      <c r="QWC208" s="128">
        <f>DATA!QWF35</f>
        <v>0</v>
      </c>
      <c r="QWD208" s="128">
        <f>DATA!QWG35</f>
        <v>0</v>
      </c>
      <c r="QWE208" s="128">
        <f>DATA!QWH35</f>
        <v>0</v>
      </c>
      <c r="QWF208" s="128">
        <f>DATA!QWI35</f>
        <v>0</v>
      </c>
      <c r="QWG208" s="128">
        <f>DATA!QWJ35</f>
        <v>0</v>
      </c>
      <c r="QWH208" s="128">
        <f>DATA!QWK35</f>
        <v>0</v>
      </c>
      <c r="QWI208" s="128">
        <f>DATA!QWL35</f>
        <v>0</v>
      </c>
      <c r="QWJ208" s="128">
        <f>DATA!QWM35</f>
        <v>0</v>
      </c>
      <c r="QWK208" s="128">
        <f>DATA!QWN35</f>
        <v>0</v>
      </c>
      <c r="QWL208" s="128">
        <f>DATA!QWO35</f>
        <v>0</v>
      </c>
      <c r="QWM208" s="128">
        <f>DATA!QWP35</f>
        <v>0</v>
      </c>
      <c r="QWN208" s="128">
        <f>DATA!QWQ35</f>
        <v>0</v>
      </c>
      <c r="QWO208" s="128">
        <f>DATA!QWR35</f>
        <v>0</v>
      </c>
      <c r="QWP208" s="128">
        <f>DATA!QWS35</f>
        <v>0</v>
      </c>
      <c r="QWQ208" s="128">
        <f>DATA!QWT35</f>
        <v>0</v>
      </c>
      <c r="QWR208" s="128">
        <f>DATA!QWU35</f>
        <v>0</v>
      </c>
      <c r="QWS208" s="128">
        <f>DATA!QWV35</f>
        <v>0</v>
      </c>
      <c r="QWT208" s="128">
        <f>DATA!QWW35</f>
        <v>0</v>
      </c>
      <c r="QWU208" s="128">
        <f>DATA!QWX35</f>
        <v>0</v>
      </c>
      <c r="QWV208" s="128">
        <f>DATA!QWY35</f>
        <v>0</v>
      </c>
      <c r="QWW208" s="128">
        <f>DATA!QWZ35</f>
        <v>0</v>
      </c>
      <c r="QWX208" s="128">
        <f>DATA!QXA35</f>
        <v>0</v>
      </c>
      <c r="QWY208" s="128">
        <f>DATA!QXB35</f>
        <v>0</v>
      </c>
      <c r="QWZ208" s="128">
        <f>DATA!QXC35</f>
        <v>0</v>
      </c>
      <c r="QXA208" s="128">
        <f>DATA!QXD35</f>
        <v>0</v>
      </c>
      <c r="QXB208" s="128">
        <f>DATA!QXE35</f>
        <v>0</v>
      </c>
      <c r="QXC208" s="128">
        <f>DATA!QXF35</f>
        <v>0</v>
      </c>
      <c r="QXD208" s="128">
        <f>DATA!QXG35</f>
        <v>0</v>
      </c>
      <c r="QXE208" s="128">
        <f>DATA!QXH35</f>
        <v>0</v>
      </c>
      <c r="QXF208" s="128">
        <f>DATA!QXI35</f>
        <v>0</v>
      </c>
      <c r="QXG208" s="128">
        <f>DATA!QXJ35</f>
        <v>0</v>
      </c>
      <c r="QXH208" s="128">
        <f>DATA!QXK35</f>
        <v>0</v>
      </c>
      <c r="QXI208" s="128">
        <f>DATA!QXL35</f>
        <v>0</v>
      </c>
      <c r="QXJ208" s="128">
        <f>DATA!QXM35</f>
        <v>0</v>
      </c>
      <c r="QXK208" s="128">
        <f>DATA!QXN35</f>
        <v>0</v>
      </c>
      <c r="QXL208" s="128">
        <f>DATA!QXO35</f>
        <v>0</v>
      </c>
      <c r="QXM208" s="128">
        <f>DATA!QXP35</f>
        <v>0</v>
      </c>
      <c r="QXN208" s="128">
        <f>DATA!QXQ35</f>
        <v>0</v>
      </c>
      <c r="QXO208" s="128">
        <f>DATA!QXR35</f>
        <v>0</v>
      </c>
      <c r="QXP208" s="128">
        <f>DATA!QXS35</f>
        <v>0</v>
      </c>
      <c r="QXQ208" s="128">
        <f>DATA!QXT35</f>
        <v>0</v>
      </c>
      <c r="QXR208" s="128">
        <f>DATA!QXU35</f>
        <v>0</v>
      </c>
      <c r="QXS208" s="128">
        <f>DATA!QXV35</f>
        <v>0</v>
      </c>
      <c r="QXT208" s="128">
        <f>DATA!QXW35</f>
        <v>0</v>
      </c>
      <c r="QXU208" s="128">
        <f>DATA!QXX35</f>
        <v>0</v>
      </c>
      <c r="QXV208" s="128">
        <f>DATA!QXY35</f>
        <v>0</v>
      </c>
      <c r="QXW208" s="128">
        <f>DATA!QXZ35</f>
        <v>0</v>
      </c>
      <c r="QXX208" s="128">
        <f>DATA!QYA35</f>
        <v>0</v>
      </c>
      <c r="QXY208" s="128">
        <f>DATA!QYB35</f>
        <v>0</v>
      </c>
      <c r="QXZ208" s="128">
        <f>DATA!QYC35</f>
        <v>0</v>
      </c>
      <c r="QYA208" s="128">
        <f>DATA!QYD35</f>
        <v>0</v>
      </c>
      <c r="QYB208" s="128">
        <f>DATA!QYE35</f>
        <v>0</v>
      </c>
      <c r="QYC208" s="128">
        <f>DATA!QYF35</f>
        <v>0</v>
      </c>
      <c r="QYD208" s="128">
        <f>DATA!QYG35</f>
        <v>0</v>
      </c>
      <c r="QYE208" s="128">
        <f>DATA!QYH35</f>
        <v>0</v>
      </c>
      <c r="QYF208" s="128">
        <f>DATA!QYI35</f>
        <v>0</v>
      </c>
      <c r="QYG208" s="128">
        <f>DATA!QYJ35</f>
        <v>0</v>
      </c>
      <c r="QYH208" s="128">
        <f>DATA!QYK35</f>
        <v>0</v>
      </c>
      <c r="QYI208" s="128">
        <f>DATA!QYL35</f>
        <v>0</v>
      </c>
      <c r="QYJ208" s="128">
        <f>DATA!QYM35</f>
        <v>0</v>
      </c>
      <c r="QYK208" s="128">
        <f>DATA!QYN35</f>
        <v>0</v>
      </c>
      <c r="QYL208" s="128">
        <f>DATA!QYO35</f>
        <v>0</v>
      </c>
      <c r="QYM208" s="128">
        <f>DATA!QYP35</f>
        <v>0</v>
      </c>
      <c r="QYN208" s="128">
        <f>DATA!QYQ35</f>
        <v>0</v>
      </c>
      <c r="QYO208" s="128">
        <f>DATA!QYR35</f>
        <v>0</v>
      </c>
      <c r="QYP208" s="128">
        <f>DATA!QYS35</f>
        <v>0</v>
      </c>
      <c r="QYQ208" s="128">
        <f>DATA!QYT35</f>
        <v>0</v>
      </c>
      <c r="QYR208" s="128">
        <f>DATA!QYU35</f>
        <v>0</v>
      </c>
      <c r="QYS208" s="128">
        <f>DATA!QYV35</f>
        <v>0</v>
      </c>
      <c r="QYT208" s="128">
        <f>DATA!QYW35</f>
        <v>0</v>
      </c>
      <c r="QYU208" s="128">
        <f>DATA!QYX35</f>
        <v>0</v>
      </c>
      <c r="QYV208" s="128">
        <f>DATA!QYY35</f>
        <v>0</v>
      </c>
      <c r="QYW208" s="128">
        <f>DATA!QYZ35</f>
        <v>0</v>
      </c>
      <c r="QYX208" s="128">
        <f>DATA!QZA35</f>
        <v>0</v>
      </c>
      <c r="QYY208" s="128">
        <f>DATA!QZB35</f>
        <v>0</v>
      </c>
      <c r="QYZ208" s="128">
        <f>DATA!QZC35</f>
        <v>0</v>
      </c>
      <c r="QZA208" s="128">
        <f>DATA!QZD35</f>
        <v>0</v>
      </c>
      <c r="QZB208" s="128">
        <f>DATA!QZE35</f>
        <v>0</v>
      </c>
      <c r="QZC208" s="128">
        <f>DATA!QZF35</f>
        <v>0</v>
      </c>
      <c r="QZD208" s="128">
        <f>DATA!QZG35</f>
        <v>0</v>
      </c>
      <c r="QZE208" s="128">
        <f>DATA!QZH35</f>
        <v>0</v>
      </c>
      <c r="QZF208" s="128">
        <f>DATA!QZI35</f>
        <v>0</v>
      </c>
      <c r="QZG208" s="128">
        <f>DATA!QZJ35</f>
        <v>0</v>
      </c>
      <c r="QZH208" s="128">
        <f>DATA!QZK35</f>
        <v>0</v>
      </c>
      <c r="QZI208" s="128">
        <f>DATA!QZL35</f>
        <v>0</v>
      </c>
      <c r="QZJ208" s="128">
        <f>DATA!QZM35</f>
        <v>0</v>
      </c>
      <c r="QZK208" s="128">
        <f>DATA!QZN35</f>
        <v>0</v>
      </c>
      <c r="QZL208" s="128">
        <f>DATA!QZO35</f>
        <v>0</v>
      </c>
      <c r="QZM208" s="128">
        <f>DATA!QZP35</f>
        <v>0</v>
      </c>
      <c r="QZN208" s="128">
        <f>DATA!QZQ35</f>
        <v>0</v>
      </c>
      <c r="QZO208" s="128">
        <f>DATA!QZR35</f>
        <v>0</v>
      </c>
      <c r="QZP208" s="128">
        <f>DATA!QZS35</f>
        <v>0</v>
      </c>
      <c r="QZQ208" s="128">
        <f>DATA!QZT35</f>
        <v>0</v>
      </c>
      <c r="QZR208" s="128">
        <f>DATA!QZU35</f>
        <v>0</v>
      </c>
      <c r="QZS208" s="128">
        <f>DATA!QZV35</f>
        <v>0</v>
      </c>
      <c r="QZT208" s="128">
        <f>DATA!QZW35</f>
        <v>0</v>
      </c>
      <c r="QZU208" s="128">
        <f>DATA!QZX35</f>
        <v>0</v>
      </c>
      <c r="QZV208" s="128">
        <f>DATA!QZY35</f>
        <v>0</v>
      </c>
      <c r="QZW208" s="128">
        <f>DATA!QZZ35</f>
        <v>0</v>
      </c>
      <c r="QZX208" s="128">
        <f>DATA!RAA35</f>
        <v>0</v>
      </c>
      <c r="QZY208" s="128">
        <f>DATA!RAB35</f>
        <v>0</v>
      </c>
      <c r="QZZ208" s="128">
        <f>DATA!RAC35</f>
        <v>0</v>
      </c>
      <c r="RAA208" s="128">
        <f>DATA!RAD35</f>
        <v>0</v>
      </c>
      <c r="RAB208" s="128">
        <f>DATA!RAE35</f>
        <v>0</v>
      </c>
      <c r="RAC208" s="128">
        <f>DATA!RAF35</f>
        <v>0</v>
      </c>
      <c r="RAD208" s="128">
        <f>DATA!RAG35</f>
        <v>0</v>
      </c>
      <c r="RAE208" s="128">
        <f>DATA!RAH35</f>
        <v>0</v>
      </c>
      <c r="RAF208" s="128">
        <f>DATA!RAI35</f>
        <v>0</v>
      </c>
      <c r="RAG208" s="128">
        <f>DATA!RAJ35</f>
        <v>0</v>
      </c>
      <c r="RAH208" s="128">
        <f>DATA!RAK35</f>
        <v>0</v>
      </c>
      <c r="RAI208" s="128">
        <f>DATA!RAL35</f>
        <v>0</v>
      </c>
      <c r="RAJ208" s="128">
        <f>DATA!RAM35</f>
        <v>0</v>
      </c>
      <c r="RAK208" s="128">
        <f>DATA!RAN35</f>
        <v>0</v>
      </c>
      <c r="RAL208" s="128">
        <f>DATA!RAO35</f>
        <v>0</v>
      </c>
      <c r="RAM208" s="128">
        <f>DATA!RAP35</f>
        <v>0</v>
      </c>
      <c r="RAN208" s="128">
        <f>DATA!RAQ35</f>
        <v>0</v>
      </c>
      <c r="RAO208" s="128">
        <f>DATA!RAR35</f>
        <v>0</v>
      </c>
      <c r="RAP208" s="128">
        <f>DATA!RAS35</f>
        <v>0</v>
      </c>
      <c r="RAQ208" s="128">
        <f>DATA!RAT35</f>
        <v>0</v>
      </c>
      <c r="RAR208" s="128">
        <f>DATA!RAU35</f>
        <v>0</v>
      </c>
      <c r="RAS208" s="128">
        <f>DATA!RAV35</f>
        <v>0</v>
      </c>
      <c r="RAT208" s="128">
        <f>DATA!RAW35</f>
        <v>0</v>
      </c>
      <c r="RAU208" s="128">
        <f>DATA!RAX35</f>
        <v>0</v>
      </c>
      <c r="RAV208" s="128">
        <f>DATA!RAY35</f>
        <v>0</v>
      </c>
      <c r="RAW208" s="128">
        <f>DATA!RAZ35</f>
        <v>0</v>
      </c>
      <c r="RAX208" s="128">
        <f>DATA!RBA35</f>
        <v>0</v>
      </c>
      <c r="RAY208" s="128">
        <f>DATA!RBB35</f>
        <v>0</v>
      </c>
      <c r="RAZ208" s="128">
        <f>DATA!RBC35</f>
        <v>0</v>
      </c>
      <c r="RBA208" s="128">
        <f>DATA!RBD35</f>
        <v>0</v>
      </c>
      <c r="RBB208" s="128">
        <f>DATA!RBE35</f>
        <v>0</v>
      </c>
      <c r="RBC208" s="128">
        <f>DATA!RBF35</f>
        <v>0</v>
      </c>
      <c r="RBD208" s="128">
        <f>DATA!RBG35</f>
        <v>0</v>
      </c>
      <c r="RBE208" s="128">
        <f>DATA!RBH35</f>
        <v>0</v>
      </c>
      <c r="RBF208" s="128">
        <f>DATA!RBI35</f>
        <v>0</v>
      </c>
      <c r="RBG208" s="128">
        <f>DATA!RBJ35</f>
        <v>0</v>
      </c>
      <c r="RBH208" s="128">
        <f>DATA!RBK35</f>
        <v>0</v>
      </c>
      <c r="RBI208" s="128">
        <f>DATA!RBL35</f>
        <v>0</v>
      </c>
      <c r="RBJ208" s="128">
        <f>DATA!RBM35</f>
        <v>0</v>
      </c>
      <c r="RBK208" s="128">
        <f>DATA!RBN35</f>
        <v>0</v>
      </c>
      <c r="RBL208" s="128">
        <f>DATA!RBO35</f>
        <v>0</v>
      </c>
      <c r="RBM208" s="128">
        <f>DATA!RBP35</f>
        <v>0</v>
      </c>
      <c r="RBN208" s="128">
        <f>DATA!RBQ35</f>
        <v>0</v>
      </c>
      <c r="RBO208" s="128">
        <f>DATA!RBR35</f>
        <v>0</v>
      </c>
      <c r="RBP208" s="128">
        <f>DATA!RBS35</f>
        <v>0</v>
      </c>
      <c r="RBQ208" s="128">
        <f>DATA!RBT35</f>
        <v>0</v>
      </c>
      <c r="RBR208" s="128">
        <f>DATA!RBU35</f>
        <v>0</v>
      </c>
      <c r="RBS208" s="128">
        <f>DATA!RBV35</f>
        <v>0</v>
      </c>
      <c r="RBT208" s="128">
        <f>DATA!RBW35</f>
        <v>0</v>
      </c>
      <c r="RBU208" s="128">
        <f>DATA!RBX35</f>
        <v>0</v>
      </c>
      <c r="RBV208" s="128">
        <f>DATA!RBY35</f>
        <v>0</v>
      </c>
      <c r="RBW208" s="128">
        <f>DATA!RBZ35</f>
        <v>0</v>
      </c>
      <c r="RBX208" s="128">
        <f>DATA!RCA35</f>
        <v>0</v>
      </c>
      <c r="RBY208" s="128">
        <f>DATA!RCB35</f>
        <v>0</v>
      </c>
      <c r="RBZ208" s="128">
        <f>DATA!RCC35</f>
        <v>0</v>
      </c>
      <c r="RCA208" s="128">
        <f>DATA!RCD35</f>
        <v>0</v>
      </c>
      <c r="RCB208" s="128">
        <f>DATA!RCE35</f>
        <v>0</v>
      </c>
      <c r="RCC208" s="128">
        <f>DATA!RCF35</f>
        <v>0</v>
      </c>
      <c r="RCD208" s="128">
        <f>DATA!RCG35</f>
        <v>0</v>
      </c>
      <c r="RCE208" s="128">
        <f>DATA!RCH35</f>
        <v>0</v>
      </c>
      <c r="RCF208" s="128">
        <f>DATA!RCI35</f>
        <v>0</v>
      </c>
      <c r="RCG208" s="128">
        <f>DATA!RCJ35</f>
        <v>0</v>
      </c>
      <c r="RCH208" s="128">
        <f>DATA!RCK35</f>
        <v>0</v>
      </c>
      <c r="RCI208" s="128">
        <f>DATA!RCL35</f>
        <v>0</v>
      </c>
      <c r="RCJ208" s="128">
        <f>DATA!RCM35</f>
        <v>0</v>
      </c>
      <c r="RCK208" s="128">
        <f>DATA!RCN35</f>
        <v>0</v>
      </c>
      <c r="RCL208" s="128">
        <f>DATA!RCO35</f>
        <v>0</v>
      </c>
      <c r="RCM208" s="128">
        <f>DATA!RCP35</f>
        <v>0</v>
      </c>
      <c r="RCN208" s="128">
        <f>DATA!RCQ35</f>
        <v>0</v>
      </c>
      <c r="RCO208" s="128">
        <f>DATA!RCR35</f>
        <v>0</v>
      </c>
      <c r="RCP208" s="128">
        <f>DATA!RCS35</f>
        <v>0</v>
      </c>
      <c r="RCQ208" s="128">
        <f>DATA!RCT35</f>
        <v>0</v>
      </c>
      <c r="RCR208" s="128">
        <f>DATA!RCU35</f>
        <v>0</v>
      </c>
      <c r="RCS208" s="128">
        <f>DATA!RCV35</f>
        <v>0</v>
      </c>
      <c r="RCT208" s="128">
        <f>DATA!RCW35</f>
        <v>0</v>
      </c>
      <c r="RCU208" s="128">
        <f>DATA!RCX35</f>
        <v>0</v>
      </c>
      <c r="RCV208" s="128">
        <f>DATA!RCY35</f>
        <v>0</v>
      </c>
      <c r="RCW208" s="128">
        <f>DATA!RCZ35</f>
        <v>0</v>
      </c>
      <c r="RCX208" s="128">
        <f>DATA!RDA35</f>
        <v>0</v>
      </c>
      <c r="RCY208" s="128">
        <f>DATA!RDB35</f>
        <v>0</v>
      </c>
      <c r="RCZ208" s="128">
        <f>DATA!RDC35</f>
        <v>0</v>
      </c>
      <c r="RDA208" s="128">
        <f>DATA!RDD35</f>
        <v>0</v>
      </c>
      <c r="RDB208" s="128">
        <f>DATA!RDE35</f>
        <v>0</v>
      </c>
      <c r="RDC208" s="128">
        <f>DATA!RDF35</f>
        <v>0</v>
      </c>
      <c r="RDD208" s="128">
        <f>DATA!RDG35</f>
        <v>0</v>
      </c>
      <c r="RDE208" s="128">
        <f>DATA!RDH35</f>
        <v>0</v>
      </c>
      <c r="RDF208" s="128">
        <f>DATA!RDI35</f>
        <v>0</v>
      </c>
      <c r="RDG208" s="128">
        <f>DATA!RDJ35</f>
        <v>0</v>
      </c>
      <c r="RDH208" s="128">
        <f>DATA!RDK35</f>
        <v>0</v>
      </c>
      <c r="RDI208" s="128">
        <f>DATA!RDL35</f>
        <v>0</v>
      </c>
      <c r="RDJ208" s="128">
        <f>DATA!RDM35</f>
        <v>0</v>
      </c>
      <c r="RDK208" s="128">
        <f>DATA!RDN35</f>
        <v>0</v>
      </c>
      <c r="RDL208" s="128">
        <f>DATA!RDO35</f>
        <v>0</v>
      </c>
      <c r="RDM208" s="128">
        <f>DATA!RDP35</f>
        <v>0</v>
      </c>
      <c r="RDN208" s="128">
        <f>DATA!RDQ35</f>
        <v>0</v>
      </c>
      <c r="RDO208" s="128">
        <f>DATA!RDR35</f>
        <v>0</v>
      </c>
      <c r="RDP208" s="128">
        <f>DATA!RDS35</f>
        <v>0</v>
      </c>
      <c r="RDQ208" s="128">
        <f>DATA!RDT35</f>
        <v>0</v>
      </c>
      <c r="RDR208" s="128">
        <f>DATA!RDU35</f>
        <v>0</v>
      </c>
      <c r="RDS208" s="128">
        <f>DATA!RDV35</f>
        <v>0</v>
      </c>
      <c r="RDT208" s="128">
        <f>DATA!RDW35</f>
        <v>0</v>
      </c>
      <c r="RDU208" s="128">
        <f>DATA!RDX35</f>
        <v>0</v>
      </c>
      <c r="RDV208" s="128">
        <f>DATA!RDY35</f>
        <v>0</v>
      </c>
      <c r="RDW208" s="128">
        <f>DATA!RDZ35</f>
        <v>0</v>
      </c>
      <c r="RDX208" s="128">
        <f>DATA!REA35</f>
        <v>0</v>
      </c>
      <c r="RDY208" s="128">
        <f>DATA!REB35</f>
        <v>0</v>
      </c>
      <c r="RDZ208" s="128">
        <f>DATA!REC35</f>
        <v>0</v>
      </c>
      <c r="REA208" s="128">
        <f>DATA!RED35</f>
        <v>0</v>
      </c>
      <c r="REB208" s="128">
        <f>DATA!REE35</f>
        <v>0</v>
      </c>
      <c r="REC208" s="128">
        <f>DATA!REF35</f>
        <v>0</v>
      </c>
      <c r="RED208" s="128">
        <f>DATA!REG35</f>
        <v>0</v>
      </c>
      <c r="REE208" s="128">
        <f>DATA!REH35</f>
        <v>0</v>
      </c>
      <c r="REF208" s="128">
        <f>DATA!REI35</f>
        <v>0</v>
      </c>
      <c r="REG208" s="128">
        <f>DATA!REJ35</f>
        <v>0</v>
      </c>
      <c r="REH208" s="128">
        <f>DATA!REK35</f>
        <v>0</v>
      </c>
      <c r="REI208" s="128">
        <f>DATA!REL35</f>
        <v>0</v>
      </c>
      <c r="REJ208" s="128">
        <f>DATA!REM35</f>
        <v>0</v>
      </c>
      <c r="REK208" s="128">
        <f>DATA!REN35</f>
        <v>0</v>
      </c>
      <c r="REL208" s="128">
        <f>DATA!REO35</f>
        <v>0</v>
      </c>
      <c r="REM208" s="128">
        <f>DATA!REP35</f>
        <v>0</v>
      </c>
      <c r="REN208" s="128">
        <f>DATA!REQ35</f>
        <v>0</v>
      </c>
      <c r="REO208" s="128">
        <f>DATA!RER35</f>
        <v>0</v>
      </c>
      <c r="REP208" s="128">
        <f>DATA!RES35</f>
        <v>0</v>
      </c>
      <c r="REQ208" s="128">
        <f>DATA!RET35</f>
        <v>0</v>
      </c>
      <c r="RER208" s="128">
        <f>DATA!REU35</f>
        <v>0</v>
      </c>
      <c r="RES208" s="128">
        <f>DATA!REV35</f>
        <v>0</v>
      </c>
      <c r="RET208" s="128">
        <f>DATA!REW35</f>
        <v>0</v>
      </c>
      <c r="REU208" s="128">
        <f>DATA!REX35</f>
        <v>0</v>
      </c>
      <c r="REV208" s="128">
        <f>DATA!REY35</f>
        <v>0</v>
      </c>
      <c r="REW208" s="128">
        <f>DATA!REZ35</f>
        <v>0</v>
      </c>
      <c r="REX208" s="128">
        <f>DATA!RFA35</f>
        <v>0</v>
      </c>
      <c r="REY208" s="128">
        <f>DATA!RFB35</f>
        <v>0</v>
      </c>
      <c r="REZ208" s="128">
        <f>DATA!RFC35</f>
        <v>0</v>
      </c>
      <c r="RFA208" s="128">
        <f>DATA!RFD35</f>
        <v>0</v>
      </c>
      <c r="RFB208" s="128">
        <f>DATA!RFE35</f>
        <v>0</v>
      </c>
      <c r="RFC208" s="128">
        <f>DATA!RFF35</f>
        <v>0</v>
      </c>
      <c r="RFD208" s="128">
        <f>DATA!RFG35</f>
        <v>0</v>
      </c>
      <c r="RFE208" s="128">
        <f>DATA!RFH35</f>
        <v>0</v>
      </c>
      <c r="RFF208" s="128">
        <f>DATA!RFI35</f>
        <v>0</v>
      </c>
      <c r="RFG208" s="128">
        <f>DATA!RFJ35</f>
        <v>0</v>
      </c>
      <c r="RFH208" s="128">
        <f>DATA!RFK35</f>
        <v>0</v>
      </c>
      <c r="RFI208" s="128">
        <f>DATA!RFL35</f>
        <v>0</v>
      </c>
      <c r="RFJ208" s="128">
        <f>DATA!RFM35</f>
        <v>0</v>
      </c>
      <c r="RFK208" s="128">
        <f>DATA!RFN35</f>
        <v>0</v>
      </c>
      <c r="RFL208" s="128">
        <f>DATA!RFO35</f>
        <v>0</v>
      </c>
      <c r="RFM208" s="128">
        <f>DATA!RFP35</f>
        <v>0</v>
      </c>
      <c r="RFN208" s="128">
        <f>DATA!RFQ35</f>
        <v>0</v>
      </c>
      <c r="RFO208" s="128">
        <f>DATA!RFR35</f>
        <v>0</v>
      </c>
      <c r="RFP208" s="128">
        <f>DATA!RFS35</f>
        <v>0</v>
      </c>
      <c r="RFQ208" s="128">
        <f>DATA!RFT35</f>
        <v>0</v>
      </c>
      <c r="RFR208" s="128">
        <f>DATA!RFU35</f>
        <v>0</v>
      </c>
      <c r="RFS208" s="128">
        <f>DATA!RFV35</f>
        <v>0</v>
      </c>
      <c r="RFT208" s="128">
        <f>DATA!RFW35</f>
        <v>0</v>
      </c>
      <c r="RFU208" s="128">
        <f>DATA!RFX35</f>
        <v>0</v>
      </c>
      <c r="RFV208" s="128">
        <f>DATA!RFY35</f>
        <v>0</v>
      </c>
      <c r="RFW208" s="128">
        <f>DATA!RFZ35</f>
        <v>0</v>
      </c>
      <c r="RFX208" s="128">
        <f>DATA!RGA35</f>
        <v>0</v>
      </c>
      <c r="RFY208" s="128">
        <f>DATA!RGB35</f>
        <v>0</v>
      </c>
      <c r="RFZ208" s="128">
        <f>DATA!RGC35</f>
        <v>0</v>
      </c>
      <c r="RGA208" s="128">
        <f>DATA!RGD35</f>
        <v>0</v>
      </c>
      <c r="RGB208" s="128">
        <f>DATA!RGE35</f>
        <v>0</v>
      </c>
      <c r="RGC208" s="128">
        <f>DATA!RGF35</f>
        <v>0</v>
      </c>
      <c r="RGD208" s="128">
        <f>DATA!RGG35</f>
        <v>0</v>
      </c>
      <c r="RGE208" s="128">
        <f>DATA!RGH35</f>
        <v>0</v>
      </c>
      <c r="RGF208" s="128">
        <f>DATA!RGI35</f>
        <v>0</v>
      </c>
      <c r="RGG208" s="128">
        <f>DATA!RGJ35</f>
        <v>0</v>
      </c>
      <c r="RGH208" s="128">
        <f>DATA!RGK35</f>
        <v>0</v>
      </c>
      <c r="RGI208" s="128">
        <f>DATA!RGL35</f>
        <v>0</v>
      </c>
      <c r="RGJ208" s="128">
        <f>DATA!RGM35</f>
        <v>0</v>
      </c>
      <c r="RGK208" s="128">
        <f>DATA!RGN35</f>
        <v>0</v>
      </c>
      <c r="RGL208" s="128">
        <f>DATA!RGO35</f>
        <v>0</v>
      </c>
      <c r="RGM208" s="128">
        <f>DATA!RGP35</f>
        <v>0</v>
      </c>
      <c r="RGN208" s="128">
        <f>DATA!RGQ35</f>
        <v>0</v>
      </c>
      <c r="RGO208" s="128">
        <f>DATA!RGR35</f>
        <v>0</v>
      </c>
      <c r="RGP208" s="128">
        <f>DATA!RGS35</f>
        <v>0</v>
      </c>
      <c r="RGQ208" s="128">
        <f>DATA!RGT35</f>
        <v>0</v>
      </c>
      <c r="RGR208" s="128">
        <f>DATA!RGU35</f>
        <v>0</v>
      </c>
      <c r="RGS208" s="128">
        <f>DATA!RGV35</f>
        <v>0</v>
      </c>
      <c r="RGT208" s="128">
        <f>DATA!RGW35</f>
        <v>0</v>
      </c>
      <c r="RGU208" s="128">
        <f>DATA!RGX35</f>
        <v>0</v>
      </c>
      <c r="RGV208" s="128">
        <f>DATA!RGY35</f>
        <v>0</v>
      </c>
      <c r="RGW208" s="128">
        <f>DATA!RGZ35</f>
        <v>0</v>
      </c>
      <c r="RGX208" s="128">
        <f>DATA!RHA35</f>
        <v>0</v>
      </c>
      <c r="RGY208" s="128">
        <f>DATA!RHB35</f>
        <v>0</v>
      </c>
      <c r="RGZ208" s="128">
        <f>DATA!RHC35</f>
        <v>0</v>
      </c>
      <c r="RHA208" s="128">
        <f>DATA!RHD35</f>
        <v>0</v>
      </c>
      <c r="RHB208" s="128">
        <f>DATA!RHE35</f>
        <v>0</v>
      </c>
      <c r="RHC208" s="128">
        <f>DATA!RHF35</f>
        <v>0</v>
      </c>
      <c r="RHD208" s="128">
        <f>DATA!RHG35</f>
        <v>0</v>
      </c>
      <c r="RHE208" s="128">
        <f>DATA!RHH35</f>
        <v>0</v>
      </c>
      <c r="RHF208" s="128">
        <f>DATA!RHI35</f>
        <v>0</v>
      </c>
      <c r="RHG208" s="128">
        <f>DATA!RHJ35</f>
        <v>0</v>
      </c>
      <c r="RHH208" s="128">
        <f>DATA!RHK35</f>
        <v>0</v>
      </c>
      <c r="RHI208" s="128">
        <f>DATA!RHL35</f>
        <v>0</v>
      </c>
      <c r="RHJ208" s="128">
        <f>DATA!RHM35</f>
        <v>0</v>
      </c>
      <c r="RHK208" s="128">
        <f>DATA!RHN35</f>
        <v>0</v>
      </c>
      <c r="RHL208" s="128">
        <f>DATA!RHO35</f>
        <v>0</v>
      </c>
      <c r="RHM208" s="128">
        <f>DATA!RHP35</f>
        <v>0</v>
      </c>
      <c r="RHN208" s="128">
        <f>DATA!RHQ35</f>
        <v>0</v>
      </c>
      <c r="RHO208" s="128">
        <f>DATA!RHR35</f>
        <v>0</v>
      </c>
      <c r="RHP208" s="128">
        <f>DATA!RHS35</f>
        <v>0</v>
      </c>
      <c r="RHQ208" s="128">
        <f>DATA!RHT35</f>
        <v>0</v>
      </c>
      <c r="RHR208" s="128">
        <f>DATA!RHU35</f>
        <v>0</v>
      </c>
      <c r="RHS208" s="128">
        <f>DATA!RHV35</f>
        <v>0</v>
      </c>
      <c r="RHT208" s="128">
        <f>DATA!RHW35</f>
        <v>0</v>
      </c>
      <c r="RHU208" s="128">
        <f>DATA!RHX35</f>
        <v>0</v>
      </c>
      <c r="RHV208" s="128">
        <f>DATA!RHY35</f>
        <v>0</v>
      </c>
      <c r="RHW208" s="128">
        <f>DATA!RHZ35</f>
        <v>0</v>
      </c>
      <c r="RHX208" s="128">
        <f>DATA!RIA35</f>
        <v>0</v>
      </c>
      <c r="RHY208" s="128">
        <f>DATA!RIB35</f>
        <v>0</v>
      </c>
      <c r="RHZ208" s="128">
        <f>DATA!RIC35</f>
        <v>0</v>
      </c>
      <c r="RIA208" s="128">
        <f>DATA!RID35</f>
        <v>0</v>
      </c>
      <c r="RIB208" s="128">
        <f>DATA!RIE35</f>
        <v>0</v>
      </c>
      <c r="RIC208" s="128">
        <f>DATA!RIF35</f>
        <v>0</v>
      </c>
      <c r="RID208" s="128">
        <f>DATA!RIG35</f>
        <v>0</v>
      </c>
      <c r="RIE208" s="128">
        <f>DATA!RIH35</f>
        <v>0</v>
      </c>
      <c r="RIF208" s="128">
        <f>DATA!RII35</f>
        <v>0</v>
      </c>
      <c r="RIG208" s="128">
        <f>DATA!RIJ35</f>
        <v>0</v>
      </c>
      <c r="RIH208" s="128">
        <f>DATA!RIK35</f>
        <v>0</v>
      </c>
      <c r="RII208" s="128">
        <f>DATA!RIL35</f>
        <v>0</v>
      </c>
      <c r="RIJ208" s="128">
        <f>DATA!RIM35</f>
        <v>0</v>
      </c>
      <c r="RIK208" s="128">
        <f>DATA!RIN35</f>
        <v>0</v>
      </c>
      <c r="RIL208" s="128">
        <f>DATA!RIO35</f>
        <v>0</v>
      </c>
      <c r="RIM208" s="128">
        <f>DATA!RIP35</f>
        <v>0</v>
      </c>
      <c r="RIN208" s="128">
        <f>DATA!RIQ35</f>
        <v>0</v>
      </c>
      <c r="RIO208" s="128">
        <f>DATA!RIR35</f>
        <v>0</v>
      </c>
      <c r="RIP208" s="128">
        <f>DATA!RIS35</f>
        <v>0</v>
      </c>
      <c r="RIQ208" s="128">
        <f>DATA!RIT35</f>
        <v>0</v>
      </c>
      <c r="RIR208" s="128">
        <f>DATA!RIU35</f>
        <v>0</v>
      </c>
      <c r="RIS208" s="128">
        <f>DATA!RIV35</f>
        <v>0</v>
      </c>
      <c r="RIT208" s="128">
        <f>DATA!RIW35</f>
        <v>0</v>
      </c>
      <c r="RIU208" s="128">
        <f>DATA!RIX35</f>
        <v>0</v>
      </c>
      <c r="RIV208" s="128">
        <f>DATA!RIY35</f>
        <v>0</v>
      </c>
      <c r="RIW208" s="128">
        <f>DATA!RIZ35</f>
        <v>0</v>
      </c>
      <c r="RIX208" s="128">
        <f>DATA!RJA35</f>
        <v>0</v>
      </c>
      <c r="RIY208" s="128">
        <f>DATA!RJB35</f>
        <v>0</v>
      </c>
      <c r="RIZ208" s="128">
        <f>DATA!RJC35</f>
        <v>0</v>
      </c>
      <c r="RJA208" s="128">
        <f>DATA!RJD35</f>
        <v>0</v>
      </c>
      <c r="RJB208" s="128">
        <f>DATA!RJE35</f>
        <v>0</v>
      </c>
      <c r="RJC208" s="128">
        <f>DATA!RJF35</f>
        <v>0</v>
      </c>
      <c r="RJD208" s="128">
        <f>DATA!RJG35</f>
        <v>0</v>
      </c>
      <c r="RJE208" s="128">
        <f>DATA!RJH35</f>
        <v>0</v>
      </c>
      <c r="RJF208" s="128">
        <f>DATA!RJI35</f>
        <v>0</v>
      </c>
      <c r="RJG208" s="128">
        <f>DATA!RJJ35</f>
        <v>0</v>
      </c>
      <c r="RJH208" s="128">
        <f>DATA!RJK35</f>
        <v>0</v>
      </c>
      <c r="RJI208" s="128">
        <f>DATA!RJL35</f>
        <v>0</v>
      </c>
      <c r="RJJ208" s="128">
        <f>DATA!RJM35</f>
        <v>0</v>
      </c>
      <c r="RJK208" s="128">
        <f>DATA!RJN35</f>
        <v>0</v>
      </c>
      <c r="RJL208" s="128">
        <f>DATA!RJO35</f>
        <v>0</v>
      </c>
      <c r="RJM208" s="128">
        <f>DATA!RJP35</f>
        <v>0</v>
      </c>
      <c r="RJN208" s="128">
        <f>DATA!RJQ35</f>
        <v>0</v>
      </c>
      <c r="RJO208" s="128">
        <f>DATA!RJR35</f>
        <v>0</v>
      </c>
      <c r="RJP208" s="128">
        <f>DATA!RJS35</f>
        <v>0</v>
      </c>
      <c r="RJQ208" s="128">
        <f>DATA!RJT35</f>
        <v>0</v>
      </c>
      <c r="RJR208" s="128">
        <f>DATA!RJU35</f>
        <v>0</v>
      </c>
      <c r="RJS208" s="128">
        <f>DATA!RJV35</f>
        <v>0</v>
      </c>
      <c r="RJT208" s="128">
        <f>DATA!RJW35</f>
        <v>0</v>
      </c>
      <c r="RJU208" s="128">
        <f>DATA!RJX35</f>
        <v>0</v>
      </c>
      <c r="RJV208" s="128">
        <f>DATA!RJY35</f>
        <v>0</v>
      </c>
      <c r="RJW208" s="128">
        <f>DATA!RJZ35</f>
        <v>0</v>
      </c>
      <c r="RJX208" s="128">
        <f>DATA!RKA35</f>
        <v>0</v>
      </c>
      <c r="RJY208" s="128">
        <f>DATA!RKB35</f>
        <v>0</v>
      </c>
      <c r="RJZ208" s="128">
        <f>DATA!RKC35</f>
        <v>0</v>
      </c>
      <c r="RKA208" s="128">
        <f>DATA!RKD35</f>
        <v>0</v>
      </c>
      <c r="RKB208" s="128">
        <f>DATA!RKE35</f>
        <v>0</v>
      </c>
      <c r="RKC208" s="128">
        <f>DATA!RKF35</f>
        <v>0</v>
      </c>
      <c r="RKD208" s="128">
        <f>DATA!RKG35</f>
        <v>0</v>
      </c>
      <c r="RKE208" s="128">
        <f>DATA!RKH35</f>
        <v>0</v>
      </c>
      <c r="RKF208" s="128">
        <f>DATA!RKI35</f>
        <v>0</v>
      </c>
      <c r="RKG208" s="128">
        <f>DATA!RKJ35</f>
        <v>0</v>
      </c>
      <c r="RKH208" s="128">
        <f>DATA!RKK35</f>
        <v>0</v>
      </c>
      <c r="RKI208" s="128">
        <f>DATA!RKL35</f>
        <v>0</v>
      </c>
      <c r="RKJ208" s="128">
        <f>DATA!RKM35</f>
        <v>0</v>
      </c>
      <c r="RKK208" s="128">
        <f>DATA!RKN35</f>
        <v>0</v>
      </c>
      <c r="RKL208" s="128">
        <f>DATA!RKO35</f>
        <v>0</v>
      </c>
      <c r="RKM208" s="128">
        <f>DATA!RKP35</f>
        <v>0</v>
      </c>
      <c r="RKN208" s="128">
        <f>DATA!RKQ35</f>
        <v>0</v>
      </c>
      <c r="RKO208" s="128">
        <f>DATA!RKR35</f>
        <v>0</v>
      </c>
      <c r="RKP208" s="128">
        <f>DATA!RKS35</f>
        <v>0</v>
      </c>
      <c r="RKQ208" s="128">
        <f>DATA!RKT35</f>
        <v>0</v>
      </c>
      <c r="RKR208" s="128">
        <f>DATA!RKU35</f>
        <v>0</v>
      </c>
      <c r="RKS208" s="128">
        <f>DATA!RKV35</f>
        <v>0</v>
      </c>
      <c r="RKT208" s="128">
        <f>DATA!RKW35</f>
        <v>0</v>
      </c>
      <c r="RKU208" s="128">
        <f>DATA!RKX35</f>
        <v>0</v>
      </c>
      <c r="RKV208" s="128">
        <f>DATA!RKY35</f>
        <v>0</v>
      </c>
      <c r="RKW208" s="128">
        <f>DATA!RKZ35</f>
        <v>0</v>
      </c>
      <c r="RKX208" s="128">
        <f>DATA!RLA35</f>
        <v>0</v>
      </c>
      <c r="RKY208" s="128">
        <f>DATA!RLB35</f>
        <v>0</v>
      </c>
      <c r="RKZ208" s="128">
        <f>DATA!RLC35</f>
        <v>0</v>
      </c>
      <c r="RLA208" s="128">
        <f>DATA!RLD35</f>
        <v>0</v>
      </c>
      <c r="RLB208" s="128">
        <f>DATA!RLE35</f>
        <v>0</v>
      </c>
      <c r="RLC208" s="128">
        <f>DATA!RLF35</f>
        <v>0</v>
      </c>
      <c r="RLD208" s="128">
        <f>DATA!RLG35</f>
        <v>0</v>
      </c>
      <c r="RLE208" s="128">
        <f>DATA!RLH35</f>
        <v>0</v>
      </c>
      <c r="RLF208" s="128">
        <f>DATA!RLI35</f>
        <v>0</v>
      </c>
      <c r="RLG208" s="128">
        <f>DATA!RLJ35</f>
        <v>0</v>
      </c>
      <c r="RLH208" s="128">
        <f>DATA!RLK35</f>
        <v>0</v>
      </c>
      <c r="RLI208" s="128">
        <f>DATA!RLL35</f>
        <v>0</v>
      </c>
      <c r="RLJ208" s="128">
        <f>DATA!RLM35</f>
        <v>0</v>
      </c>
      <c r="RLK208" s="128">
        <f>DATA!RLN35</f>
        <v>0</v>
      </c>
      <c r="RLL208" s="128">
        <f>DATA!RLO35</f>
        <v>0</v>
      </c>
      <c r="RLM208" s="128">
        <f>DATA!RLP35</f>
        <v>0</v>
      </c>
      <c r="RLN208" s="128">
        <f>DATA!RLQ35</f>
        <v>0</v>
      </c>
      <c r="RLO208" s="128">
        <f>DATA!RLR35</f>
        <v>0</v>
      </c>
      <c r="RLP208" s="128">
        <f>DATA!RLS35</f>
        <v>0</v>
      </c>
      <c r="RLQ208" s="128">
        <f>DATA!RLT35</f>
        <v>0</v>
      </c>
      <c r="RLR208" s="128">
        <f>DATA!RLU35</f>
        <v>0</v>
      </c>
      <c r="RLS208" s="128">
        <f>DATA!RLV35</f>
        <v>0</v>
      </c>
      <c r="RLT208" s="128">
        <f>DATA!RLW35</f>
        <v>0</v>
      </c>
      <c r="RLU208" s="128">
        <f>DATA!RLX35</f>
        <v>0</v>
      </c>
      <c r="RLV208" s="128">
        <f>DATA!RLY35</f>
        <v>0</v>
      </c>
      <c r="RLW208" s="128">
        <f>DATA!RLZ35</f>
        <v>0</v>
      </c>
      <c r="RLX208" s="128">
        <f>DATA!RMA35</f>
        <v>0</v>
      </c>
      <c r="RLY208" s="128">
        <f>DATA!RMB35</f>
        <v>0</v>
      </c>
      <c r="RLZ208" s="128">
        <f>DATA!RMC35</f>
        <v>0</v>
      </c>
      <c r="RMA208" s="128">
        <f>DATA!RMD35</f>
        <v>0</v>
      </c>
      <c r="RMB208" s="128">
        <f>DATA!RME35</f>
        <v>0</v>
      </c>
      <c r="RMC208" s="128">
        <f>DATA!RMF35</f>
        <v>0</v>
      </c>
      <c r="RMD208" s="128">
        <f>DATA!RMG35</f>
        <v>0</v>
      </c>
      <c r="RME208" s="128">
        <f>DATA!RMH35</f>
        <v>0</v>
      </c>
      <c r="RMF208" s="128">
        <f>DATA!RMI35</f>
        <v>0</v>
      </c>
      <c r="RMG208" s="128">
        <f>DATA!RMJ35</f>
        <v>0</v>
      </c>
      <c r="RMH208" s="128">
        <f>DATA!RMK35</f>
        <v>0</v>
      </c>
      <c r="RMI208" s="128">
        <f>DATA!RML35</f>
        <v>0</v>
      </c>
      <c r="RMJ208" s="128">
        <f>DATA!RMM35</f>
        <v>0</v>
      </c>
      <c r="RMK208" s="128">
        <f>DATA!RMN35</f>
        <v>0</v>
      </c>
      <c r="RML208" s="128">
        <f>DATA!RMO35</f>
        <v>0</v>
      </c>
      <c r="RMM208" s="128">
        <f>DATA!RMP35</f>
        <v>0</v>
      </c>
      <c r="RMN208" s="128">
        <f>DATA!RMQ35</f>
        <v>0</v>
      </c>
      <c r="RMO208" s="128">
        <f>DATA!RMR35</f>
        <v>0</v>
      </c>
      <c r="RMP208" s="128">
        <f>DATA!RMS35</f>
        <v>0</v>
      </c>
      <c r="RMQ208" s="128">
        <f>DATA!RMT35</f>
        <v>0</v>
      </c>
      <c r="RMR208" s="128">
        <f>DATA!RMU35</f>
        <v>0</v>
      </c>
      <c r="RMS208" s="128">
        <f>DATA!RMV35</f>
        <v>0</v>
      </c>
      <c r="RMT208" s="128">
        <f>DATA!RMW35</f>
        <v>0</v>
      </c>
      <c r="RMU208" s="128">
        <f>DATA!RMX35</f>
        <v>0</v>
      </c>
      <c r="RMV208" s="128">
        <f>DATA!RMY35</f>
        <v>0</v>
      </c>
      <c r="RMW208" s="128">
        <f>DATA!RMZ35</f>
        <v>0</v>
      </c>
      <c r="RMX208" s="128">
        <f>DATA!RNA35</f>
        <v>0</v>
      </c>
      <c r="RMY208" s="128">
        <f>DATA!RNB35</f>
        <v>0</v>
      </c>
      <c r="RMZ208" s="128">
        <f>DATA!RNC35</f>
        <v>0</v>
      </c>
      <c r="RNA208" s="128">
        <f>DATA!RND35</f>
        <v>0</v>
      </c>
      <c r="RNB208" s="128">
        <f>DATA!RNE35</f>
        <v>0</v>
      </c>
      <c r="RNC208" s="128">
        <f>DATA!RNF35</f>
        <v>0</v>
      </c>
      <c r="RND208" s="128">
        <f>DATA!RNG35</f>
        <v>0</v>
      </c>
      <c r="RNE208" s="128">
        <f>DATA!RNH35</f>
        <v>0</v>
      </c>
      <c r="RNF208" s="128">
        <f>DATA!RNI35</f>
        <v>0</v>
      </c>
      <c r="RNG208" s="128">
        <f>DATA!RNJ35</f>
        <v>0</v>
      </c>
      <c r="RNH208" s="128">
        <f>DATA!RNK35</f>
        <v>0</v>
      </c>
      <c r="RNI208" s="128">
        <f>DATA!RNL35</f>
        <v>0</v>
      </c>
      <c r="RNJ208" s="128">
        <f>DATA!RNM35</f>
        <v>0</v>
      </c>
      <c r="RNK208" s="128">
        <f>DATA!RNN35</f>
        <v>0</v>
      </c>
      <c r="RNL208" s="128">
        <f>DATA!RNO35</f>
        <v>0</v>
      </c>
      <c r="RNM208" s="128">
        <f>DATA!RNP35</f>
        <v>0</v>
      </c>
      <c r="RNN208" s="128">
        <f>DATA!RNQ35</f>
        <v>0</v>
      </c>
      <c r="RNO208" s="128">
        <f>DATA!RNR35</f>
        <v>0</v>
      </c>
      <c r="RNP208" s="128">
        <f>DATA!RNS35</f>
        <v>0</v>
      </c>
      <c r="RNQ208" s="128">
        <f>DATA!RNT35</f>
        <v>0</v>
      </c>
      <c r="RNR208" s="128">
        <f>DATA!RNU35</f>
        <v>0</v>
      </c>
      <c r="RNS208" s="128">
        <f>DATA!RNV35</f>
        <v>0</v>
      </c>
      <c r="RNT208" s="128">
        <f>DATA!RNW35</f>
        <v>0</v>
      </c>
      <c r="RNU208" s="128">
        <f>DATA!RNX35</f>
        <v>0</v>
      </c>
      <c r="RNV208" s="128">
        <f>DATA!RNY35</f>
        <v>0</v>
      </c>
      <c r="RNW208" s="128">
        <f>DATA!RNZ35</f>
        <v>0</v>
      </c>
      <c r="RNX208" s="128">
        <f>DATA!ROA35</f>
        <v>0</v>
      </c>
      <c r="RNY208" s="128">
        <f>DATA!ROB35</f>
        <v>0</v>
      </c>
      <c r="RNZ208" s="128">
        <f>DATA!ROC35</f>
        <v>0</v>
      </c>
      <c r="ROA208" s="128">
        <f>DATA!ROD35</f>
        <v>0</v>
      </c>
      <c r="ROB208" s="128">
        <f>DATA!ROE35</f>
        <v>0</v>
      </c>
      <c r="ROC208" s="128">
        <f>DATA!ROF35</f>
        <v>0</v>
      </c>
      <c r="ROD208" s="128">
        <f>DATA!ROG35</f>
        <v>0</v>
      </c>
      <c r="ROE208" s="128">
        <f>DATA!ROH35</f>
        <v>0</v>
      </c>
      <c r="ROF208" s="128">
        <f>DATA!ROI35</f>
        <v>0</v>
      </c>
      <c r="ROG208" s="128">
        <f>DATA!ROJ35</f>
        <v>0</v>
      </c>
      <c r="ROH208" s="128">
        <f>DATA!ROK35</f>
        <v>0</v>
      </c>
      <c r="ROI208" s="128">
        <f>DATA!ROL35</f>
        <v>0</v>
      </c>
      <c r="ROJ208" s="128">
        <f>DATA!ROM35</f>
        <v>0</v>
      </c>
      <c r="ROK208" s="128">
        <f>DATA!RON35</f>
        <v>0</v>
      </c>
      <c r="ROL208" s="128">
        <f>DATA!ROO35</f>
        <v>0</v>
      </c>
      <c r="ROM208" s="128">
        <f>DATA!ROP35</f>
        <v>0</v>
      </c>
      <c r="RON208" s="128">
        <f>DATA!ROQ35</f>
        <v>0</v>
      </c>
      <c r="ROO208" s="128">
        <f>DATA!ROR35</f>
        <v>0</v>
      </c>
      <c r="ROP208" s="128">
        <f>DATA!ROS35</f>
        <v>0</v>
      </c>
      <c r="ROQ208" s="128">
        <f>DATA!ROT35</f>
        <v>0</v>
      </c>
      <c r="ROR208" s="128">
        <f>DATA!ROU35</f>
        <v>0</v>
      </c>
      <c r="ROS208" s="128">
        <f>DATA!ROV35</f>
        <v>0</v>
      </c>
      <c r="ROT208" s="128">
        <f>DATA!ROW35</f>
        <v>0</v>
      </c>
      <c r="ROU208" s="128">
        <f>DATA!ROX35</f>
        <v>0</v>
      </c>
      <c r="ROV208" s="128">
        <f>DATA!ROY35</f>
        <v>0</v>
      </c>
      <c r="ROW208" s="128">
        <f>DATA!ROZ35</f>
        <v>0</v>
      </c>
      <c r="ROX208" s="128">
        <f>DATA!RPA35</f>
        <v>0</v>
      </c>
      <c r="ROY208" s="128">
        <f>DATA!RPB35</f>
        <v>0</v>
      </c>
      <c r="ROZ208" s="128">
        <f>DATA!RPC35</f>
        <v>0</v>
      </c>
      <c r="RPA208" s="128">
        <f>DATA!RPD35</f>
        <v>0</v>
      </c>
      <c r="RPB208" s="128">
        <f>DATA!RPE35</f>
        <v>0</v>
      </c>
      <c r="RPC208" s="128">
        <f>DATA!RPF35</f>
        <v>0</v>
      </c>
      <c r="RPD208" s="128">
        <f>DATA!RPG35</f>
        <v>0</v>
      </c>
      <c r="RPE208" s="128">
        <f>DATA!RPH35</f>
        <v>0</v>
      </c>
      <c r="RPF208" s="128">
        <f>DATA!RPI35</f>
        <v>0</v>
      </c>
      <c r="RPG208" s="128">
        <f>DATA!RPJ35</f>
        <v>0</v>
      </c>
      <c r="RPH208" s="128">
        <f>DATA!RPK35</f>
        <v>0</v>
      </c>
      <c r="RPI208" s="128">
        <f>DATA!RPL35</f>
        <v>0</v>
      </c>
      <c r="RPJ208" s="128">
        <f>DATA!RPM35</f>
        <v>0</v>
      </c>
      <c r="RPK208" s="128">
        <f>DATA!RPN35</f>
        <v>0</v>
      </c>
      <c r="RPL208" s="128">
        <f>DATA!RPO35</f>
        <v>0</v>
      </c>
      <c r="RPM208" s="128">
        <f>DATA!RPP35</f>
        <v>0</v>
      </c>
      <c r="RPN208" s="128">
        <f>DATA!RPQ35</f>
        <v>0</v>
      </c>
      <c r="RPO208" s="128">
        <f>DATA!RPR35</f>
        <v>0</v>
      </c>
      <c r="RPP208" s="128">
        <f>DATA!RPS35</f>
        <v>0</v>
      </c>
      <c r="RPQ208" s="128">
        <f>DATA!RPT35</f>
        <v>0</v>
      </c>
      <c r="RPR208" s="128">
        <f>DATA!RPU35</f>
        <v>0</v>
      </c>
      <c r="RPS208" s="128">
        <f>DATA!RPV35</f>
        <v>0</v>
      </c>
      <c r="RPT208" s="128">
        <f>DATA!RPW35</f>
        <v>0</v>
      </c>
      <c r="RPU208" s="128">
        <f>DATA!RPX35</f>
        <v>0</v>
      </c>
      <c r="RPV208" s="128">
        <f>DATA!RPY35</f>
        <v>0</v>
      </c>
      <c r="RPW208" s="128">
        <f>DATA!RPZ35</f>
        <v>0</v>
      </c>
      <c r="RPX208" s="128">
        <f>DATA!RQA35</f>
        <v>0</v>
      </c>
      <c r="RPY208" s="128">
        <f>DATA!RQB35</f>
        <v>0</v>
      </c>
      <c r="RPZ208" s="128">
        <f>DATA!RQC35</f>
        <v>0</v>
      </c>
      <c r="RQA208" s="128">
        <f>DATA!RQD35</f>
        <v>0</v>
      </c>
      <c r="RQB208" s="128">
        <f>DATA!RQE35</f>
        <v>0</v>
      </c>
      <c r="RQC208" s="128">
        <f>DATA!RQF35</f>
        <v>0</v>
      </c>
      <c r="RQD208" s="128">
        <f>DATA!RQG35</f>
        <v>0</v>
      </c>
      <c r="RQE208" s="128">
        <f>DATA!RQH35</f>
        <v>0</v>
      </c>
      <c r="RQF208" s="128">
        <f>DATA!RQI35</f>
        <v>0</v>
      </c>
      <c r="RQG208" s="128">
        <f>DATA!RQJ35</f>
        <v>0</v>
      </c>
      <c r="RQH208" s="128">
        <f>DATA!RQK35</f>
        <v>0</v>
      </c>
      <c r="RQI208" s="128">
        <f>DATA!RQL35</f>
        <v>0</v>
      </c>
      <c r="RQJ208" s="128">
        <f>DATA!RQM35</f>
        <v>0</v>
      </c>
      <c r="RQK208" s="128">
        <f>DATA!RQN35</f>
        <v>0</v>
      </c>
      <c r="RQL208" s="128">
        <f>DATA!RQO35</f>
        <v>0</v>
      </c>
      <c r="RQM208" s="128">
        <f>DATA!RQP35</f>
        <v>0</v>
      </c>
      <c r="RQN208" s="128">
        <f>DATA!RQQ35</f>
        <v>0</v>
      </c>
      <c r="RQO208" s="128">
        <f>DATA!RQR35</f>
        <v>0</v>
      </c>
      <c r="RQP208" s="128">
        <f>DATA!RQS35</f>
        <v>0</v>
      </c>
      <c r="RQQ208" s="128">
        <f>DATA!RQT35</f>
        <v>0</v>
      </c>
      <c r="RQR208" s="128">
        <f>DATA!RQU35</f>
        <v>0</v>
      </c>
      <c r="RQS208" s="128">
        <f>DATA!RQV35</f>
        <v>0</v>
      </c>
      <c r="RQT208" s="128">
        <f>DATA!RQW35</f>
        <v>0</v>
      </c>
      <c r="RQU208" s="128">
        <f>DATA!RQX35</f>
        <v>0</v>
      </c>
      <c r="RQV208" s="128">
        <f>DATA!RQY35</f>
        <v>0</v>
      </c>
      <c r="RQW208" s="128">
        <f>DATA!RQZ35</f>
        <v>0</v>
      </c>
      <c r="RQX208" s="128">
        <f>DATA!RRA35</f>
        <v>0</v>
      </c>
      <c r="RQY208" s="128">
        <f>DATA!RRB35</f>
        <v>0</v>
      </c>
      <c r="RQZ208" s="128">
        <f>DATA!RRC35</f>
        <v>0</v>
      </c>
      <c r="RRA208" s="128">
        <f>DATA!RRD35</f>
        <v>0</v>
      </c>
      <c r="RRB208" s="128">
        <f>DATA!RRE35</f>
        <v>0</v>
      </c>
      <c r="RRC208" s="128">
        <f>DATA!RRF35</f>
        <v>0</v>
      </c>
      <c r="RRD208" s="128">
        <f>DATA!RRG35</f>
        <v>0</v>
      </c>
      <c r="RRE208" s="128">
        <f>DATA!RRH35</f>
        <v>0</v>
      </c>
      <c r="RRF208" s="128">
        <f>DATA!RRI35</f>
        <v>0</v>
      </c>
      <c r="RRG208" s="128">
        <f>DATA!RRJ35</f>
        <v>0</v>
      </c>
      <c r="RRH208" s="128">
        <f>DATA!RRK35</f>
        <v>0</v>
      </c>
      <c r="RRI208" s="128">
        <f>DATA!RRL35</f>
        <v>0</v>
      </c>
      <c r="RRJ208" s="128">
        <f>DATA!RRM35</f>
        <v>0</v>
      </c>
      <c r="RRK208" s="128">
        <f>DATA!RRN35</f>
        <v>0</v>
      </c>
      <c r="RRL208" s="128">
        <f>DATA!RRO35</f>
        <v>0</v>
      </c>
      <c r="RRM208" s="128">
        <f>DATA!RRP35</f>
        <v>0</v>
      </c>
      <c r="RRN208" s="128">
        <f>DATA!RRQ35</f>
        <v>0</v>
      </c>
      <c r="RRO208" s="128">
        <f>DATA!RRR35</f>
        <v>0</v>
      </c>
      <c r="RRP208" s="128">
        <f>DATA!RRS35</f>
        <v>0</v>
      </c>
      <c r="RRQ208" s="128">
        <f>DATA!RRT35</f>
        <v>0</v>
      </c>
      <c r="RRR208" s="128">
        <f>DATA!RRU35</f>
        <v>0</v>
      </c>
      <c r="RRS208" s="128">
        <f>DATA!RRV35</f>
        <v>0</v>
      </c>
      <c r="RRT208" s="128">
        <f>DATA!RRW35</f>
        <v>0</v>
      </c>
      <c r="RRU208" s="128">
        <f>DATA!RRX35</f>
        <v>0</v>
      </c>
      <c r="RRV208" s="128">
        <f>DATA!RRY35</f>
        <v>0</v>
      </c>
      <c r="RRW208" s="128">
        <f>DATA!RRZ35</f>
        <v>0</v>
      </c>
      <c r="RRX208" s="128">
        <f>DATA!RSA35</f>
        <v>0</v>
      </c>
      <c r="RRY208" s="128">
        <f>DATA!RSB35</f>
        <v>0</v>
      </c>
      <c r="RRZ208" s="128">
        <f>DATA!RSC35</f>
        <v>0</v>
      </c>
      <c r="RSA208" s="128">
        <f>DATA!RSD35</f>
        <v>0</v>
      </c>
      <c r="RSB208" s="128">
        <f>DATA!RSE35</f>
        <v>0</v>
      </c>
      <c r="RSC208" s="128">
        <f>DATA!RSF35</f>
        <v>0</v>
      </c>
      <c r="RSD208" s="128">
        <f>DATA!RSG35</f>
        <v>0</v>
      </c>
      <c r="RSE208" s="128">
        <f>DATA!RSH35</f>
        <v>0</v>
      </c>
      <c r="RSF208" s="128">
        <f>DATA!RSI35</f>
        <v>0</v>
      </c>
      <c r="RSG208" s="128">
        <f>DATA!RSJ35</f>
        <v>0</v>
      </c>
      <c r="RSH208" s="128">
        <f>DATA!RSK35</f>
        <v>0</v>
      </c>
      <c r="RSI208" s="128">
        <f>DATA!RSL35</f>
        <v>0</v>
      </c>
      <c r="RSJ208" s="128">
        <f>DATA!RSM35</f>
        <v>0</v>
      </c>
      <c r="RSK208" s="128">
        <f>DATA!RSN35</f>
        <v>0</v>
      </c>
      <c r="RSL208" s="128">
        <f>DATA!RSO35</f>
        <v>0</v>
      </c>
      <c r="RSM208" s="128">
        <f>DATA!RSP35</f>
        <v>0</v>
      </c>
      <c r="RSN208" s="128">
        <f>DATA!RSQ35</f>
        <v>0</v>
      </c>
      <c r="RSO208" s="128">
        <f>DATA!RSR35</f>
        <v>0</v>
      </c>
      <c r="RSP208" s="128">
        <f>DATA!RSS35</f>
        <v>0</v>
      </c>
      <c r="RSQ208" s="128">
        <f>DATA!RST35</f>
        <v>0</v>
      </c>
      <c r="RSR208" s="128">
        <f>DATA!RSU35</f>
        <v>0</v>
      </c>
      <c r="RSS208" s="128">
        <f>DATA!RSV35</f>
        <v>0</v>
      </c>
      <c r="RST208" s="128">
        <f>DATA!RSW35</f>
        <v>0</v>
      </c>
      <c r="RSU208" s="128">
        <f>DATA!RSX35</f>
        <v>0</v>
      </c>
      <c r="RSV208" s="128">
        <f>DATA!RSY35</f>
        <v>0</v>
      </c>
      <c r="RSW208" s="128">
        <f>DATA!RSZ35</f>
        <v>0</v>
      </c>
      <c r="RSX208" s="128">
        <f>DATA!RTA35</f>
        <v>0</v>
      </c>
      <c r="RSY208" s="128">
        <f>DATA!RTB35</f>
        <v>0</v>
      </c>
      <c r="RSZ208" s="128">
        <f>DATA!RTC35</f>
        <v>0</v>
      </c>
      <c r="RTA208" s="128">
        <f>DATA!RTD35</f>
        <v>0</v>
      </c>
      <c r="RTB208" s="128">
        <f>DATA!RTE35</f>
        <v>0</v>
      </c>
      <c r="RTC208" s="128">
        <f>DATA!RTF35</f>
        <v>0</v>
      </c>
      <c r="RTD208" s="128">
        <f>DATA!RTG35</f>
        <v>0</v>
      </c>
      <c r="RTE208" s="128">
        <f>DATA!RTH35</f>
        <v>0</v>
      </c>
      <c r="RTF208" s="128">
        <f>DATA!RTI35</f>
        <v>0</v>
      </c>
      <c r="RTG208" s="128">
        <f>DATA!RTJ35</f>
        <v>0</v>
      </c>
      <c r="RTH208" s="128">
        <f>DATA!RTK35</f>
        <v>0</v>
      </c>
      <c r="RTI208" s="128">
        <f>DATA!RTL35</f>
        <v>0</v>
      </c>
      <c r="RTJ208" s="128">
        <f>DATA!RTM35</f>
        <v>0</v>
      </c>
      <c r="RTK208" s="128">
        <f>DATA!RTN35</f>
        <v>0</v>
      </c>
      <c r="RTL208" s="128">
        <f>DATA!RTO35</f>
        <v>0</v>
      </c>
      <c r="RTM208" s="128">
        <f>DATA!RTP35</f>
        <v>0</v>
      </c>
      <c r="RTN208" s="128">
        <f>DATA!RTQ35</f>
        <v>0</v>
      </c>
      <c r="RTO208" s="128">
        <f>DATA!RTR35</f>
        <v>0</v>
      </c>
      <c r="RTP208" s="128">
        <f>DATA!RTS35</f>
        <v>0</v>
      </c>
      <c r="RTQ208" s="128">
        <f>DATA!RTT35</f>
        <v>0</v>
      </c>
      <c r="RTR208" s="128">
        <f>DATA!RTU35</f>
        <v>0</v>
      </c>
      <c r="RTS208" s="128">
        <f>DATA!RTV35</f>
        <v>0</v>
      </c>
      <c r="RTT208" s="128">
        <f>DATA!RTW35</f>
        <v>0</v>
      </c>
      <c r="RTU208" s="128">
        <f>DATA!RTX35</f>
        <v>0</v>
      </c>
      <c r="RTV208" s="128">
        <f>DATA!RTY35</f>
        <v>0</v>
      </c>
      <c r="RTW208" s="128">
        <f>DATA!RTZ35</f>
        <v>0</v>
      </c>
      <c r="RTX208" s="128">
        <f>DATA!RUA35</f>
        <v>0</v>
      </c>
      <c r="RTY208" s="128">
        <f>DATA!RUB35</f>
        <v>0</v>
      </c>
      <c r="RTZ208" s="128">
        <f>DATA!RUC35</f>
        <v>0</v>
      </c>
      <c r="RUA208" s="128">
        <f>DATA!RUD35</f>
        <v>0</v>
      </c>
      <c r="RUB208" s="128">
        <f>DATA!RUE35</f>
        <v>0</v>
      </c>
      <c r="RUC208" s="128">
        <f>DATA!RUF35</f>
        <v>0</v>
      </c>
      <c r="RUD208" s="128">
        <f>DATA!RUG35</f>
        <v>0</v>
      </c>
      <c r="RUE208" s="128">
        <f>DATA!RUH35</f>
        <v>0</v>
      </c>
      <c r="RUF208" s="128">
        <f>DATA!RUI35</f>
        <v>0</v>
      </c>
      <c r="RUG208" s="128">
        <f>DATA!RUJ35</f>
        <v>0</v>
      </c>
      <c r="RUH208" s="128">
        <f>DATA!RUK35</f>
        <v>0</v>
      </c>
      <c r="RUI208" s="128">
        <f>DATA!RUL35</f>
        <v>0</v>
      </c>
      <c r="RUJ208" s="128">
        <f>DATA!RUM35</f>
        <v>0</v>
      </c>
      <c r="RUK208" s="128">
        <f>DATA!RUN35</f>
        <v>0</v>
      </c>
      <c r="RUL208" s="128">
        <f>DATA!RUO35</f>
        <v>0</v>
      </c>
      <c r="RUM208" s="128">
        <f>DATA!RUP35</f>
        <v>0</v>
      </c>
      <c r="RUN208" s="128">
        <f>DATA!RUQ35</f>
        <v>0</v>
      </c>
      <c r="RUO208" s="128">
        <f>DATA!RUR35</f>
        <v>0</v>
      </c>
      <c r="RUP208" s="128">
        <f>DATA!RUS35</f>
        <v>0</v>
      </c>
      <c r="RUQ208" s="128">
        <f>DATA!RUT35</f>
        <v>0</v>
      </c>
      <c r="RUR208" s="128">
        <f>DATA!RUU35</f>
        <v>0</v>
      </c>
      <c r="RUS208" s="128">
        <f>DATA!RUV35</f>
        <v>0</v>
      </c>
      <c r="RUT208" s="128">
        <f>DATA!RUW35</f>
        <v>0</v>
      </c>
      <c r="RUU208" s="128">
        <f>DATA!RUX35</f>
        <v>0</v>
      </c>
      <c r="RUV208" s="128">
        <f>DATA!RUY35</f>
        <v>0</v>
      </c>
      <c r="RUW208" s="128">
        <f>DATA!RUZ35</f>
        <v>0</v>
      </c>
      <c r="RUX208" s="128">
        <f>DATA!RVA35</f>
        <v>0</v>
      </c>
      <c r="RUY208" s="128">
        <f>DATA!RVB35</f>
        <v>0</v>
      </c>
      <c r="RUZ208" s="128">
        <f>DATA!RVC35</f>
        <v>0</v>
      </c>
      <c r="RVA208" s="128">
        <f>DATA!RVD35</f>
        <v>0</v>
      </c>
      <c r="RVB208" s="128">
        <f>DATA!RVE35</f>
        <v>0</v>
      </c>
      <c r="RVC208" s="128">
        <f>DATA!RVF35</f>
        <v>0</v>
      </c>
      <c r="RVD208" s="128">
        <f>DATA!RVG35</f>
        <v>0</v>
      </c>
      <c r="RVE208" s="128">
        <f>DATA!RVH35</f>
        <v>0</v>
      </c>
      <c r="RVF208" s="128">
        <f>DATA!RVI35</f>
        <v>0</v>
      </c>
      <c r="RVG208" s="128">
        <f>DATA!RVJ35</f>
        <v>0</v>
      </c>
      <c r="RVH208" s="128">
        <f>DATA!RVK35</f>
        <v>0</v>
      </c>
      <c r="RVI208" s="128">
        <f>DATA!RVL35</f>
        <v>0</v>
      </c>
      <c r="RVJ208" s="128">
        <f>DATA!RVM35</f>
        <v>0</v>
      </c>
      <c r="RVK208" s="128">
        <f>DATA!RVN35</f>
        <v>0</v>
      </c>
      <c r="RVL208" s="128">
        <f>DATA!RVO35</f>
        <v>0</v>
      </c>
      <c r="RVM208" s="128">
        <f>DATA!RVP35</f>
        <v>0</v>
      </c>
      <c r="RVN208" s="128">
        <f>DATA!RVQ35</f>
        <v>0</v>
      </c>
      <c r="RVO208" s="128">
        <f>DATA!RVR35</f>
        <v>0</v>
      </c>
      <c r="RVP208" s="128">
        <f>DATA!RVS35</f>
        <v>0</v>
      </c>
      <c r="RVQ208" s="128">
        <f>DATA!RVT35</f>
        <v>0</v>
      </c>
      <c r="RVR208" s="128">
        <f>DATA!RVU35</f>
        <v>0</v>
      </c>
      <c r="RVS208" s="128">
        <f>DATA!RVV35</f>
        <v>0</v>
      </c>
      <c r="RVT208" s="128">
        <f>DATA!RVW35</f>
        <v>0</v>
      </c>
      <c r="RVU208" s="128">
        <f>DATA!RVX35</f>
        <v>0</v>
      </c>
      <c r="RVV208" s="128">
        <f>DATA!RVY35</f>
        <v>0</v>
      </c>
      <c r="RVW208" s="128">
        <f>DATA!RVZ35</f>
        <v>0</v>
      </c>
      <c r="RVX208" s="128">
        <f>DATA!RWA35</f>
        <v>0</v>
      </c>
      <c r="RVY208" s="128">
        <f>DATA!RWB35</f>
        <v>0</v>
      </c>
      <c r="RVZ208" s="128">
        <f>DATA!RWC35</f>
        <v>0</v>
      </c>
      <c r="RWA208" s="128">
        <f>DATA!RWD35</f>
        <v>0</v>
      </c>
      <c r="RWB208" s="128">
        <f>DATA!RWE35</f>
        <v>0</v>
      </c>
      <c r="RWC208" s="128">
        <f>DATA!RWF35</f>
        <v>0</v>
      </c>
      <c r="RWD208" s="128">
        <f>DATA!RWG35</f>
        <v>0</v>
      </c>
      <c r="RWE208" s="128">
        <f>DATA!RWH35</f>
        <v>0</v>
      </c>
      <c r="RWF208" s="128">
        <f>DATA!RWI35</f>
        <v>0</v>
      </c>
      <c r="RWG208" s="128">
        <f>DATA!RWJ35</f>
        <v>0</v>
      </c>
      <c r="RWH208" s="128">
        <f>DATA!RWK35</f>
        <v>0</v>
      </c>
      <c r="RWI208" s="128">
        <f>DATA!RWL35</f>
        <v>0</v>
      </c>
      <c r="RWJ208" s="128">
        <f>DATA!RWM35</f>
        <v>0</v>
      </c>
      <c r="RWK208" s="128">
        <f>DATA!RWN35</f>
        <v>0</v>
      </c>
      <c r="RWL208" s="128">
        <f>DATA!RWO35</f>
        <v>0</v>
      </c>
      <c r="RWM208" s="128">
        <f>DATA!RWP35</f>
        <v>0</v>
      </c>
      <c r="RWN208" s="128">
        <f>DATA!RWQ35</f>
        <v>0</v>
      </c>
      <c r="RWO208" s="128">
        <f>DATA!RWR35</f>
        <v>0</v>
      </c>
      <c r="RWP208" s="128">
        <f>DATA!RWS35</f>
        <v>0</v>
      </c>
      <c r="RWQ208" s="128">
        <f>DATA!RWT35</f>
        <v>0</v>
      </c>
      <c r="RWR208" s="128">
        <f>DATA!RWU35</f>
        <v>0</v>
      </c>
      <c r="RWS208" s="128">
        <f>DATA!RWV35</f>
        <v>0</v>
      </c>
      <c r="RWT208" s="128">
        <f>DATA!RWW35</f>
        <v>0</v>
      </c>
      <c r="RWU208" s="128">
        <f>DATA!RWX35</f>
        <v>0</v>
      </c>
      <c r="RWV208" s="128">
        <f>DATA!RWY35</f>
        <v>0</v>
      </c>
      <c r="RWW208" s="128">
        <f>DATA!RWZ35</f>
        <v>0</v>
      </c>
      <c r="RWX208" s="128">
        <f>DATA!RXA35</f>
        <v>0</v>
      </c>
      <c r="RWY208" s="128">
        <f>DATA!RXB35</f>
        <v>0</v>
      </c>
      <c r="RWZ208" s="128">
        <f>DATA!RXC35</f>
        <v>0</v>
      </c>
      <c r="RXA208" s="128">
        <f>DATA!RXD35</f>
        <v>0</v>
      </c>
      <c r="RXB208" s="128">
        <f>DATA!RXE35</f>
        <v>0</v>
      </c>
      <c r="RXC208" s="128">
        <f>DATA!RXF35</f>
        <v>0</v>
      </c>
      <c r="RXD208" s="128">
        <f>DATA!RXG35</f>
        <v>0</v>
      </c>
      <c r="RXE208" s="128">
        <f>DATA!RXH35</f>
        <v>0</v>
      </c>
      <c r="RXF208" s="128">
        <f>DATA!RXI35</f>
        <v>0</v>
      </c>
      <c r="RXG208" s="128">
        <f>DATA!RXJ35</f>
        <v>0</v>
      </c>
      <c r="RXH208" s="128">
        <f>DATA!RXK35</f>
        <v>0</v>
      </c>
      <c r="RXI208" s="128">
        <f>DATA!RXL35</f>
        <v>0</v>
      </c>
      <c r="RXJ208" s="128">
        <f>DATA!RXM35</f>
        <v>0</v>
      </c>
      <c r="RXK208" s="128">
        <f>DATA!RXN35</f>
        <v>0</v>
      </c>
      <c r="RXL208" s="128">
        <f>DATA!RXO35</f>
        <v>0</v>
      </c>
      <c r="RXM208" s="128">
        <f>DATA!RXP35</f>
        <v>0</v>
      </c>
      <c r="RXN208" s="128">
        <f>DATA!RXQ35</f>
        <v>0</v>
      </c>
      <c r="RXO208" s="128">
        <f>DATA!RXR35</f>
        <v>0</v>
      </c>
      <c r="RXP208" s="128">
        <f>DATA!RXS35</f>
        <v>0</v>
      </c>
      <c r="RXQ208" s="128">
        <f>DATA!RXT35</f>
        <v>0</v>
      </c>
      <c r="RXR208" s="128">
        <f>DATA!RXU35</f>
        <v>0</v>
      </c>
      <c r="RXS208" s="128">
        <f>DATA!RXV35</f>
        <v>0</v>
      </c>
      <c r="RXT208" s="128">
        <f>DATA!RXW35</f>
        <v>0</v>
      </c>
      <c r="RXU208" s="128">
        <f>DATA!RXX35</f>
        <v>0</v>
      </c>
      <c r="RXV208" s="128">
        <f>DATA!RXY35</f>
        <v>0</v>
      </c>
      <c r="RXW208" s="128">
        <f>DATA!RXZ35</f>
        <v>0</v>
      </c>
      <c r="RXX208" s="128">
        <f>DATA!RYA35</f>
        <v>0</v>
      </c>
      <c r="RXY208" s="128">
        <f>DATA!RYB35</f>
        <v>0</v>
      </c>
      <c r="RXZ208" s="128">
        <f>DATA!RYC35</f>
        <v>0</v>
      </c>
      <c r="RYA208" s="128">
        <f>DATA!RYD35</f>
        <v>0</v>
      </c>
      <c r="RYB208" s="128">
        <f>DATA!RYE35</f>
        <v>0</v>
      </c>
      <c r="RYC208" s="128">
        <f>DATA!RYF35</f>
        <v>0</v>
      </c>
      <c r="RYD208" s="128">
        <f>DATA!RYG35</f>
        <v>0</v>
      </c>
      <c r="RYE208" s="128">
        <f>DATA!RYH35</f>
        <v>0</v>
      </c>
      <c r="RYF208" s="128">
        <f>DATA!RYI35</f>
        <v>0</v>
      </c>
      <c r="RYG208" s="128">
        <f>DATA!RYJ35</f>
        <v>0</v>
      </c>
      <c r="RYH208" s="128">
        <f>DATA!RYK35</f>
        <v>0</v>
      </c>
      <c r="RYI208" s="128">
        <f>DATA!RYL35</f>
        <v>0</v>
      </c>
      <c r="RYJ208" s="128">
        <f>DATA!RYM35</f>
        <v>0</v>
      </c>
      <c r="RYK208" s="128">
        <f>DATA!RYN35</f>
        <v>0</v>
      </c>
      <c r="RYL208" s="128">
        <f>DATA!RYO35</f>
        <v>0</v>
      </c>
      <c r="RYM208" s="128">
        <f>DATA!RYP35</f>
        <v>0</v>
      </c>
      <c r="RYN208" s="128">
        <f>DATA!RYQ35</f>
        <v>0</v>
      </c>
      <c r="RYO208" s="128">
        <f>DATA!RYR35</f>
        <v>0</v>
      </c>
      <c r="RYP208" s="128">
        <f>DATA!RYS35</f>
        <v>0</v>
      </c>
      <c r="RYQ208" s="128">
        <f>DATA!RYT35</f>
        <v>0</v>
      </c>
      <c r="RYR208" s="128">
        <f>DATA!RYU35</f>
        <v>0</v>
      </c>
      <c r="RYS208" s="128">
        <f>DATA!RYV35</f>
        <v>0</v>
      </c>
      <c r="RYT208" s="128">
        <f>DATA!RYW35</f>
        <v>0</v>
      </c>
      <c r="RYU208" s="128">
        <f>DATA!RYX35</f>
        <v>0</v>
      </c>
      <c r="RYV208" s="128">
        <f>DATA!RYY35</f>
        <v>0</v>
      </c>
      <c r="RYW208" s="128">
        <f>DATA!RYZ35</f>
        <v>0</v>
      </c>
      <c r="RYX208" s="128">
        <f>DATA!RZA35</f>
        <v>0</v>
      </c>
      <c r="RYY208" s="128">
        <f>DATA!RZB35</f>
        <v>0</v>
      </c>
      <c r="RYZ208" s="128">
        <f>DATA!RZC35</f>
        <v>0</v>
      </c>
      <c r="RZA208" s="128">
        <f>DATA!RZD35</f>
        <v>0</v>
      </c>
      <c r="RZB208" s="128">
        <f>DATA!RZE35</f>
        <v>0</v>
      </c>
      <c r="RZC208" s="128">
        <f>DATA!RZF35</f>
        <v>0</v>
      </c>
      <c r="RZD208" s="128">
        <f>DATA!RZG35</f>
        <v>0</v>
      </c>
      <c r="RZE208" s="128">
        <f>DATA!RZH35</f>
        <v>0</v>
      </c>
      <c r="RZF208" s="128">
        <f>DATA!RZI35</f>
        <v>0</v>
      </c>
      <c r="RZG208" s="128">
        <f>DATA!RZJ35</f>
        <v>0</v>
      </c>
      <c r="RZH208" s="128">
        <f>DATA!RZK35</f>
        <v>0</v>
      </c>
      <c r="RZI208" s="128">
        <f>DATA!RZL35</f>
        <v>0</v>
      </c>
      <c r="RZJ208" s="128">
        <f>DATA!RZM35</f>
        <v>0</v>
      </c>
      <c r="RZK208" s="128">
        <f>DATA!RZN35</f>
        <v>0</v>
      </c>
      <c r="RZL208" s="128">
        <f>DATA!RZO35</f>
        <v>0</v>
      </c>
      <c r="RZM208" s="128">
        <f>DATA!RZP35</f>
        <v>0</v>
      </c>
      <c r="RZN208" s="128">
        <f>DATA!RZQ35</f>
        <v>0</v>
      </c>
      <c r="RZO208" s="128">
        <f>DATA!RZR35</f>
        <v>0</v>
      </c>
      <c r="RZP208" s="128">
        <f>DATA!RZS35</f>
        <v>0</v>
      </c>
      <c r="RZQ208" s="128">
        <f>DATA!RZT35</f>
        <v>0</v>
      </c>
      <c r="RZR208" s="128">
        <f>DATA!RZU35</f>
        <v>0</v>
      </c>
      <c r="RZS208" s="128">
        <f>DATA!RZV35</f>
        <v>0</v>
      </c>
      <c r="RZT208" s="128">
        <f>DATA!RZW35</f>
        <v>0</v>
      </c>
      <c r="RZU208" s="128">
        <f>DATA!RZX35</f>
        <v>0</v>
      </c>
      <c r="RZV208" s="128">
        <f>DATA!RZY35</f>
        <v>0</v>
      </c>
      <c r="RZW208" s="128">
        <f>DATA!RZZ35</f>
        <v>0</v>
      </c>
      <c r="RZX208" s="128">
        <f>DATA!SAA35</f>
        <v>0</v>
      </c>
      <c r="RZY208" s="128">
        <f>DATA!SAB35</f>
        <v>0</v>
      </c>
      <c r="RZZ208" s="128">
        <f>DATA!SAC35</f>
        <v>0</v>
      </c>
      <c r="SAA208" s="128">
        <f>DATA!SAD35</f>
        <v>0</v>
      </c>
      <c r="SAB208" s="128">
        <f>DATA!SAE35</f>
        <v>0</v>
      </c>
      <c r="SAC208" s="128">
        <f>DATA!SAF35</f>
        <v>0</v>
      </c>
      <c r="SAD208" s="128">
        <f>DATA!SAG35</f>
        <v>0</v>
      </c>
      <c r="SAE208" s="128">
        <f>DATA!SAH35</f>
        <v>0</v>
      </c>
      <c r="SAF208" s="128">
        <f>DATA!SAI35</f>
        <v>0</v>
      </c>
      <c r="SAG208" s="128">
        <f>DATA!SAJ35</f>
        <v>0</v>
      </c>
      <c r="SAH208" s="128">
        <f>DATA!SAK35</f>
        <v>0</v>
      </c>
      <c r="SAI208" s="128">
        <f>DATA!SAL35</f>
        <v>0</v>
      </c>
      <c r="SAJ208" s="128">
        <f>DATA!SAM35</f>
        <v>0</v>
      </c>
      <c r="SAK208" s="128">
        <f>DATA!SAN35</f>
        <v>0</v>
      </c>
      <c r="SAL208" s="128">
        <f>DATA!SAO35</f>
        <v>0</v>
      </c>
      <c r="SAM208" s="128">
        <f>DATA!SAP35</f>
        <v>0</v>
      </c>
      <c r="SAN208" s="128">
        <f>DATA!SAQ35</f>
        <v>0</v>
      </c>
      <c r="SAO208" s="128">
        <f>DATA!SAR35</f>
        <v>0</v>
      </c>
      <c r="SAP208" s="128">
        <f>DATA!SAS35</f>
        <v>0</v>
      </c>
      <c r="SAQ208" s="128">
        <f>DATA!SAT35</f>
        <v>0</v>
      </c>
      <c r="SAR208" s="128">
        <f>DATA!SAU35</f>
        <v>0</v>
      </c>
      <c r="SAS208" s="128">
        <f>DATA!SAV35</f>
        <v>0</v>
      </c>
      <c r="SAT208" s="128">
        <f>DATA!SAW35</f>
        <v>0</v>
      </c>
      <c r="SAU208" s="128">
        <f>DATA!SAX35</f>
        <v>0</v>
      </c>
      <c r="SAV208" s="128">
        <f>DATA!SAY35</f>
        <v>0</v>
      </c>
      <c r="SAW208" s="128">
        <f>DATA!SAZ35</f>
        <v>0</v>
      </c>
      <c r="SAX208" s="128">
        <f>DATA!SBA35</f>
        <v>0</v>
      </c>
      <c r="SAY208" s="128">
        <f>DATA!SBB35</f>
        <v>0</v>
      </c>
      <c r="SAZ208" s="128">
        <f>DATA!SBC35</f>
        <v>0</v>
      </c>
      <c r="SBA208" s="128">
        <f>DATA!SBD35</f>
        <v>0</v>
      </c>
      <c r="SBB208" s="128">
        <f>DATA!SBE35</f>
        <v>0</v>
      </c>
      <c r="SBC208" s="128">
        <f>DATA!SBF35</f>
        <v>0</v>
      </c>
      <c r="SBD208" s="128">
        <f>DATA!SBG35</f>
        <v>0</v>
      </c>
      <c r="SBE208" s="128">
        <f>DATA!SBH35</f>
        <v>0</v>
      </c>
      <c r="SBF208" s="128">
        <f>DATA!SBI35</f>
        <v>0</v>
      </c>
      <c r="SBG208" s="128">
        <f>DATA!SBJ35</f>
        <v>0</v>
      </c>
      <c r="SBH208" s="128">
        <f>DATA!SBK35</f>
        <v>0</v>
      </c>
      <c r="SBI208" s="128">
        <f>DATA!SBL35</f>
        <v>0</v>
      </c>
      <c r="SBJ208" s="128">
        <f>DATA!SBM35</f>
        <v>0</v>
      </c>
      <c r="SBK208" s="128">
        <f>DATA!SBN35</f>
        <v>0</v>
      </c>
      <c r="SBL208" s="128">
        <f>DATA!SBO35</f>
        <v>0</v>
      </c>
      <c r="SBM208" s="128">
        <f>DATA!SBP35</f>
        <v>0</v>
      </c>
      <c r="SBN208" s="128">
        <f>DATA!SBQ35</f>
        <v>0</v>
      </c>
      <c r="SBO208" s="128">
        <f>DATA!SBR35</f>
        <v>0</v>
      </c>
      <c r="SBP208" s="128">
        <f>DATA!SBS35</f>
        <v>0</v>
      </c>
      <c r="SBQ208" s="128">
        <f>DATA!SBT35</f>
        <v>0</v>
      </c>
      <c r="SBR208" s="128">
        <f>DATA!SBU35</f>
        <v>0</v>
      </c>
      <c r="SBS208" s="128">
        <f>DATA!SBV35</f>
        <v>0</v>
      </c>
      <c r="SBT208" s="128">
        <f>DATA!SBW35</f>
        <v>0</v>
      </c>
      <c r="SBU208" s="128">
        <f>DATA!SBX35</f>
        <v>0</v>
      </c>
      <c r="SBV208" s="128">
        <f>DATA!SBY35</f>
        <v>0</v>
      </c>
      <c r="SBW208" s="128">
        <f>DATA!SBZ35</f>
        <v>0</v>
      </c>
      <c r="SBX208" s="128">
        <f>DATA!SCA35</f>
        <v>0</v>
      </c>
      <c r="SBY208" s="128">
        <f>DATA!SCB35</f>
        <v>0</v>
      </c>
      <c r="SBZ208" s="128">
        <f>DATA!SCC35</f>
        <v>0</v>
      </c>
      <c r="SCA208" s="128">
        <f>DATA!SCD35</f>
        <v>0</v>
      </c>
      <c r="SCB208" s="128">
        <f>DATA!SCE35</f>
        <v>0</v>
      </c>
      <c r="SCC208" s="128">
        <f>DATA!SCF35</f>
        <v>0</v>
      </c>
      <c r="SCD208" s="128">
        <f>DATA!SCG35</f>
        <v>0</v>
      </c>
      <c r="SCE208" s="128">
        <f>DATA!SCH35</f>
        <v>0</v>
      </c>
      <c r="SCF208" s="128">
        <f>DATA!SCI35</f>
        <v>0</v>
      </c>
      <c r="SCG208" s="128">
        <f>DATA!SCJ35</f>
        <v>0</v>
      </c>
      <c r="SCH208" s="128">
        <f>DATA!SCK35</f>
        <v>0</v>
      </c>
      <c r="SCI208" s="128">
        <f>DATA!SCL35</f>
        <v>0</v>
      </c>
      <c r="SCJ208" s="128">
        <f>DATA!SCM35</f>
        <v>0</v>
      </c>
      <c r="SCK208" s="128">
        <f>DATA!SCN35</f>
        <v>0</v>
      </c>
      <c r="SCL208" s="128">
        <f>DATA!SCO35</f>
        <v>0</v>
      </c>
      <c r="SCM208" s="128">
        <f>DATA!SCP35</f>
        <v>0</v>
      </c>
      <c r="SCN208" s="128">
        <f>DATA!SCQ35</f>
        <v>0</v>
      </c>
      <c r="SCO208" s="128">
        <f>DATA!SCR35</f>
        <v>0</v>
      </c>
      <c r="SCP208" s="128">
        <f>DATA!SCS35</f>
        <v>0</v>
      </c>
      <c r="SCQ208" s="128">
        <f>DATA!SCT35</f>
        <v>0</v>
      </c>
      <c r="SCR208" s="128">
        <f>DATA!SCU35</f>
        <v>0</v>
      </c>
      <c r="SCS208" s="128">
        <f>DATA!SCV35</f>
        <v>0</v>
      </c>
      <c r="SCT208" s="128">
        <f>DATA!SCW35</f>
        <v>0</v>
      </c>
      <c r="SCU208" s="128">
        <f>DATA!SCX35</f>
        <v>0</v>
      </c>
      <c r="SCV208" s="128">
        <f>DATA!SCY35</f>
        <v>0</v>
      </c>
      <c r="SCW208" s="128">
        <f>DATA!SCZ35</f>
        <v>0</v>
      </c>
      <c r="SCX208" s="128">
        <f>DATA!SDA35</f>
        <v>0</v>
      </c>
      <c r="SCY208" s="128">
        <f>DATA!SDB35</f>
        <v>0</v>
      </c>
      <c r="SCZ208" s="128">
        <f>DATA!SDC35</f>
        <v>0</v>
      </c>
      <c r="SDA208" s="128">
        <f>DATA!SDD35</f>
        <v>0</v>
      </c>
      <c r="SDB208" s="128">
        <f>DATA!SDE35</f>
        <v>0</v>
      </c>
      <c r="SDC208" s="128">
        <f>DATA!SDF35</f>
        <v>0</v>
      </c>
      <c r="SDD208" s="128">
        <f>DATA!SDG35</f>
        <v>0</v>
      </c>
      <c r="SDE208" s="128">
        <f>DATA!SDH35</f>
        <v>0</v>
      </c>
      <c r="SDF208" s="128">
        <f>DATA!SDI35</f>
        <v>0</v>
      </c>
      <c r="SDG208" s="128">
        <f>DATA!SDJ35</f>
        <v>0</v>
      </c>
      <c r="SDH208" s="128">
        <f>DATA!SDK35</f>
        <v>0</v>
      </c>
      <c r="SDI208" s="128">
        <f>DATA!SDL35</f>
        <v>0</v>
      </c>
      <c r="SDJ208" s="128">
        <f>DATA!SDM35</f>
        <v>0</v>
      </c>
      <c r="SDK208" s="128">
        <f>DATA!SDN35</f>
        <v>0</v>
      </c>
      <c r="SDL208" s="128">
        <f>DATA!SDO35</f>
        <v>0</v>
      </c>
      <c r="SDM208" s="128">
        <f>DATA!SDP35</f>
        <v>0</v>
      </c>
      <c r="SDN208" s="128">
        <f>DATA!SDQ35</f>
        <v>0</v>
      </c>
      <c r="SDO208" s="128">
        <f>DATA!SDR35</f>
        <v>0</v>
      </c>
      <c r="SDP208" s="128">
        <f>DATA!SDS35</f>
        <v>0</v>
      </c>
      <c r="SDQ208" s="128">
        <f>DATA!SDT35</f>
        <v>0</v>
      </c>
      <c r="SDR208" s="128">
        <f>DATA!SDU35</f>
        <v>0</v>
      </c>
      <c r="SDS208" s="128">
        <f>DATA!SDV35</f>
        <v>0</v>
      </c>
      <c r="SDT208" s="128">
        <f>DATA!SDW35</f>
        <v>0</v>
      </c>
      <c r="SDU208" s="128">
        <f>DATA!SDX35</f>
        <v>0</v>
      </c>
      <c r="SDV208" s="128">
        <f>DATA!SDY35</f>
        <v>0</v>
      </c>
      <c r="SDW208" s="128">
        <f>DATA!SDZ35</f>
        <v>0</v>
      </c>
      <c r="SDX208" s="128">
        <f>DATA!SEA35</f>
        <v>0</v>
      </c>
      <c r="SDY208" s="128">
        <f>DATA!SEB35</f>
        <v>0</v>
      </c>
      <c r="SDZ208" s="128">
        <f>DATA!SEC35</f>
        <v>0</v>
      </c>
      <c r="SEA208" s="128">
        <f>DATA!SED35</f>
        <v>0</v>
      </c>
      <c r="SEB208" s="128">
        <f>DATA!SEE35</f>
        <v>0</v>
      </c>
      <c r="SEC208" s="128">
        <f>DATA!SEF35</f>
        <v>0</v>
      </c>
      <c r="SED208" s="128">
        <f>DATA!SEG35</f>
        <v>0</v>
      </c>
      <c r="SEE208" s="128">
        <f>DATA!SEH35</f>
        <v>0</v>
      </c>
      <c r="SEF208" s="128">
        <f>DATA!SEI35</f>
        <v>0</v>
      </c>
      <c r="SEG208" s="128">
        <f>DATA!SEJ35</f>
        <v>0</v>
      </c>
      <c r="SEH208" s="128">
        <f>DATA!SEK35</f>
        <v>0</v>
      </c>
      <c r="SEI208" s="128">
        <f>DATA!SEL35</f>
        <v>0</v>
      </c>
      <c r="SEJ208" s="128">
        <f>DATA!SEM35</f>
        <v>0</v>
      </c>
      <c r="SEK208" s="128">
        <f>DATA!SEN35</f>
        <v>0</v>
      </c>
      <c r="SEL208" s="128">
        <f>DATA!SEO35</f>
        <v>0</v>
      </c>
      <c r="SEM208" s="128">
        <f>DATA!SEP35</f>
        <v>0</v>
      </c>
      <c r="SEN208" s="128">
        <f>DATA!SEQ35</f>
        <v>0</v>
      </c>
      <c r="SEO208" s="128">
        <f>DATA!SER35</f>
        <v>0</v>
      </c>
      <c r="SEP208" s="128">
        <f>DATA!SES35</f>
        <v>0</v>
      </c>
      <c r="SEQ208" s="128">
        <f>DATA!SET35</f>
        <v>0</v>
      </c>
      <c r="SER208" s="128">
        <f>DATA!SEU35</f>
        <v>0</v>
      </c>
      <c r="SES208" s="128">
        <f>DATA!SEV35</f>
        <v>0</v>
      </c>
      <c r="SET208" s="128">
        <f>DATA!SEW35</f>
        <v>0</v>
      </c>
      <c r="SEU208" s="128">
        <f>DATA!SEX35</f>
        <v>0</v>
      </c>
      <c r="SEV208" s="128">
        <f>DATA!SEY35</f>
        <v>0</v>
      </c>
      <c r="SEW208" s="128">
        <f>DATA!SEZ35</f>
        <v>0</v>
      </c>
      <c r="SEX208" s="128">
        <f>DATA!SFA35</f>
        <v>0</v>
      </c>
      <c r="SEY208" s="128">
        <f>DATA!SFB35</f>
        <v>0</v>
      </c>
      <c r="SEZ208" s="128">
        <f>DATA!SFC35</f>
        <v>0</v>
      </c>
      <c r="SFA208" s="128">
        <f>DATA!SFD35</f>
        <v>0</v>
      </c>
      <c r="SFB208" s="128">
        <f>DATA!SFE35</f>
        <v>0</v>
      </c>
      <c r="SFC208" s="128">
        <f>DATA!SFF35</f>
        <v>0</v>
      </c>
      <c r="SFD208" s="128">
        <f>DATA!SFG35</f>
        <v>0</v>
      </c>
      <c r="SFE208" s="128">
        <f>DATA!SFH35</f>
        <v>0</v>
      </c>
      <c r="SFF208" s="128">
        <f>DATA!SFI35</f>
        <v>0</v>
      </c>
      <c r="SFG208" s="128">
        <f>DATA!SFJ35</f>
        <v>0</v>
      </c>
      <c r="SFH208" s="128">
        <f>DATA!SFK35</f>
        <v>0</v>
      </c>
      <c r="SFI208" s="128">
        <f>DATA!SFL35</f>
        <v>0</v>
      </c>
      <c r="SFJ208" s="128">
        <f>DATA!SFM35</f>
        <v>0</v>
      </c>
      <c r="SFK208" s="128">
        <f>DATA!SFN35</f>
        <v>0</v>
      </c>
      <c r="SFL208" s="128">
        <f>DATA!SFO35</f>
        <v>0</v>
      </c>
      <c r="SFM208" s="128">
        <f>DATA!SFP35</f>
        <v>0</v>
      </c>
      <c r="SFN208" s="128">
        <f>DATA!SFQ35</f>
        <v>0</v>
      </c>
      <c r="SFO208" s="128">
        <f>DATA!SFR35</f>
        <v>0</v>
      </c>
      <c r="SFP208" s="128">
        <f>DATA!SFS35</f>
        <v>0</v>
      </c>
      <c r="SFQ208" s="128">
        <f>DATA!SFT35</f>
        <v>0</v>
      </c>
      <c r="SFR208" s="128">
        <f>DATA!SFU35</f>
        <v>0</v>
      </c>
      <c r="SFS208" s="128">
        <f>DATA!SFV35</f>
        <v>0</v>
      </c>
      <c r="SFT208" s="128">
        <f>DATA!SFW35</f>
        <v>0</v>
      </c>
      <c r="SFU208" s="128">
        <f>DATA!SFX35</f>
        <v>0</v>
      </c>
      <c r="SFV208" s="128">
        <f>DATA!SFY35</f>
        <v>0</v>
      </c>
      <c r="SFW208" s="128">
        <f>DATA!SFZ35</f>
        <v>0</v>
      </c>
      <c r="SFX208" s="128">
        <f>DATA!SGA35</f>
        <v>0</v>
      </c>
      <c r="SFY208" s="128">
        <f>DATA!SGB35</f>
        <v>0</v>
      </c>
      <c r="SFZ208" s="128">
        <f>DATA!SGC35</f>
        <v>0</v>
      </c>
      <c r="SGA208" s="128">
        <f>DATA!SGD35</f>
        <v>0</v>
      </c>
      <c r="SGB208" s="128">
        <f>DATA!SGE35</f>
        <v>0</v>
      </c>
      <c r="SGC208" s="128">
        <f>DATA!SGF35</f>
        <v>0</v>
      </c>
      <c r="SGD208" s="128">
        <f>DATA!SGG35</f>
        <v>0</v>
      </c>
      <c r="SGE208" s="128">
        <f>DATA!SGH35</f>
        <v>0</v>
      </c>
      <c r="SGF208" s="128">
        <f>DATA!SGI35</f>
        <v>0</v>
      </c>
      <c r="SGG208" s="128">
        <f>DATA!SGJ35</f>
        <v>0</v>
      </c>
      <c r="SGH208" s="128">
        <f>DATA!SGK35</f>
        <v>0</v>
      </c>
      <c r="SGI208" s="128">
        <f>DATA!SGL35</f>
        <v>0</v>
      </c>
      <c r="SGJ208" s="128">
        <f>DATA!SGM35</f>
        <v>0</v>
      </c>
      <c r="SGK208" s="128">
        <f>DATA!SGN35</f>
        <v>0</v>
      </c>
      <c r="SGL208" s="128">
        <f>DATA!SGO35</f>
        <v>0</v>
      </c>
      <c r="SGM208" s="128">
        <f>DATA!SGP35</f>
        <v>0</v>
      </c>
      <c r="SGN208" s="128">
        <f>DATA!SGQ35</f>
        <v>0</v>
      </c>
      <c r="SGO208" s="128">
        <f>DATA!SGR35</f>
        <v>0</v>
      </c>
      <c r="SGP208" s="128">
        <f>DATA!SGS35</f>
        <v>0</v>
      </c>
      <c r="SGQ208" s="128">
        <f>DATA!SGT35</f>
        <v>0</v>
      </c>
      <c r="SGR208" s="128">
        <f>DATA!SGU35</f>
        <v>0</v>
      </c>
      <c r="SGS208" s="128">
        <f>DATA!SGV35</f>
        <v>0</v>
      </c>
      <c r="SGT208" s="128">
        <f>DATA!SGW35</f>
        <v>0</v>
      </c>
      <c r="SGU208" s="128">
        <f>DATA!SGX35</f>
        <v>0</v>
      </c>
      <c r="SGV208" s="128">
        <f>DATA!SGY35</f>
        <v>0</v>
      </c>
      <c r="SGW208" s="128">
        <f>DATA!SGZ35</f>
        <v>0</v>
      </c>
      <c r="SGX208" s="128">
        <f>DATA!SHA35</f>
        <v>0</v>
      </c>
      <c r="SGY208" s="128">
        <f>DATA!SHB35</f>
        <v>0</v>
      </c>
      <c r="SGZ208" s="128">
        <f>DATA!SHC35</f>
        <v>0</v>
      </c>
      <c r="SHA208" s="128">
        <f>DATA!SHD35</f>
        <v>0</v>
      </c>
      <c r="SHB208" s="128">
        <f>DATA!SHE35</f>
        <v>0</v>
      </c>
      <c r="SHC208" s="128">
        <f>DATA!SHF35</f>
        <v>0</v>
      </c>
      <c r="SHD208" s="128">
        <f>DATA!SHG35</f>
        <v>0</v>
      </c>
      <c r="SHE208" s="128">
        <f>DATA!SHH35</f>
        <v>0</v>
      </c>
      <c r="SHF208" s="128">
        <f>DATA!SHI35</f>
        <v>0</v>
      </c>
      <c r="SHG208" s="128">
        <f>DATA!SHJ35</f>
        <v>0</v>
      </c>
      <c r="SHH208" s="128">
        <f>DATA!SHK35</f>
        <v>0</v>
      </c>
      <c r="SHI208" s="128">
        <f>DATA!SHL35</f>
        <v>0</v>
      </c>
      <c r="SHJ208" s="128">
        <f>DATA!SHM35</f>
        <v>0</v>
      </c>
      <c r="SHK208" s="128">
        <f>DATA!SHN35</f>
        <v>0</v>
      </c>
      <c r="SHL208" s="128">
        <f>DATA!SHO35</f>
        <v>0</v>
      </c>
      <c r="SHM208" s="128">
        <f>DATA!SHP35</f>
        <v>0</v>
      </c>
      <c r="SHN208" s="128">
        <f>DATA!SHQ35</f>
        <v>0</v>
      </c>
      <c r="SHO208" s="128">
        <f>DATA!SHR35</f>
        <v>0</v>
      </c>
      <c r="SHP208" s="128">
        <f>DATA!SHS35</f>
        <v>0</v>
      </c>
      <c r="SHQ208" s="128">
        <f>DATA!SHT35</f>
        <v>0</v>
      </c>
      <c r="SHR208" s="128">
        <f>DATA!SHU35</f>
        <v>0</v>
      </c>
      <c r="SHS208" s="128">
        <f>DATA!SHV35</f>
        <v>0</v>
      </c>
      <c r="SHT208" s="128">
        <f>DATA!SHW35</f>
        <v>0</v>
      </c>
      <c r="SHU208" s="128">
        <f>DATA!SHX35</f>
        <v>0</v>
      </c>
      <c r="SHV208" s="128">
        <f>DATA!SHY35</f>
        <v>0</v>
      </c>
      <c r="SHW208" s="128">
        <f>DATA!SHZ35</f>
        <v>0</v>
      </c>
      <c r="SHX208" s="128">
        <f>DATA!SIA35</f>
        <v>0</v>
      </c>
      <c r="SHY208" s="128">
        <f>DATA!SIB35</f>
        <v>0</v>
      </c>
      <c r="SHZ208" s="128">
        <f>DATA!SIC35</f>
        <v>0</v>
      </c>
      <c r="SIA208" s="128">
        <f>DATA!SID35</f>
        <v>0</v>
      </c>
      <c r="SIB208" s="128">
        <f>DATA!SIE35</f>
        <v>0</v>
      </c>
      <c r="SIC208" s="128">
        <f>DATA!SIF35</f>
        <v>0</v>
      </c>
      <c r="SID208" s="128">
        <f>DATA!SIG35</f>
        <v>0</v>
      </c>
      <c r="SIE208" s="128">
        <f>DATA!SIH35</f>
        <v>0</v>
      </c>
      <c r="SIF208" s="128">
        <f>DATA!SII35</f>
        <v>0</v>
      </c>
      <c r="SIG208" s="128">
        <f>DATA!SIJ35</f>
        <v>0</v>
      </c>
      <c r="SIH208" s="128">
        <f>DATA!SIK35</f>
        <v>0</v>
      </c>
      <c r="SII208" s="128">
        <f>DATA!SIL35</f>
        <v>0</v>
      </c>
      <c r="SIJ208" s="128">
        <f>DATA!SIM35</f>
        <v>0</v>
      </c>
      <c r="SIK208" s="128">
        <f>DATA!SIN35</f>
        <v>0</v>
      </c>
      <c r="SIL208" s="128">
        <f>DATA!SIO35</f>
        <v>0</v>
      </c>
      <c r="SIM208" s="128">
        <f>DATA!SIP35</f>
        <v>0</v>
      </c>
      <c r="SIN208" s="128">
        <f>DATA!SIQ35</f>
        <v>0</v>
      </c>
      <c r="SIO208" s="128">
        <f>DATA!SIR35</f>
        <v>0</v>
      </c>
      <c r="SIP208" s="128">
        <f>DATA!SIS35</f>
        <v>0</v>
      </c>
      <c r="SIQ208" s="128">
        <f>DATA!SIT35</f>
        <v>0</v>
      </c>
      <c r="SIR208" s="128">
        <f>DATA!SIU35</f>
        <v>0</v>
      </c>
      <c r="SIS208" s="128">
        <f>DATA!SIV35</f>
        <v>0</v>
      </c>
      <c r="SIT208" s="128">
        <f>DATA!SIW35</f>
        <v>0</v>
      </c>
      <c r="SIU208" s="128">
        <f>DATA!SIX35</f>
        <v>0</v>
      </c>
      <c r="SIV208" s="128">
        <f>DATA!SIY35</f>
        <v>0</v>
      </c>
      <c r="SIW208" s="128">
        <f>DATA!SIZ35</f>
        <v>0</v>
      </c>
      <c r="SIX208" s="128">
        <f>DATA!SJA35</f>
        <v>0</v>
      </c>
      <c r="SIY208" s="128">
        <f>DATA!SJB35</f>
        <v>0</v>
      </c>
      <c r="SIZ208" s="128">
        <f>DATA!SJC35</f>
        <v>0</v>
      </c>
      <c r="SJA208" s="128">
        <f>DATA!SJD35</f>
        <v>0</v>
      </c>
      <c r="SJB208" s="128">
        <f>DATA!SJE35</f>
        <v>0</v>
      </c>
      <c r="SJC208" s="128">
        <f>DATA!SJF35</f>
        <v>0</v>
      </c>
      <c r="SJD208" s="128">
        <f>DATA!SJG35</f>
        <v>0</v>
      </c>
      <c r="SJE208" s="128">
        <f>DATA!SJH35</f>
        <v>0</v>
      </c>
      <c r="SJF208" s="128">
        <f>DATA!SJI35</f>
        <v>0</v>
      </c>
      <c r="SJG208" s="128">
        <f>DATA!SJJ35</f>
        <v>0</v>
      </c>
      <c r="SJH208" s="128">
        <f>DATA!SJK35</f>
        <v>0</v>
      </c>
      <c r="SJI208" s="128">
        <f>DATA!SJL35</f>
        <v>0</v>
      </c>
      <c r="SJJ208" s="128">
        <f>DATA!SJM35</f>
        <v>0</v>
      </c>
      <c r="SJK208" s="128">
        <f>DATA!SJN35</f>
        <v>0</v>
      </c>
      <c r="SJL208" s="128">
        <f>DATA!SJO35</f>
        <v>0</v>
      </c>
      <c r="SJM208" s="128">
        <f>DATA!SJP35</f>
        <v>0</v>
      </c>
      <c r="SJN208" s="128">
        <f>DATA!SJQ35</f>
        <v>0</v>
      </c>
      <c r="SJO208" s="128">
        <f>DATA!SJR35</f>
        <v>0</v>
      </c>
      <c r="SJP208" s="128">
        <f>DATA!SJS35</f>
        <v>0</v>
      </c>
      <c r="SJQ208" s="128">
        <f>DATA!SJT35</f>
        <v>0</v>
      </c>
      <c r="SJR208" s="128">
        <f>DATA!SJU35</f>
        <v>0</v>
      </c>
      <c r="SJS208" s="128">
        <f>DATA!SJV35</f>
        <v>0</v>
      </c>
      <c r="SJT208" s="128">
        <f>DATA!SJW35</f>
        <v>0</v>
      </c>
      <c r="SJU208" s="128">
        <f>DATA!SJX35</f>
        <v>0</v>
      </c>
      <c r="SJV208" s="128">
        <f>DATA!SJY35</f>
        <v>0</v>
      </c>
      <c r="SJW208" s="128">
        <f>DATA!SJZ35</f>
        <v>0</v>
      </c>
      <c r="SJX208" s="128">
        <f>DATA!SKA35</f>
        <v>0</v>
      </c>
      <c r="SJY208" s="128">
        <f>DATA!SKB35</f>
        <v>0</v>
      </c>
      <c r="SJZ208" s="128">
        <f>DATA!SKC35</f>
        <v>0</v>
      </c>
      <c r="SKA208" s="128">
        <f>DATA!SKD35</f>
        <v>0</v>
      </c>
      <c r="SKB208" s="128">
        <f>DATA!SKE35</f>
        <v>0</v>
      </c>
      <c r="SKC208" s="128">
        <f>DATA!SKF35</f>
        <v>0</v>
      </c>
      <c r="SKD208" s="128">
        <f>DATA!SKG35</f>
        <v>0</v>
      </c>
      <c r="SKE208" s="128">
        <f>DATA!SKH35</f>
        <v>0</v>
      </c>
      <c r="SKF208" s="128">
        <f>DATA!SKI35</f>
        <v>0</v>
      </c>
      <c r="SKG208" s="128">
        <f>DATA!SKJ35</f>
        <v>0</v>
      </c>
      <c r="SKH208" s="128">
        <f>DATA!SKK35</f>
        <v>0</v>
      </c>
      <c r="SKI208" s="128">
        <f>DATA!SKL35</f>
        <v>0</v>
      </c>
      <c r="SKJ208" s="128">
        <f>DATA!SKM35</f>
        <v>0</v>
      </c>
      <c r="SKK208" s="128">
        <f>DATA!SKN35</f>
        <v>0</v>
      </c>
      <c r="SKL208" s="128">
        <f>DATA!SKO35</f>
        <v>0</v>
      </c>
      <c r="SKM208" s="128">
        <f>DATA!SKP35</f>
        <v>0</v>
      </c>
      <c r="SKN208" s="128">
        <f>DATA!SKQ35</f>
        <v>0</v>
      </c>
      <c r="SKO208" s="128">
        <f>DATA!SKR35</f>
        <v>0</v>
      </c>
      <c r="SKP208" s="128">
        <f>DATA!SKS35</f>
        <v>0</v>
      </c>
      <c r="SKQ208" s="128">
        <f>DATA!SKT35</f>
        <v>0</v>
      </c>
      <c r="SKR208" s="128">
        <f>DATA!SKU35</f>
        <v>0</v>
      </c>
      <c r="SKS208" s="128">
        <f>DATA!SKV35</f>
        <v>0</v>
      </c>
      <c r="SKT208" s="128">
        <f>DATA!SKW35</f>
        <v>0</v>
      </c>
      <c r="SKU208" s="128">
        <f>DATA!SKX35</f>
        <v>0</v>
      </c>
      <c r="SKV208" s="128">
        <f>DATA!SKY35</f>
        <v>0</v>
      </c>
      <c r="SKW208" s="128">
        <f>DATA!SKZ35</f>
        <v>0</v>
      </c>
      <c r="SKX208" s="128">
        <f>DATA!SLA35</f>
        <v>0</v>
      </c>
      <c r="SKY208" s="128">
        <f>DATA!SLB35</f>
        <v>0</v>
      </c>
      <c r="SKZ208" s="128">
        <f>DATA!SLC35</f>
        <v>0</v>
      </c>
      <c r="SLA208" s="128">
        <f>DATA!SLD35</f>
        <v>0</v>
      </c>
      <c r="SLB208" s="128">
        <f>DATA!SLE35</f>
        <v>0</v>
      </c>
      <c r="SLC208" s="128">
        <f>DATA!SLF35</f>
        <v>0</v>
      </c>
      <c r="SLD208" s="128">
        <f>DATA!SLG35</f>
        <v>0</v>
      </c>
      <c r="SLE208" s="128">
        <f>DATA!SLH35</f>
        <v>0</v>
      </c>
      <c r="SLF208" s="128">
        <f>DATA!SLI35</f>
        <v>0</v>
      </c>
      <c r="SLG208" s="128">
        <f>DATA!SLJ35</f>
        <v>0</v>
      </c>
      <c r="SLH208" s="128">
        <f>DATA!SLK35</f>
        <v>0</v>
      </c>
      <c r="SLI208" s="128">
        <f>DATA!SLL35</f>
        <v>0</v>
      </c>
      <c r="SLJ208" s="128">
        <f>DATA!SLM35</f>
        <v>0</v>
      </c>
      <c r="SLK208" s="128">
        <f>DATA!SLN35</f>
        <v>0</v>
      </c>
      <c r="SLL208" s="128">
        <f>DATA!SLO35</f>
        <v>0</v>
      </c>
      <c r="SLM208" s="128">
        <f>DATA!SLP35</f>
        <v>0</v>
      </c>
      <c r="SLN208" s="128">
        <f>DATA!SLQ35</f>
        <v>0</v>
      </c>
      <c r="SLO208" s="128">
        <f>DATA!SLR35</f>
        <v>0</v>
      </c>
      <c r="SLP208" s="128">
        <f>DATA!SLS35</f>
        <v>0</v>
      </c>
      <c r="SLQ208" s="128">
        <f>DATA!SLT35</f>
        <v>0</v>
      </c>
      <c r="SLR208" s="128">
        <f>DATA!SLU35</f>
        <v>0</v>
      </c>
      <c r="SLS208" s="128">
        <f>DATA!SLV35</f>
        <v>0</v>
      </c>
      <c r="SLT208" s="128">
        <f>DATA!SLW35</f>
        <v>0</v>
      </c>
      <c r="SLU208" s="128">
        <f>DATA!SLX35</f>
        <v>0</v>
      </c>
      <c r="SLV208" s="128">
        <f>DATA!SLY35</f>
        <v>0</v>
      </c>
      <c r="SLW208" s="128">
        <f>DATA!SLZ35</f>
        <v>0</v>
      </c>
      <c r="SLX208" s="128">
        <f>DATA!SMA35</f>
        <v>0</v>
      </c>
      <c r="SLY208" s="128">
        <f>DATA!SMB35</f>
        <v>0</v>
      </c>
      <c r="SLZ208" s="128">
        <f>DATA!SMC35</f>
        <v>0</v>
      </c>
      <c r="SMA208" s="128">
        <f>DATA!SMD35</f>
        <v>0</v>
      </c>
      <c r="SMB208" s="128">
        <f>DATA!SME35</f>
        <v>0</v>
      </c>
      <c r="SMC208" s="128">
        <f>DATA!SMF35</f>
        <v>0</v>
      </c>
      <c r="SMD208" s="128">
        <f>DATA!SMG35</f>
        <v>0</v>
      </c>
      <c r="SME208" s="128">
        <f>DATA!SMH35</f>
        <v>0</v>
      </c>
      <c r="SMF208" s="128">
        <f>DATA!SMI35</f>
        <v>0</v>
      </c>
      <c r="SMG208" s="128">
        <f>DATA!SMJ35</f>
        <v>0</v>
      </c>
      <c r="SMH208" s="128">
        <f>DATA!SMK35</f>
        <v>0</v>
      </c>
      <c r="SMI208" s="128">
        <f>DATA!SML35</f>
        <v>0</v>
      </c>
      <c r="SMJ208" s="128">
        <f>DATA!SMM35</f>
        <v>0</v>
      </c>
      <c r="SMK208" s="128">
        <f>DATA!SMN35</f>
        <v>0</v>
      </c>
      <c r="SML208" s="128">
        <f>DATA!SMO35</f>
        <v>0</v>
      </c>
      <c r="SMM208" s="128">
        <f>DATA!SMP35</f>
        <v>0</v>
      </c>
      <c r="SMN208" s="128">
        <f>DATA!SMQ35</f>
        <v>0</v>
      </c>
      <c r="SMO208" s="128">
        <f>DATA!SMR35</f>
        <v>0</v>
      </c>
      <c r="SMP208" s="128">
        <f>DATA!SMS35</f>
        <v>0</v>
      </c>
      <c r="SMQ208" s="128">
        <f>DATA!SMT35</f>
        <v>0</v>
      </c>
      <c r="SMR208" s="128">
        <f>DATA!SMU35</f>
        <v>0</v>
      </c>
      <c r="SMS208" s="128">
        <f>DATA!SMV35</f>
        <v>0</v>
      </c>
      <c r="SMT208" s="128">
        <f>DATA!SMW35</f>
        <v>0</v>
      </c>
      <c r="SMU208" s="128">
        <f>DATA!SMX35</f>
        <v>0</v>
      </c>
      <c r="SMV208" s="128">
        <f>DATA!SMY35</f>
        <v>0</v>
      </c>
      <c r="SMW208" s="128">
        <f>DATA!SMZ35</f>
        <v>0</v>
      </c>
      <c r="SMX208" s="128">
        <f>DATA!SNA35</f>
        <v>0</v>
      </c>
      <c r="SMY208" s="128">
        <f>DATA!SNB35</f>
        <v>0</v>
      </c>
      <c r="SMZ208" s="128">
        <f>DATA!SNC35</f>
        <v>0</v>
      </c>
      <c r="SNA208" s="128">
        <f>DATA!SND35</f>
        <v>0</v>
      </c>
      <c r="SNB208" s="128">
        <f>DATA!SNE35</f>
        <v>0</v>
      </c>
      <c r="SNC208" s="128">
        <f>DATA!SNF35</f>
        <v>0</v>
      </c>
      <c r="SND208" s="128">
        <f>DATA!SNG35</f>
        <v>0</v>
      </c>
      <c r="SNE208" s="128">
        <f>DATA!SNH35</f>
        <v>0</v>
      </c>
      <c r="SNF208" s="128">
        <f>DATA!SNI35</f>
        <v>0</v>
      </c>
      <c r="SNG208" s="128">
        <f>DATA!SNJ35</f>
        <v>0</v>
      </c>
      <c r="SNH208" s="128">
        <f>DATA!SNK35</f>
        <v>0</v>
      </c>
      <c r="SNI208" s="128">
        <f>DATA!SNL35</f>
        <v>0</v>
      </c>
      <c r="SNJ208" s="128">
        <f>DATA!SNM35</f>
        <v>0</v>
      </c>
      <c r="SNK208" s="128">
        <f>DATA!SNN35</f>
        <v>0</v>
      </c>
      <c r="SNL208" s="128">
        <f>DATA!SNO35</f>
        <v>0</v>
      </c>
      <c r="SNM208" s="128">
        <f>DATA!SNP35</f>
        <v>0</v>
      </c>
      <c r="SNN208" s="128">
        <f>DATA!SNQ35</f>
        <v>0</v>
      </c>
      <c r="SNO208" s="128">
        <f>DATA!SNR35</f>
        <v>0</v>
      </c>
      <c r="SNP208" s="128">
        <f>DATA!SNS35</f>
        <v>0</v>
      </c>
      <c r="SNQ208" s="128">
        <f>DATA!SNT35</f>
        <v>0</v>
      </c>
      <c r="SNR208" s="128">
        <f>DATA!SNU35</f>
        <v>0</v>
      </c>
      <c r="SNS208" s="128">
        <f>DATA!SNV35</f>
        <v>0</v>
      </c>
      <c r="SNT208" s="128">
        <f>DATA!SNW35</f>
        <v>0</v>
      </c>
      <c r="SNU208" s="128">
        <f>DATA!SNX35</f>
        <v>0</v>
      </c>
      <c r="SNV208" s="128">
        <f>DATA!SNY35</f>
        <v>0</v>
      </c>
      <c r="SNW208" s="128">
        <f>DATA!SNZ35</f>
        <v>0</v>
      </c>
      <c r="SNX208" s="128">
        <f>DATA!SOA35</f>
        <v>0</v>
      </c>
      <c r="SNY208" s="128">
        <f>DATA!SOB35</f>
        <v>0</v>
      </c>
      <c r="SNZ208" s="128">
        <f>DATA!SOC35</f>
        <v>0</v>
      </c>
      <c r="SOA208" s="128">
        <f>DATA!SOD35</f>
        <v>0</v>
      </c>
      <c r="SOB208" s="128">
        <f>DATA!SOE35</f>
        <v>0</v>
      </c>
      <c r="SOC208" s="128">
        <f>DATA!SOF35</f>
        <v>0</v>
      </c>
      <c r="SOD208" s="128">
        <f>DATA!SOG35</f>
        <v>0</v>
      </c>
      <c r="SOE208" s="128">
        <f>DATA!SOH35</f>
        <v>0</v>
      </c>
      <c r="SOF208" s="128">
        <f>DATA!SOI35</f>
        <v>0</v>
      </c>
      <c r="SOG208" s="128">
        <f>DATA!SOJ35</f>
        <v>0</v>
      </c>
      <c r="SOH208" s="128">
        <f>DATA!SOK35</f>
        <v>0</v>
      </c>
      <c r="SOI208" s="128">
        <f>DATA!SOL35</f>
        <v>0</v>
      </c>
      <c r="SOJ208" s="128">
        <f>DATA!SOM35</f>
        <v>0</v>
      </c>
      <c r="SOK208" s="128">
        <f>DATA!SON35</f>
        <v>0</v>
      </c>
      <c r="SOL208" s="128">
        <f>DATA!SOO35</f>
        <v>0</v>
      </c>
      <c r="SOM208" s="128">
        <f>DATA!SOP35</f>
        <v>0</v>
      </c>
      <c r="SON208" s="128">
        <f>DATA!SOQ35</f>
        <v>0</v>
      </c>
      <c r="SOO208" s="128">
        <f>DATA!SOR35</f>
        <v>0</v>
      </c>
      <c r="SOP208" s="128">
        <f>DATA!SOS35</f>
        <v>0</v>
      </c>
      <c r="SOQ208" s="128">
        <f>DATA!SOT35</f>
        <v>0</v>
      </c>
      <c r="SOR208" s="128">
        <f>DATA!SOU35</f>
        <v>0</v>
      </c>
      <c r="SOS208" s="128">
        <f>DATA!SOV35</f>
        <v>0</v>
      </c>
      <c r="SOT208" s="128">
        <f>DATA!SOW35</f>
        <v>0</v>
      </c>
      <c r="SOU208" s="128">
        <f>DATA!SOX35</f>
        <v>0</v>
      </c>
      <c r="SOV208" s="128">
        <f>DATA!SOY35</f>
        <v>0</v>
      </c>
      <c r="SOW208" s="128">
        <f>DATA!SOZ35</f>
        <v>0</v>
      </c>
      <c r="SOX208" s="128">
        <f>DATA!SPA35</f>
        <v>0</v>
      </c>
      <c r="SOY208" s="128">
        <f>DATA!SPB35</f>
        <v>0</v>
      </c>
      <c r="SOZ208" s="128">
        <f>DATA!SPC35</f>
        <v>0</v>
      </c>
      <c r="SPA208" s="128">
        <f>DATA!SPD35</f>
        <v>0</v>
      </c>
      <c r="SPB208" s="128">
        <f>DATA!SPE35</f>
        <v>0</v>
      </c>
      <c r="SPC208" s="128">
        <f>DATA!SPF35</f>
        <v>0</v>
      </c>
      <c r="SPD208" s="128">
        <f>DATA!SPG35</f>
        <v>0</v>
      </c>
      <c r="SPE208" s="128">
        <f>DATA!SPH35</f>
        <v>0</v>
      </c>
      <c r="SPF208" s="128">
        <f>DATA!SPI35</f>
        <v>0</v>
      </c>
      <c r="SPG208" s="128">
        <f>DATA!SPJ35</f>
        <v>0</v>
      </c>
      <c r="SPH208" s="128">
        <f>DATA!SPK35</f>
        <v>0</v>
      </c>
      <c r="SPI208" s="128">
        <f>DATA!SPL35</f>
        <v>0</v>
      </c>
      <c r="SPJ208" s="128">
        <f>DATA!SPM35</f>
        <v>0</v>
      </c>
      <c r="SPK208" s="128">
        <f>DATA!SPN35</f>
        <v>0</v>
      </c>
      <c r="SPL208" s="128">
        <f>DATA!SPO35</f>
        <v>0</v>
      </c>
      <c r="SPM208" s="128">
        <f>DATA!SPP35</f>
        <v>0</v>
      </c>
      <c r="SPN208" s="128">
        <f>DATA!SPQ35</f>
        <v>0</v>
      </c>
      <c r="SPO208" s="128">
        <f>DATA!SPR35</f>
        <v>0</v>
      </c>
      <c r="SPP208" s="128">
        <f>DATA!SPS35</f>
        <v>0</v>
      </c>
      <c r="SPQ208" s="128">
        <f>DATA!SPT35</f>
        <v>0</v>
      </c>
      <c r="SPR208" s="128">
        <f>DATA!SPU35</f>
        <v>0</v>
      </c>
      <c r="SPS208" s="128">
        <f>DATA!SPV35</f>
        <v>0</v>
      </c>
      <c r="SPT208" s="128">
        <f>DATA!SPW35</f>
        <v>0</v>
      </c>
      <c r="SPU208" s="128">
        <f>DATA!SPX35</f>
        <v>0</v>
      </c>
      <c r="SPV208" s="128">
        <f>DATA!SPY35</f>
        <v>0</v>
      </c>
      <c r="SPW208" s="128">
        <f>DATA!SPZ35</f>
        <v>0</v>
      </c>
      <c r="SPX208" s="128">
        <f>DATA!SQA35</f>
        <v>0</v>
      </c>
      <c r="SPY208" s="128">
        <f>DATA!SQB35</f>
        <v>0</v>
      </c>
      <c r="SPZ208" s="128">
        <f>DATA!SQC35</f>
        <v>0</v>
      </c>
      <c r="SQA208" s="128">
        <f>DATA!SQD35</f>
        <v>0</v>
      </c>
      <c r="SQB208" s="128">
        <f>DATA!SQE35</f>
        <v>0</v>
      </c>
      <c r="SQC208" s="128">
        <f>DATA!SQF35</f>
        <v>0</v>
      </c>
      <c r="SQD208" s="128">
        <f>DATA!SQG35</f>
        <v>0</v>
      </c>
      <c r="SQE208" s="128">
        <f>DATA!SQH35</f>
        <v>0</v>
      </c>
      <c r="SQF208" s="128">
        <f>DATA!SQI35</f>
        <v>0</v>
      </c>
      <c r="SQG208" s="128">
        <f>DATA!SQJ35</f>
        <v>0</v>
      </c>
      <c r="SQH208" s="128">
        <f>DATA!SQK35</f>
        <v>0</v>
      </c>
      <c r="SQI208" s="128">
        <f>DATA!SQL35</f>
        <v>0</v>
      </c>
      <c r="SQJ208" s="128">
        <f>DATA!SQM35</f>
        <v>0</v>
      </c>
      <c r="SQK208" s="128">
        <f>DATA!SQN35</f>
        <v>0</v>
      </c>
      <c r="SQL208" s="128">
        <f>DATA!SQO35</f>
        <v>0</v>
      </c>
      <c r="SQM208" s="128">
        <f>DATA!SQP35</f>
        <v>0</v>
      </c>
      <c r="SQN208" s="128">
        <f>DATA!SQQ35</f>
        <v>0</v>
      </c>
      <c r="SQO208" s="128">
        <f>DATA!SQR35</f>
        <v>0</v>
      </c>
      <c r="SQP208" s="128">
        <f>DATA!SQS35</f>
        <v>0</v>
      </c>
      <c r="SQQ208" s="128">
        <f>DATA!SQT35</f>
        <v>0</v>
      </c>
      <c r="SQR208" s="128">
        <f>DATA!SQU35</f>
        <v>0</v>
      </c>
      <c r="SQS208" s="128">
        <f>DATA!SQV35</f>
        <v>0</v>
      </c>
      <c r="SQT208" s="128">
        <f>DATA!SQW35</f>
        <v>0</v>
      </c>
      <c r="SQU208" s="128">
        <f>DATA!SQX35</f>
        <v>0</v>
      </c>
      <c r="SQV208" s="128">
        <f>DATA!SQY35</f>
        <v>0</v>
      </c>
      <c r="SQW208" s="128">
        <f>DATA!SQZ35</f>
        <v>0</v>
      </c>
      <c r="SQX208" s="128">
        <f>DATA!SRA35</f>
        <v>0</v>
      </c>
      <c r="SQY208" s="128">
        <f>DATA!SRB35</f>
        <v>0</v>
      </c>
      <c r="SQZ208" s="128">
        <f>DATA!SRC35</f>
        <v>0</v>
      </c>
      <c r="SRA208" s="128">
        <f>DATA!SRD35</f>
        <v>0</v>
      </c>
      <c r="SRB208" s="128">
        <f>DATA!SRE35</f>
        <v>0</v>
      </c>
      <c r="SRC208" s="128">
        <f>DATA!SRF35</f>
        <v>0</v>
      </c>
      <c r="SRD208" s="128">
        <f>DATA!SRG35</f>
        <v>0</v>
      </c>
      <c r="SRE208" s="128">
        <f>DATA!SRH35</f>
        <v>0</v>
      </c>
      <c r="SRF208" s="128">
        <f>DATA!SRI35</f>
        <v>0</v>
      </c>
      <c r="SRG208" s="128">
        <f>DATA!SRJ35</f>
        <v>0</v>
      </c>
      <c r="SRH208" s="128">
        <f>DATA!SRK35</f>
        <v>0</v>
      </c>
      <c r="SRI208" s="128">
        <f>DATA!SRL35</f>
        <v>0</v>
      </c>
      <c r="SRJ208" s="128">
        <f>DATA!SRM35</f>
        <v>0</v>
      </c>
      <c r="SRK208" s="128">
        <f>DATA!SRN35</f>
        <v>0</v>
      </c>
      <c r="SRL208" s="128">
        <f>DATA!SRO35</f>
        <v>0</v>
      </c>
      <c r="SRM208" s="128">
        <f>DATA!SRP35</f>
        <v>0</v>
      </c>
      <c r="SRN208" s="128">
        <f>DATA!SRQ35</f>
        <v>0</v>
      </c>
      <c r="SRO208" s="128">
        <f>DATA!SRR35</f>
        <v>0</v>
      </c>
      <c r="SRP208" s="128">
        <f>DATA!SRS35</f>
        <v>0</v>
      </c>
      <c r="SRQ208" s="128">
        <f>DATA!SRT35</f>
        <v>0</v>
      </c>
      <c r="SRR208" s="128">
        <f>DATA!SRU35</f>
        <v>0</v>
      </c>
      <c r="SRS208" s="128">
        <f>DATA!SRV35</f>
        <v>0</v>
      </c>
      <c r="SRT208" s="128">
        <f>DATA!SRW35</f>
        <v>0</v>
      </c>
      <c r="SRU208" s="128">
        <f>DATA!SRX35</f>
        <v>0</v>
      </c>
      <c r="SRV208" s="128">
        <f>DATA!SRY35</f>
        <v>0</v>
      </c>
      <c r="SRW208" s="128">
        <f>DATA!SRZ35</f>
        <v>0</v>
      </c>
      <c r="SRX208" s="128">
        <f>DATA!SSA35</f>
        <v>0</v>
      </c>
      <c r="SRY208" s="128">
        <f>DATA!SSB35</f>
        <v>0</v>
      </c>
      <c r="SRZ208" s="128">
        <f>DATA!SSC35</f>
        <v>0</v>
      </c>
      <c r="SSA208" s="128">
        <f>DATA!SSD35</f>
        <v>0</v>
      </c>
      <c r="SSB208" s="128">
        <f>DATA!SSE35</f>
        <v>0</v>
      </c>
      <c r="SSC208" s="128">
        <f>DATA!SSF35</f>
        <v>0</v>
      </c>
      <c r="SSD208" s="128">
        <f>DATA!SSG35</f>
        <v>0</v>
      </c>
      <c r="SSE208" s="128">
        <f>DATA!SSH35</f>
        <v>0</v>
      </c>
      <c r="SSF208" s="128">
        <f>DATA!SSI35</f>
        <v>0</v>
      </c>
      <c r="SSG208" s="128">
        <f>DATA!SSJ35</f>
        <v>0</v>
      </c>
      <c r="SSH208" s="128">
        <f>DATA!SSK35</f>
        <v>0</v>
      </c>
      <c r="SSI208" s="128">
        <f>DATA!SSL35</f>
        <v>0</v>
      </c>
      <c r="SSJ208" s="128">
        <f>DATA!SSM35</f>
        <v>0</v>
      </c>
      <c r="SSK208" s="128">
        <f>DATA!SSN35</f>
        <v>0</v>
      </c>
      <c r="SSL208" s="128">
        <f>DATA!SSO35</f>
        <v>0</v>
      </c>
      <c r="SSM208" s="128">
        <f>DATA!SSP35</f>
        <v>0</v>
      </c>
      <c r="SSN208" s="128">
        <f>DATA!SSQ35</f>
        <v>0</v>
      </c>
      <c r="SSO208" s="128">
        <f>DATA!SSR35</f>
        <v>0</v>
      </c>
      <c r="SSP208" s="128">
        <f>DATA!SSS35</f>
        <v>0</v>
      </c>
      <c r="SSQ208" s="128">
        <f>DATA!SST35</f>
        <v>0</v>
      </c>
      <c r="SSR208" s="128">
        <f>DATA!SSU35</f>
        <v>0</v>
      </c>
      <c r="SSS208" s="128">
        <f>DATA!SSV35</f>
        <v>0</v>
      </c>
      <c r="SST208" s="128">
        <f>DATA!SSW35</f>
        <v>0</v>
      </c>
      <c r="SSU208" s="128">
        <f>DATA!SSX35</f>
        <v>0</v>
      </c>
      <c r="SSV208" s="128">
        <f>DATA!SSY35</f>
        <v>0</v>
      </c>
      <c r="SSW208" s="128">
        <f>DATA!SSZ35</f>
        <v>0</v>
      </c>
      <c r="SSX208" s="128">
        <f>DATA!STA35</f>
        <v>0</v>
      </c>
      <c r="SSY208" s="128">
        <f>DATA!STB35</f>
        <v>0</v>
      </c>
      <c r="SSZ208" s="128">
        <f>DATA!STC35</f>
        <v>0</v>
      </c>
      <c r="STA208" s="128">
        <f>DATA!STD35</f>
        <v>0</v>
      </c>
      <c r="STB208" s="128">
        <f>DATA!STE35</f>
        <v>0</v>
      </c>
      <c r="STC208" s="128">
        <f>DATA!STF35</f>
        <v>0</v>
      </c>
      <c r="STD208" s="128">
        <f>DATA!STG35</f>
        <v>0</v>
      </c>
      <c r="STE208" s="128">
        <f>DATA!STH35</f>
        <v>0</v>
      </c>
      <c r="STF208" s="128">
        <f>DATA!STI35</f>
        <v>0</v>
      </c>
      <c r="STG208" s="128">
        <f>DATA!STJ35</f>
        <v>0</v>
      </c>
      <c r="STH208" s="128">
        <f>DATA!STK35</f>
        <v>0</v>
      </c>
      <c r="STI208" s="128">
        <f>DATA!STL35</f>
        <v>0</v>
      </c>
      <c r="STJ208" s="128">
        <f>DATA!STM35</f>
        <v>0</v>
      </c>
      <c r="STK208" s="128">
        <f>DATA!STN35</f>
        <v>0</v>
      </c>
      <c r="STL208" s="128">
        <f>DATA!STO35</f>
        <v>0</v>
      </c>
      <c r="STM208" s="128">
        <f>DATA!STP35</f>
        <v>0</v>
      </c>
      <c r="STN208" s="128">
        <f>DATA!STQ35</f>
        <v>0</v>
      </c>
      <c r="STO208" s="128">
        <f>DATA!STR35</f>
        <v>0</v>
      </c>
      <c r="STP208" s="128">
        <f>DATA!STS35</f>
        <v>0</v>
      </c>
      <c r="STQ208" s="128">
        <f>DATA!STT35</f>
        <v>0</v>
      </c>
      <c r="STR208" s="128">
        <f>DATA!STU35</f>
        <v>0</v>
      </c>
      <c r="STS208" s="128">
        <f>DATA!STV35</f>
        <v>0</v>
      </c>
      <c r="STT208" s="128">
        <f>DATA!STW35</f>
        <v>0</v>
      </c>
      <c r="STU208" s="128">
        <f>DATA!STX35</f>
        <v>0</v>
      </c>
      <c r="STV208" s="128">
        <f>DATA!STY35</f>
        <v>0</v>
      </c>
      <c r="STW208" s="128">
        <f>DATA!STZ35</f>
        <v>0</v>
      </c>
      <c r="STX208" s="128">
        <f>DATA!SUA35</f>
        <v>0</v>
      </c>
      <c r="STY208" s="128">
        <f>DATA!SUB35</f>
        <v>0</v>
      </c>
      <c r="STZ208" s="128">
        <f>DATA!SUC35</f>
        <v>0</v>
      </c>
      <c r="SUA208" s="128">
        <f>DATA!SUD35</f>
        <v>0</v>
      </c>
      <c r="SUB208" s="128">
        <f>DATA!SUE35</f>
        <v>0</v>
      </c>
      <c r="SUC208" s="128">
        <f>DATA!SUF35</f>
        <v>0</v>
      </c>
      <c r="SUD208" s="128">
        <f>DATA!SUG35</f>
        <v>0</v>
      </c>
      <c r="SUE208" s="128">
        <f>DATA!SUH35</f>
        <v>0</v>
      </c>
      <c r="SUF208" s="128">
        <f>DATA!SUI35</f>
        <v>0</v>
      </c>
      <c r="SUG208" s="128">
        <f>DATA!SUJ35</f>
        <v>0</v>
      </c>
      <c r="SUH208" s="128">
        <f>DATA!SUK35</f>
        <v>0</v>
      </c>
      <c r="SUI208" s="128">
        <f>DATA!SUL35</f>
        <v>0</v>
      </c>
      <c r="SUJ208" s="128">
        <f>DATA!SUM35</f>
        <v>0</v>
      </c>
      <c r="SUK208" s="128">
        <f>DATA!SUN35</f>
        <v>0</v>
      </c>
      <c r="SUL208" s="128">
        <f>DATA!SUO35</f>
        <v>0</v>
      </c>
      <c r="SUM208" s="128">
        <f>DATA!SUP35</f>
        <v>0</v>
      </c>
      <c r="SUN208" s="128">
        <f>DATA!SUQ35</f>
        <v>0</v>
      </c>
      <c r="SUO208" s="128">
        <f>DATA!SUR35</f>
        <v>0</v>
      </c>
      <c r="SUP208" s="128">
        <f>DATA!SUS35</f>
        <v>0</v>
      </c>
      <c r="SUQ208" s="128">
        <f>DATA!SUT35</f>
        <v>0</v>
      </c>
      <c r="SUR208" s="128">
        <f>DATA!SUU35</f>
        <v>0</v>
      </c>
      <c r="SUS208" s="128">
        <f>DATA!SUV35</f>
        <v>0</v>
      </c>
      <c r="SUT208" s="128">
        <f>DATA!SUW35</f>
        <v>0</v>
      </c>
      <c r="SUU208" s="128">
        <f>DATA!SUX35</f>
        <v>0</v>
      </c>
      <c r="SUV208" s="128">
        <f>DATA!SUY35</f>
        <v>0</v>
      </c>
      <c r="SUW208" s="128">
        <f>DATA!SUZ35</f>
        <v>0</v>
      </c>
      <c r="SUX208" s="128">
        <f>DATA!SVA35</f>
        <v>0</v>
      </c>
      <c r="SUY208" s="128">
        <f>DATA!SVB35</f>
        <v>0</v>
      </c>
      <c r="SUZ208" s="128">
        <f>DATA!SVC35</f>
        <v>0</v>
      </c>
      <c r="SVA208" s="128">
        <f>DATA!SVD35</f>
        <v>0</v>
      </c>
      <c r="SVB208" s="128">
        <f>DATA!SVE35</f>
        <v>0</v>
      </c>
      <c r="SVC208" s="128">
        <f>DATA!SVF35</f>
        <v>0</v>
      </c>
      <c r="SVD208" s="128">
        <f>DATA!SVG35</f>
        <v>0</v>
      </c>
      <c r="SVE208" s="128">
        <f>DATA!SVH35</f>
        <v>0</v>
      </c>
      <c r="SVF208" s="128">
        <f>DATA!SVI35</f>
        <v>0</v>
      </c>
      <c r="SVG208" s="128">
        <f>DATA!SVJ35</f>
        <v>0</v>
      </c>
      <c r="SVH208" s="128">
        <f>DATA!SVK35</f>
        <v>0</v>
      </c>
      <c r="SVI208" s="128">
        <f>DATA!SVL35</f>
        <v>0</v>
      </c>
      <c r="SVJ208" s="128">
        <f>DATA!SVM35</f>
        <v>0</v>
      </c>
      <c r="SVK208" s="128">
        <f>DATA!SVN35</f>
        <v>0</v>
      </c>
      <c r="SVL208" s="128">
        <f>DATA!SVO35</f>
        <v>0</v>
      </c>
      <c r="SVM208" s="128">
        <f>DATA!SVP35</f>
        <v>0</v>
      </c>
      <c r="SVN208" s="128">
        <f>DATA!SVQ35</f>
        <v>0</v>
      </c>
      <c r="SVO208" s="128">
        <f>DATA!SVR35</f>
        <v>0</v>
      </c>
      <c r="SVP208" s="128">
        <f>DATA!SVS35</f>
        <v>0</v>
      </c>
      <c r="SVQ208" s="128">
        <f>DATA!SVT35</f>
        <v>0</v>
      </c>
      <c r="SVR208" s="128">
        <f>DATA!SVU35</f>
        <v>0</v>
      </c>
      <c r="SVS208" s="128">
        <f>DATA!SVV35</f>
        <v>0</v>
      </c>
      <c r="SVT208" s="128">
        <f>DATA!SVW35</f>
        <v>0</v>
      </c>
      <c r="SVU208" s="128">
        <f>DATA!SVX35</f>
        <v>0</v>
      </c>
      <c r="SVV208" s="128">
        <f>DATA!SVY35</f>
        <v>0</v>
      </c>
      <c r="SVW208" s="128">
        <f>DATA!SVZ35</f>
        <v>0</v>
      </c>
      <c r="SVX208" s="128">
        <f>DATA!SWA35</f>
        <v>0</v>
      </c>
      <c r="SVY208" s="128">
        <f>DATA!SWB35</f>
        <v>0</v>
      </c>
      <c r="SVZ208" s="128">
        <f>DATA!SWC35</f>
        <v>0</v>
      </c>
      <c r="SWA208" s="128">
        <f>DATA!SWD35</f>
        <v>0</v>
      </c>
      <c r="SWB208" s="128">
        <f>DATA!SWE35</f>
        <v>0</v>
      </c>
      <c r="SWC208" s="128">
        <f>DATA!SWF35</f>
        <v>0</v>
      </c>
      <c r="SWD208" s="128">
        <f>DATA!SWG35</f>
        <v>0</v>
      </c>
      <c r="SWE208" s="128">
        <f>DATA!SWH35</f>
        <v>0</v>
      </c>
      <c r="SWF208" s="128">
        <f>DATA!SWI35</f>
        <v>0</v>
      </c>
      <c r="SWG208" s="128">
        <f>DATA!SWJ35</f>
        <v>0</v>
      </c>
      <c r="SWH208" s="128">
        <f>DATA!SWK35</f>
        <v>0</v>
      </c>
      <c r="SWI208" s="128">
        <f>DATA!SWL35</f>
        <v>0</v>
      </c>
      <c r="SWJ208" s="128">
        <f>DATA!SWM35</f>
        <v>0</v>
      </c>
      <c r="SWK208" s="128">
        <f>DATA!SWN35</f>
        <v>0</v>
      </c>
      <c r="SWL208" s="128">
        <f>DATA!SWO35</f>
        <v>0</v>
      </c>
      <c r="SWM208" s="128">
        <f>DATA!SWP35</f>
        <v>0</v>
      </c>
      <c r="SWN208" s="128">
        <f>DATA!SWQ35</f>
        <v>0</v>
      </c>
      <c r="SWO208" s="128">
        <f>DATA!SWR35</f>
        <v>0</v>
      </c>
      <c r="SWP208" s="128">
        <f>DATA!SWS35</f>
        <v>0</v>
      </c>
      <c r="SWQ208" s="128">
        <f>DATA!SWT35</f>
        <v>0</v>
      </c>
      <c r="SWR208" s="128">
        <f>DATA!SWU35</f>
        <v>0</v>
      </c>
      <c r="SWS208" s="128">
        <f>DATA!SWV35</f>
        <v>0</v>
      </c>
      <c r="SWT208" s="128">
        <f>DATA!SWW35</f>
        <v>0</v>
      </c>
      <c r="SWU208" s="128">
        <f>DATA!SWX35</f>
        <v>0</v>
      </c>
      <c r="SWV208" s="128">
        <f>DATA!SWY35</f>
        <v>0</v>
      </c>
      <c r="SWW208" s="128">
        <f>DATA!SWZ35</f>
        <v>0</v>
      </c>
      <c r="SWX208" s="128">
        <f>DATA!SXA35</f>
        <v>0</v>
      </c>
      <c r="SWY208" s="128">
        <f>DATA!SXB35</f>
        <v>0</v>
      </c>
      <c r="SWZ208" s="128">
        <f>DATA!SXC35</f>
        <v>0</v>
      </c>
      <c r="SXA208" s="128">
        <f>DATA!SXD35</f>
        <v>0</v>
      </c>
      <c r="SXB208" s="128">
        <f>DATA!SXE35</f>
        <v>0</v>
      </c>
      <c r="SXC208" s="128">
        <f>DATA!SXF35</f>
        <v>0</v>
      </c>
      <c r="SXD208" s="128">
        <f>DATA!SXG35</f>
        <v>0</v>
      </c>
      <c r="SXE208" s="128">
        <f>DATA!SXH35</f>
        <v>0</v>
      </c>
      <c r="SXF208" s="128">
        <f>DATA!SXI35</f>
        <v>0</v>
      </c>
      <c r="SXG208" s="128">
        <f>DATA!SXJ35</f>
        <v>0</v>
      </c>
      <c r="SXH208" s="128">
        <f>DATA!SXK35</f>
        <v>0</v>
      </c>
      <c r="SXI208" s="128">
        <f>DATA!SXL35</f>
        <v>0</v>
      </c>
      <c r="SXJ208" s="128">
        <f>DATA!SXM35</f>
        <v>0</v>
      </c>
      <c r="SXK208" s="128">
        <f>DATA!SXN35</f>
        <v>0</v>
      </c>
      <c r="SXL208" s="128">
        <f>DATA!SXO35</f>
        <v>0</v>
      </c>
      <c r="SXM208" s="128">
        <f>DATA!SXP35</f>
        <v>0</v>
      </c>
      <c r="SXN208" s="128">
        <f>DATA!SXQ35</f>
        <v>0</v>
      </c>
      <c r="SXO208" s="128">
        <f>DATA!SXR35</f>
        <v>0</v>
      </c>
      <c r="SXP208" s="128">
        <f>DATA!SXS35</f>
        <v>0</v>
      </c>
      <c r="SXQ208" s="128">
        <f>DATA!SXT35</f>
        <v>0</v>
      </c>
      <c r="SXR208" s="128">
        <f>DATA!SXU35</f>
        <v>0</v>
      </c>
      <c r="SXS208" s="128">
        <f>DATA!SXV35</f>
        <v>0</v>
      </c>
      <c r="SXT208" s="128">
        <f>DATA!SXW35</f>
        <v>0</v>
      </c>
      <c r="SXU208" s="128">
        <f>DATA!SXX35</f>
        <v>0</v>
      </c>
      <c r="SXV208" s="128">
        <f>DATA!SXY35</f>
        <v>0</v>
      </c>
      <c r="SXW208" s="128">
        <f>DATA!SXZ35</f>
        <v>0</v>
      </c>
      <c r="SXX208" s="128">
        <f>DATA!SYA35</f>
        <v>0</v>
      </c>
      <c r="SXY208" s="128">
        <f>DATA!SYB35</f>
        <v>0</v>
      </c>
      <c r="SXZ208" s="128">
        <f>DATA!SYC35</f>
        <v>0</v>
      </c>
      <c r="SYA208" s="128">
        <f>DATA!SYD35</f>
        <v>0</v>
      </c>
      <c r="SYB208" s="128">
        <f>DATA!SYE35</f>
        <v>0</v>
      </c>
      <c r="SYC208" s="128">
        <f>DATA!SYF35</f>
        <v>0</v>
      </c>
      <c r="SYD208" s="128">
        <f>DATA!SYG35</f>
        <v>0</v>
      </c>
      <c r="SYE208" s="128">
        <f>DATA!SYH35</f>
        <v>0</v>
      </c>
      <c r="SYF208" s="128">
        <f>DATA!SYI35</f>
        <v>0</v>
      </c>
      <c r="SYG208" s="128">
        <f>DATA!SYJ35</f>
        <v>0</v>
      </c>
      <c r="SYH208" s="128">
        <f>DATA!SYK35</f>
        <v>0</v>
      </c>
      <c r="SYI208" s="128">
        <f>DATA!SYL35</f>
        <v>0</v>
      </c>
      <c r="SYJ208" s="128">
        <f>DATA!SYM35</f>
        <v>0</v>
      </c>
      <c r="SYK208" s="128">
        <f>DATA!SYN35</f>
        <v>0</v>
      </c>
      <c r="SYL208" s="128">
        <f>DATA!SYO35</f>
        <v>0</v>
      </c>
      <c r="SYM208" s="128">
        <f>DATA!SYP35</f>
        <v>0</v>
      </c>
      <c r="SYN208" s="128">
        <f>DATA!SYQ35</f>
        <v>0</v>
      </c>
      <c r="SYO208" s="128">
        <f>DATA!SYR35</f>
        <v>0</v>
      </c>
      <c r="SYP208" s="128">
        <f>DATA!SYS35</f>
        <v>0</v>
      </c>
      <c r="SYQ208" s="128">
        <f>DATA!SYT35</f>
        <v>0</v>
      </c>
      <c r="SYR208" s="128">
        <f>DATA!SYU35</f>
        <v>0</v>
      </c>
      <c r="SYS208" s="128">
        <f>DATA!SYV35</f>
        <v>0</v>
      </c>
      <c r="SYT208" s="128">
        <f>DATA!SYW35</f>
        <v>0</v>
      </c>
      <c r="SYU208" s="128">
        <f>DATA!SYX35</f>
        <v>0</v>
      </c>
      <c r="SYV208" s="128">
        <f>DATA!SYY35</f>
        <v>0</v>
      </c>
      <c r="SYW208" s="128">
        <f>DATA!SYZ35</f>
        <v>0</v>
      </c>
      <c r="SYX208" s="128">
        <f>DATA!SZA35</f>
        <v>0</v>
      </c>
      <c r="SYY208" s="128">
        <f>DATA!SZB35</f>
        <v>0</v>
      </c>
      <c r="SYZ208" s="128">
        <f>DATA!SZC35</f>
        <v>0</v>
      </c>
      <c r="SZA208" s="128">
        <f>DATA!SZD35</f>
        <v>0</v>
      </c>
      <c r="SZB208" s="128">
        <f>DATA!SZE35</f>
        <v>0</v>
      </c>
      <c r="SZC208" s="128">
        <f>DATA!SZF35</f>
        <v>0</v>
      </c>
      <c r="SZD208" s="128">
        <f>DATA!SZG35</f>
        <v>0</v>
      </c>
      <c r="SZE208" s="128">
        <f>DATA!SZH35</f>
        <v>0</v>
      </c>
      <c r="SZF208" s="128">
        <f>DATA!SZI35</f>
        <v>0</v>
      </c>
      <c r="SZG208" s="128">
        <f>DATA!SZJ35</f>
        <v>0</v>
      </c>
      <c r="SZH208" s="128">
        <f>DATA!SZK35</f>
        <v>0</v>
      </c>
      <c r="SZI208" s="128">
        <f>DATA!SZL35</f>
        <v>0</v>
      </c>
      <c r="SZJ208" s="128">
        <f>DATA!SZM35</f>
        <v>0</v>
      </c>
      <c r="SZK208" s="128">
        <f>DATA!SZN35</f>
        <v>0</v>
      </c>
      <c r="SZL208" s="128">
        <f>DATA!SZO35</f>
        <v>0</v>
      </c>
      <c r="SZM208" s="128">
        <f>DATA!SZP35</f>
        <v>0</v>
      </c>
      <c r="SZN208" s="128">
        <f>DATA!SZQ35</f>
        <v>0</v>
      </c>
      <c r="SZO208" s="128">
        <f>DATA!SZR35</f>
        <v>0</v>
      </c>
      <c r="SZP208" s="128">
        <f>DATA!SZS35</f>
        <v>0</v>
      </c>
      <c r="SZQ208" s="128">
        <f>DATA!SZT35</f>
        <v>0</v>
      </c>
      <c r="SZR208" s="128">
        <f>DATA!SZU35</f>
        <v>0</v>
      </c>
      <c r="SZS208" s="128">
        <f>DATA!SZV35</f>
        <v>0</v>
      </c>
      <c r="SZT208" s="128">
        <f>DATA!SZW35</f>
        <v>0</v>
      </c>
      <c r="SZU208" s="128">
        <f>DATA!SZX35</f>
        <v>0</v>
      </c>
      <c r="SZV208" s="128">
        <f>DATA!SZY35</f>
        <v>0</v>
      </c>
      <c r="SZW208" s="128">
        <f>DATA!SZZ35</f>
        <v>0</v>
      </c>
      <c r="SZX208" s="128">
        <f>DATA!TAA35</f>
        <v>0</v>
      </c>
      <c r="SZY208" s="128">
        <f>DATA!TAB35</f>
        <v>0</v>
      </c>
      <c r="SZZ208" s="128">
        <f>DATA!TAC35</f>
        <v>0</v>
      </c>
      <c r="TAA208" s="128">
        <f>DATA!TAD35</f>
        <v>0</v>
      </c>
      <c r="TAB208" s="128">
        <f>DATA!TAE35</f>
        <v>0</v>
      </c>
      <c r="TAC208" s="128">
        <f>DATA!TAF35</f>
        <v>0</v>
      </c>
      <c r="TAD208" s="128">
        <f>DATA!TAG35</f>
        <v>0</v>
      </c>
      <c r="TAE208" s="128">
        <f>DATA!TAH35</f>
        <v>0</v>
      </c>
      <c r="TAF208" s="128">
        <f>DATA!TAI35</f>
        <v>0</v>
      </c>
      <c r="TAG208" s="128">
        <f>DATA!TAJ35</f>
        <v>0</v>
      </c>
      <c r="TAH208" s="128">
        <f>DATA!TAK35</f>
        <v>0</v>
      </c>
      <c r="TAI208" s="128">
        <f>DATA!TAL35</f>
        <v>0</v>
      </c>
      <c r="TAJ208" s="128">
        <f>DATA!TAM35</f>
        <v>0</v>
      </c>
      <c r="TAK208" s="128">
        <f>DATA!TAN35</f>
        <v>0</v>
      </c>
      <c r="TAL208" s="128">
        <f>DATA!TAO35</f>
        <v>0</v>
      </c>
      <c r="TAM208" s="128">
        <f>DATA!TAP35</f>
        <v>0</v>
      </c>
      <c r="TAN208" s="128">
        <f>DATA!TAQ35</f>
        <v>0</v>
      </c>
      <c r="TAO208" s="128">
        <f>DATA!TAR35</f>
        <v>0</v>
      </c>
      <c r="TAP208" s="128">
        <f>DATA!TAS35</f>
        <v>0</v>
      </c>
      <c r="TAQ208" s="128">
        <f>DATA!TAT35</f>
        <v>0</v>
      </c>
      <c r="TAR208" s="128">
        <f>DATA!TAU35</f>
        <v>0</v>
      </c>
      <c r="TAS208" s="128">
        <f>DATA!TAV35</f>
        <v>0</v>
      </c>
      <c r="TAT208" s="128">
        <f>DATA!TAW35</f>
        <v>0</v>
      </c>
      <c r="TAU208" s="128">
        <f>DATA!TAX35</f>
        <v>0</v>
      </c>
      <c r="TAV208" s="128">
        <f>DATA!TAY35</f>
        <v>0</v>
      </c>
      <c r="TAW208" s="128">
        <f>DATA!TAZ35</f>
        <v>0</v>
      </c>
      <c r="TAX208" s="128">
        <f>DATA!TBA35</f>
        <v>0</v>
      </c>
      <c r="TAY208" s="128">
        <f>DATA!TBB35</f>
        <v>0</v>
      </c>
      <c r="TAZ208" s="128">
        <f>DATA!TBC35</f>
        <v>0</v>
      </c>
      <c r="TBA208" s="128">
        <f>DATA!TBD35</f>
        <v>0</v>
      </c>
      <c r="TBB208" s="128">
        <f>DATA!TBE35</f>
        <v>0</v>
      </c>
      <c r="TBC208" s="128">
        <f>DATA!TBF35</f>
        <v>0</v>
      </c>
      <c r="TBD208" s="128">
        <f>DATA!TBG35</f>
        <v>0</v>
      </c>
      <c r="TBE208" s="128">
        <f>DATA!TBH35</f>
        <v>0</v>
      </c>
      <c r="TBF208" s="128">
        <f>DATA!TBI35</f>
        <v>0</v>
      </c>
      <c r="TBG208" s="128">
        <f>DATA!TBJ35</f>
        <v>0</v>
      </c>
      <c r="TBH208" s="128">
        <f>DATA!TBK35</f>
        <v>0</v>
      </c>
      <c r="TBI208" s="128">
        <f>DATA!TBL35</f>
        <v>0</v>
      </c>
      <c r="TBJ208" s="128">
        <f>DATA!TBM35</f>
        <v>0</v>
      </c>
      <c r="TBK208" s="128">
        <f>DATA!TBN35</f>
        <v>0</v>
      </c>
      <c r="TBL208" s="128">
        <f>DATA!TBO35</f>
        <v>0</v>
      </c>
      <c r="TBM208" s="128">
        <f>DATA!TBP35</f>
        <v>0</v>
      </c>
      <c r="TBN208" s="128">
        <f>DATA!TBQ35</f>
        <v>0</v>
      </c>
      <c r="TBO208" s="128">
        <f>DATA!TBR35</f>
        <v>0</v>
      </c>
      <c r="TBP208" s="128">
        <f>DATA!TBS35</f>
        <v>0</v>
      </c>
      <c r="TBQ208" s="128">
        <f>DATA!TBT35</f>
        <v>0</v>
      </c>
      <c r="TBR208" s="128">
        <f>DATA!TBU35</f>
        <v>0</v>
      </c>
      <c r="TBS208" s="128">
        <f>DATA!TBV35</f>
        <v>0</v>
      </c>
      <c r="TBT208" s="128">
        <f>DATA!TBW35</f>
        <v>0</v>
      </c>
      <c r="TBU208" s="128">
        <f>DATA!TBX35</f>
        <v>0</v>
      </c>
      <c r="TBV208" s="128">
        <f>DATA!TBY35</f>
        <v>0</v>
      </c>
      <c r="TBW208" s="128">
        <f>DATA!TBZ35</f>
        <v>0</v>
      </c>
      <c r="TBX208" s="128">
        <f>DATA!TCA35</f>
        <v>0</v>
      </c>
      <c r="TBY208" s="128">
        <f>DATA!TCB35</f>
        <v>0</v>
      </c>
      <c r="TBZ208" s="128">
        <f>DATA!TCC35</f>
        <v>0</v>
      </c>
      <c r="TCA208" s="128">
        <f>DATA!TCD35</f>
        <v>0</v>
      </c>
      <c r="TCB208" s="128">
        <f>DATA!TCE35</f>
        <v>0</v>
      </c>
      <c r="TCC208" s="128">
        <f>DATA!TCF35</f>
        <v>0</v>
      </c>
      <c r="TCD208" s="128">
        <f>DATA!TCG35</f>
        <v>0</v>
      </c>
      <c r="TCE208" s="128">
        <f>DATA!TCH35</f>
        <v>0</v>
      </c>
      <c r="TCF208" s="128">
        <f>DATA!TCI35</f>
        <v>0</v>
      </c>
      <c r="TCG208" s="128">
        <f>DATA!TCJ35</f>
        <v>0</v>
      </c>
      <c r="TCH208" s="128">
        <f>DATA!TCK35</f>
        <v>0</v>
      </c>
      <c r="TCI208" s="128">
        <f>DATA!TCL35</f>
        <v>0</v>
      </c>
      <c r="TCJ208" s="128">
        <f>DATA!TCM35</f>
        <v>0</v>
      </c>
      <c r="TCK208" s="128">
        <f>DATA!TCN35</f>
        <v>0</v>
      </c>
      <c r="TCL208" s="128">
        <f>DATA!TCO35</f>
        <v>0</v>
      </c>
      <c r="TCM208" s="128">
        <f>DATA!TCP35</f>
        <v>0</v>
      </c>
      <c r="TCN208" s="128">
        <f>DATA!TCQ35</f>
        <v>0</v>
      </c>
      <c r="TCO208" s="128">
        <f>DATA!TCR35</f>
        <v>0</v>
      </c>
      <c r="TCP208" s="128">
        <f>DATA!TCS35</f>
        <v>0</v>
      </c>
      <c r="TCQ208" s="128">
        <f>DATA!TCT35</f>
        <v>0</v>
      </c>
      <c r="TCR208" s="128">
        <f>DATA!TCU35</f>
        <v>0</v>
      </c>
      <c r="TCS208" s="128">
        <f>DATA!TCV35</f>
        <v>0</v>
      </c>
      <c r="TCT208" s="128">
        <f>DATA!TCW35</f>
        <v>0</v>
      </c>
      <c r="TCU208" s="128">
        <f>DATA!TCX35</f>
        <v>0</v>
      </c>
      <c r="TCV208" s="128">
        <f>DATA!TCY35</f>
        <v>0</v>
      </c>
      <c r="TCW208" s="128">
        <f>DATA!TCZ35</f>
        <v>0</v>
      </c>
      <c r="TCX208" s="128">
        <f>DATA!TDA35</f>
        <v>0</v>
      </c>
      <c r="TCY208" s="128">
        <f>DATA!TDB35</f>
        <v>0</v>
      </c>
      <c r="TCZ208" s="128">
        <f>DATA!TDC35</f>
        <v>0</v>
      </c>
      <c r="TDA208" s="128">
        <f>DATA!TDD35</f>
        <v>0</v>
      </c>
      <c r="TDB208" s="128">
        <f>DATA!TDE35</f>
        <v>0</v>
      </c>
      <c r="TDC208" s="128">
        <f>DATA!TDF35</f>
        <v>0</v>
      </c>
      <c r="TDD208" s="128">
        <f>DATA!TDG35</f>
        <v>0</v>
      </c>
      <c r="TDE208" s="128">
        <f>DATA!TDH35</f>
        <v>0</v>
      </c>
      <c r="TDF208" s="128">
        <f>DATA!TDI35</f>
        <v>0</v>
      </c>
      <c r="TDG208" s="128">
        <f>DATA!TDJ35</f>
        <v>0</v>
      </c>
      <c r="TDH208" s="128">
        <f>DATA!TDK35</f>
        <v>0</v>
      </c>
      <c r="TDI208" s="128">
        <f>DATA!TDL35</f>
        <v>0</v>
      </c>
      <c r="TDJ208" s="128">
        <f>DATA!TDM35</f>
        <v>0</v>
      </c>
      <c r="TDK208" s="128">
        <f>DATA!TDN35</f>
        <v>0</v>
      </c>
      <c r="TDL208" s="128">
        <f>DATA!TDO35</f>
        <v>0</v>
      </c>
      <c r="TDM208" s="128">
        <f>DATA!TDP35</f>
        <v>0</v>
      </c>
      <c r="TDN208" s="128">
        <f>DATA!TDQ35</f>
        <v>0</v>
      </c>
      <c r="TDO208" s="128">
        <f>DATA!TDR35</f>
        <v>0</v>
      </c>
      <c r="TDP208" s="128">
        <f>DATA!TDS35</f>
        <v>0</v>
      </c>
      <c r="TDQ208" s="128">
        <f>DATA!TDT35</f>
        <v>0</v>
      </c>
      <c r="TDR208" s="128">
        <f>DATA!TDU35</f>
        <v>0</v>
      </c>
      <c r="TDS208" s="128">
        <f>DATA!TDV35</f>
        <v>0</v>
      </c>
      <c r="TDT208" s="128">
        <f>DATA!TDW35</f>
        <v>0</v>
      </c>
      <c r="TDU208" s="128">
        <f>DATA!TDX35</f>
        <v>0</v>
      </c>
      <c r="TDV208" s="128">
        <f>DATA!TDY35</f>
        <v>0</v>
      </c>
      <c r="TDW208" s="128">
        <f>DATA!TDZ35</f>
        <v>0</v>
      </c>
      <c r="TDX208" s="128">
        <f>DATA!TEA35</f>
        <v>0</v>
      </c>
      <c r="TDY208" s="128">
        <f>DATA!TEB35</f>
        <v>0</v>
      </c>
      <c r="TDZ208" s="128">
        <f>DATA!TEC35</f>
        <v>0</v>
      </c>
      <c r="TEA208" s="128">
        <f>DATA!TED35</f>
        <v>0</v>
      </c>
      <c r="TEB208" s="128">
        <f>DATA!TEE35</f>
        <v>0</v>
      </c>
      <c r="TEC208" s="128">
        <f>DATA!TEF35</f>
        <v>0</v>
      </c>
      <c r="TED208" s="128">
        <f>DATA!TEG35</f>
        <v>0</v>
      </c>
      <c r="TEE208" s="128">
        <f>DATA!TEH35</f>
        <v>0</v>
      </c>
      <c r="TEF208" s="128">
        <f>DATA!TEI35</f>
        <v>0</v>
      </c>
      <c r="TEG208" s="128">
        <f>DATA!TEJ35</f>
        <v>0</v>
      </c>
      <c r="TEH208" s="128">
        <f>DATA!TEK35</f>
        <v>0</v>
      </c>
      <c r="TEI208" s="128">
        <f>DATA!TEL35</f>
        <v>0</v>
      </c>
      <c r="TEJ208" s="128">
        <f>DATA!TEM35</f>
        <v>0</v>
      </c>
      <c r="TEK208" s="128">
        <f>DATA!TEN35</f>
        <v>0</v>
      </c>
      <c r="TEL208" s="128">
        <f>DATA!TEO35</f>
        <v>0</v>
      </c>
      <c r="TEM208" s="128">
        <f>DATA!TEP35</f>
        <v>0</v>
      </c>
      <c r="TEN208" s="128">
        <f>DATA!TEQ35</f>
        <v>0</v>
      </c>
      <c r="TEO208" s="128">
        <f>DATA!TER35</f>
        <v>0</v>
      </c>
      <c r="TEP208" s="128">
        <f>DATA!TES35</f>
        <v>0</v>
      </c>
      <c r="TEQ208" s="128">
        <f>DATA!TET35</f>
        <v>0</v>
      </c>
      <c r="TER208" s="128">
        <f>DATA!TEU35</f>
        <v>0</v>
      </c>
      <c r="TES208" s="128">
        <f>DATA!TEV35</f>
        <v>0</v>
      </c>
      <c r="TET208" s="128">
        <f>DATA!TEW35</f>
        <v>0</v>
      </c>
      <c r="TEU208" s="128">
        <f>DATA!TEX35</f>
        <v>0</v>
      </c>
      <c r="TEV208" s="128">
        <f>DATA!TEY35</f>
        <v>0</v>
      </c>
      <c r="TEW208" s="128">
        <f>DATA!TEZ35</f>
        <v>0</v>
      </c>
      <c r="TEX208" s="128">
        <f>DATA!TFA35</f>
        <v>0</v>
      </c>
      <c r="TEY208" s="128">
        <f>DATA!TFB35</f>
        <v>0</v>
      </c>
      <c r="TEZ208" s="128">
        <f>DATA!TFC35</f>
        <v>0</v>
      </c>
      <c r="TFA208" s="128">
        <f>DATA!TFD35</f>
        <v>0</v>
      </c>
      <c r="TFB208" s="128">
        <f>DATA!TFE35</f>
        <v>0</v>
      </c>
      <c r="TFC208" s="128">
        <f>DATA!TFF35</f>
        <v>0</v>
      </c>
      <c r="TFD208" s="128">
        <f>DATA!TFG35</f>
        <v>0</v>
      </c>
      <c r="TFE208" s="128">
        <f>DATA!TFH35</f>
        <v>0</v>
      </c>
      <c r="TFF208" s="128">
        <f>DATA!TFI35</f>
        <v>0</v>
      </c>
      <c r="TFG208" s="128">
        <f>DATA!TFJ35</f>
        <v>0</v>
      </c>
      <c r="TFH208" s="128">
        <f>DATA!TFK35</f>
        <v>0</v>
      </c>
      <c r="TFI208" s="128">
        <f>DATA!TFL35</f>
        <v>0</v>
      </c>
      <c r="TFJ208" s="128">
        <f>DATA!TFM35</f>
        <v>0</v>
      </c>
      <c r="TFK208" s="128">
        <f>DATA!TFN35</f>
        <v>0</v>
      </c>
      <c r="TFL208" s="128">
        <f>DATA!TFO35</f>
        <v>0</v>
      </c>
      <c r="TFM208" s="128">
        <f>DATA!TFP35</f>
        <v>0</v>
      </c>
      <c r="TFN208" s="128">
        <f>DATA!TFQ35</f>
        <v>0</v>
      </c>
      <c r="TFO208" s="128">
        <f>DATA!TFR35</f>
        <v>0</v>
      </c>
      <c r="TFP208" s="128">
        <f>DATA!TFS35</f>
        <v>0</v>
      </c>
      <c r="TFQ208" s="128">
        <f>DATA!TFT35</f>
        <v>0</v>
      </c>
      <c r="TFR208" s="128">
        <f>DATA!TFU35</f>
        <v>0</v>
      </c>
      <c r="TFS208" s="128">
        <f>DATA!TFV35</f>
        <v>0</v>
      </c>
      <c r="TFT208" s="128">
        <f>DATA!TFW35</f>
        <v>0</v>
      </c>
      <c r="TFU208" s="128">
        <f>DATA!TFX35</f>
        <v>0</v>
      </c>
      <c r="TFV208" s="128">
        <f>DATA!TFY35</f>
        <v>0</v>
      </c>
      <c r="TFW208" s="128">
        <f>DATA!TFZ35</f>
        <v>0</v>
      </c>
      <c r="TFX208" s="128">
        <f>DATA!TGA35</f>
        <v>0</v>
      </c>
      <c r="TFY208" s="128">
        <f>DATA!TGB35</f>
        <v>0</v>
      </c>
      <c r="TFZ208" s="128">
        <f>DATA!TGC35</f>
        <v>0</v>
      </c>
      <c r="TGA208" s="128">
        <f>DATA!TGD35</f>
        <v>0</v>
      </c>
      <c r="TGB208" s="128">
        <f>DATA!TGE35</f>
        <v>0</v>
      </c>
      <c r="TGC208" s="128">
        <f>DATA!TGF35</f>
        <v>0</v>
      </c>
      <c r="TGD208" s="128">
        <f>DATA!TGG35</f>
        <v>0</v>
      </c>
      <c r="TGE208" s="128">
        <f>DATA!TGH35</f>
        <v>0</v>
      </c>
      <c r="TGF208" s="128">
        <f>DATA!TGI35</f>
        <v>0</v>
      </c>
      <c r="TGG208" s="128">
        <f>DATA!TGJ35</f>
        <v>0</v>
      </c>
      <c r="TGH208" s="128">
        <f>DATA!TGK35</f>
        <v>0</v>
      </c>
      <c r="TGI208" s="128">
        <f>DATA!TGL35</f>
        <v>0</v>
      </c>
      <c r="TGJ208" s="128">
        <f>DATA!TGM35</f>
        <v>0</v>
      </c>
      <c r="TGK208" s="128">
        <f>DATA!TGN35</f>
        <v>0</v>
      </c>
      <c r="TGL208" s="128">
        <f>DATA!TGO35</f>
        <v>0</v>
      </c>
      <c r="TGM208" s="128">
        <f>DATA!TGP35</f>
        <v>0</v>
      </c>
      <c r="TGN208" s="128">
        <f>DATA!TGQ35</f>
        <v>0</v>
      </c>
      <c r="TGO208" s="128">
        <f>DATA!TGR35</f>
        <v>0</v>
      </c>
      <c r="TGP208" s="128">
        <f>DATA!TGS35</f>
        <v>0</v>
      </c>
      <c r="TGQ208" s="128">
        <f>DATA!TGT35</f>
        <v>0</v>
      </c>
      <c r="TGR208" s="128">
        <f>DATA!TGU35</f>
        <v>0</v>
      </c>
      <c r="TGS208" s="128">
        <f>DATA!TGV35</f>
        <v>0</v>
      </c>
      <c r="TGT208" s="128">
        <f>DATA!TGW35</f>
        <v>0</v>
      </c>
      <c r="TGU208" s="128">
        <f>DATA!TGX35</f>
        <v>0</v>
      </c>
      <c r="TGV208" s="128">
        <f>DATA!TGY35</f>
        <v>0</v>
      </c>
      <c r="TGW208" s="128">
        <f>DATA!TGZ35</f>
        <v>0</v>
      </c>
      <c r="TGX208" s="128">
        <f>DATA!THA35</f>
        <v>0</v>
      </c>
      <c r="TGY208" s="128">
        <f>DATA!THB35</f>
        <v>0</v>
      </c>
      <c r="TGZ208" s="128">
        <f>DATA!THC35</f>
        <v>0</v>
      </c>
      <c r="THA208" s="128">
        <f>DATA!THD35</f>
        <v>0</v>
      </c>
      <c r="THB208" s="128">
        <f>DATA!THE35</f>
        <v>0</v>
      </c>
      <c r="THC208" s="128">
        <f>DATA!THF35</f>
        <v>0</v>
      </c>
      <c r="THD208" s="128">
        <f>DATA!THG35</f>
        <v>0</v>
      </c>
      <c r="THE208" s="128">
        <f>DATA!THH35</f>
        <v>0</v>
      </c>
      <c r="THF208" s="128">
        <f>DATA!THI35</f>
        <v>0</v>
      </c>
      <c r="THG208" s="128">
        <f>DATA!THJ35</f>
        <v>0</v>
      </c>
      <c r="THH208" s="128">
        <f>DATA!THK35</f>
        <v>0</v>
      </c>
      <c r="THI208" s="128">
        <f>DATA!THL35</f>
        <v>0</v>
      </c>
      <c r="THJ208" s="128">
        <f>DATA!THM35</f>
        <v>0</v>
      </c>
      <c r="THK208" s="128">
        <f>DATA!THN35</f>
        <v>0</v>
      </c>
      <c r="THL208" s="128">
        <f>DATA!THO35</f>
        <v>0</v>
      </c>
      <c r="THM208" s="128">
        <f>DATA!THP35</f>
        <v>0</v>
      </c>
      <c r="THN208" s="128">
        <f>DATA!THQ35</f>
        <v>0</v>
      </c>
      <c r="THO208" s="128">
        <f>DATA!THR35</f>
        <v>0</v>
      </c>
      <c r="THP208" s="128">
        <f>DATA!THS35</f>
        <v>0</v>
      </c>
      <c r="THQ208" s="128">
        <f>DATA!THT35</f>
        <v>0</v>
      </c>
      <c r="THR208" s="128">
        <f>DATA!THU35</f>
        <v>0</v>
      </c>
      <c r="THS208" s="128">
        <f>DATA!THV35</f>
        <v>0</v>
      </c>
      <c r="THT208" s="128">
        <f>DATA!THW35</f>
        <v>0</v>
      </c>
      <c r="THU208" s="128">
        <f>DATA!THX35</f>
        <v>0</v>
      </c>
      <c r="THV208" s="128">
        <f>DATA!THY35</f>
        <v>0</v>
      </c>
      <c r="THW208" s="128">
        <f>DATA!THZ35</f>
        <v>0</v>
      </c>
      <c r="THX208" s="128">
        <f>DATA!TIA35</f>
        <v>0</v>
      </c>
      <c r="THY208" s="128">
        <f>DATA!TIB35</f>
        <v>0</v>
      </c>
      <c r="THZ208" s="128">
        <f>DATA!TIC35</f>
        <v>0</v>
      </c>
      <c r="TIA208" s="128">
        <f>DATA!TID35</f>
        <v>0</v>
      </c>
      <c r="TIB208" s="128">
        <f>DATA!TIE35</f>
        <v>0</v>
      </c>
      <c r="TIC208" s="128">
        <f>DATA!TIF35</f>
        <v>0</v>
      </c>
      <c r="TID208" s="128">
        <f>DATA!TIG35</f>
        <v>0</v>
      </c>
      <c r="TIE208" s="128">
        <f>DATA!TIH35</f>
        <v>0</v>
      </c>
      <c r="TIF208" s="128">
        <f>DATA!TII35</f>
        <v>0</v>
      </c>
      <c r="TIG208" s="128">
        <f>DATA!TIJ35</f>
        <v>0</v>
      </c>
      <c r="TIH208" s="128">
        <f>DATA!TIK35</f>
        <v>0</v>
      </c>
      <c r="TII208" s="128">
        <f>DATA!TIL35</f>
        <v>0</v>
      </c>
      <c r="TIJ208" s="128">
        <f>DATA!TIM35</f>
        <v>0</v>
      </c>
      <c r="TIK208" s="128">
        <f>DATA!TIN35</f>
        <v>0</v>
      </c>
      <c r="TIL208" s="128">
        <f>DATA!TIO35</f>
        <v>0</v>
      </c>
      <c r="TIM208" s="128">
        <f>DATA!TIP35</f>
        <v>0</v>
      </c>
      <c r="TIN208" s="128">
        <f>DATA!TIQ35</f>
        <v>0</v>
      </c>
      <c r="TIO208" s="128">
        <f>DATA!TIR35</f>
        <v>0</v>
      </c>
      <c r="TIP208" s="128">
        <f>DATA!TIS35</f>
        <v>0</v>
      </c>
      <c r="TIQ208" s="128">
        <f>DATA!TIT35</f>
        <v>0</v>
      </c>
      <c r="TIR208" s="128">
        <f>DATA!TIU35</f>
        <v>0</v>
      </c>
      <c r="TIS208" s="128">
        <f>DATA!TIV35</f>
        <v>0</v>
      </c>
      <c r="TIT208" s="128">
        <f>DATA!TIW35</f>
        <v>0</v>
      </c>
      <c r="TIU208" s="128">
        <f>DATA!TIX35</f>
        <v>0</v>
      </c>
      <c r="TIV208" s="128">
        <f>DATA!TIY35</f>
        <v>0</v>
      </c>
      <c r="TIW208" s="128">
        <f>DATA!TIZ35</f>
        <v>0</v>
      </c>
      <c r="TIX208" s="128">
        <f>DATA!TJA35</f>
        <v>0</v>
      </c>
      <c r="TIY208" s="128">
        <f>DATA!TJB35</f>
        <v>0</v>
      </c>
      <c r="TIZ208" s="128">
        <f>DATA!TJC35</f>
        <v>0</v>
      </c>
      <c r="TJA208" s="128">
        <f>DATA!TJD35</f>
        <v>0</v>
      </c>
      <c r="TJB208" s="128">
        <f>DATA!TJE35</f>
        <v>0</v>
      </c>
      <c r="TJC208" s="128">
        <f>DATA!TJF35</f>
        <v>0</v>
      </c>
      <c r="TJD208" s="128">
        <f>DATA!TJG35</f>
        <v>0</v>
      </c>
      <c r="TJE208" s="128">
        <f>DATA!TJH35</f>
        <v>0</v>
      </c>
      <c r="TJF208" s="128">
        <f>DATA!TJI35</f>
        <v>0</v>
      </c>
      <c r="TJG208" s="128">
        <f>DATA!TJJ35</f>
        <v>0</v>
      </c>
      <c r="TJH208" s="128">
        <f>DATA!TJK35</f>
        <v>0</v>
      </c>
      <c r="TJI208" s="128">
        <f>DATA!TJL35</f>
        <v>0</v>
      </c>
      <c r="TJJ208" s="128">
        <f>DATA!TJM35</f>
        <v>0</v>
      </c>
      <c r="TJK208" s="128">
        <f>DATA!TJN35</f>
        <v>0</v>
      </c>
      <c r="TJL208" s="128">
        <f>DATA!TJO35</f>
        <v>0</v>
      </c>
      <c r="TJM208" s="128">
        <f>DATA!TJP35</f>
        <v>0</v>
      </c>
      <c r="TJN208" s="128">
        <f>DATA!TJQ35</f>
        <v>0</v>
      </c>
      <c r="TJO208" s="128">
        <f>DATA!TJR35</f>
        <v>0</v>
      </c>
      <c r="TJP208" s="128">
        <f>DATA!TJS35</f>
        <v>0</v>
      </c>
      <c r="TJQ208" s="128">
        <f>DATA!TJT35</f>
        <v>0</v>
      </c>
      <c r="TJR208" s="128">
        <f>DATA!TJU35</f>
        <v>0</v>
      </c>
      <c r="TJS208" s="128">
        <f>DATA!TJV35</f>
        <v>0</v>
      </c>
      <c r="TJT208" s="128">
        <f>DATA!TJW35</f>
        <v>0</v>
      </c>
      <c r="TJU208" s="128">
        <f>DATA!TJX35</f>
        <v>0</v>
      </c>
      <c r="TJV208" s="128">
        <f>DATA!TJY35</f>
        <v>0</v>
      </c>
      <c r="TJW208" s="128">
        <f>DATA!TJZ35</f>
        <v>0</v>
      </c>
      <c r="TJX208" s="128">
        <f>DATA!TKA35</f>
        <v>0</v>
      </c>
      <c r="TJY208" s="128">
        <f>DATA!TKB35</f>
        <v>0</v>
      </c>
      <c r="TJZ208" s="128">
        <f>DATA!TKC35</f>
        <v>0</v>
      </c>
      <c r="TKA208" s="128">
        <f>DATA!TKD35</f>
        <v>0</v>
      </c>
      <c r="TKB208" s="128">
        <f>DATA!TKE35</f>
        <v>0</v>
      </c>
      <c r="TKC208" s="128">
        <f>DATA!TKF35</f>
        <v>0</v>
      </c>
      <c r="TKD208" s="128">
        <f>DATA!TKG35</f>
        <v>0</v>
      </c>
      <c r="TKE208" s="128">
        <f>DATA!TKH35</f>
        <v>0</v>
      </c>
      <c r="TKF208" s="128">
        <f>DATA!TKI35</f>
        <v>0</v>
      </c>
      <c r="TKG208" s="128">
        <f>DATA!TKJ35</f>
        <v>0</v>
      </c>
      <c r="TKH208" s="128">
        <f>DATA!TKK35</f>
        <v>0</v>
      </c>
      <c r="TKI208" s="128">
        <f>DATA!TKL35</f>
        <v>0</v>
      </c>
      <c r="TKJ208" s="128">
        <f>DATA!TKM35</f>
        <v>0</v>
      </c>
      <c r="TKK208" s="128">
        <f>DATA!TKN35</f>
        <v>0</v>
      </c>
      <c r="TKL208" s="128">
        <f>DATA!TKO35</f>
        <v>0</v>
      </c>
      <c r="TKM208" s="128">
        <f>DATA!TKP35</f>
        <v>0</v>
      </c>
      <c r="TKN208" s="128">
        <f>DATA!TKQ35</f>
        <v>0</v>
      </c>
      <c r="TKO208" s="128">
        <f>DATA!TKR35</f>
        <v>0</v>
      </c>
      <c r="TKP208" s="128">
        <f>DATA!TKS35</f>
        <v>0</v>
      </c>
      <c r="TKQ208" s="128">
        <f>DATA!TKT35</f>
        <v>0</v>
      </c>
      <c r="TKR208" s="128">
        <f>DATA!TKU35</f>
        <v>0</v>
      </c>
      <c r="TKS208" s="128">
        <f>DATA!TKV35</f>
        <v>0</v>
      </c>
      <c r="TKT208" s="128">
        <f>DATA!TKW35</f>
        <v>0</v>
      </c>
      <c r="TKU208" s="128">
        <f>DATA!TKX35</f>
        <v>0</v>
      </c>
      <c r="TKV208" s="128">
        <f>DATA!TKY35</f>
        <v>0</v>
      </c>
      <c r="TKW208" s="128">
        <f>DATA!TKZ35</f>
        <v>0</v>
      </c>
      <c r="TKX208" s="128">
        <f>DATA!TLA35</f>
        <v>0</v>
      </c>
      <c r="TKY208" s="128">
        <f>DATA!TLB35</f>
        <v>0</v>
      </c>
      <c r="TKZ208" s="128">
        <f>DATA!TLC35</f>
        <v>0</v>
      </c>
      <c r="TLA208" s="128">
        <f>DATA!TLD35</f>
        <v>0</v>
      </c>
      <c r="TLB208" s="128">
        <f>DATA!TLE35</f>
        <v>0</v>
      </c>
      <c r="TLC208" s="128">
        <f>DATA!TLF35</f>
        <v>0</v>
      </c>
      <c r="TLD208" s="128">
        <f>DATA!TLG35</f>
        <v>0</v>
      </c>
      <c r="TLE208" s="128">
        <f>DATA!TLH35</f>
        <v>0</v>
      </c>
      <c r="TLF208" s="128">
        <f>DATA!TLI35</f>
        <v>0</v>
      </c>
      <c r="TLG208" s="128">
        <f>DATA!TLJ35</f>
        <v>0</v>
      </c>
      <c r="TLH208" s="128">
        <f>DATA!TLK35</f>
        <v>0</v>
      </c>
      <c r="TLI208" s="128">
        <f>DATA!TLL35</f>
        <v>0</v>
      </c>
      <c r="TLJ208" s="128">
        <f>DATA!TLM35</f>
        <v>0</v>
      </c>
      <c r="TLK208" s="128">
        <f>DATA!TLN35</f>
        <v>0</v>
      </c>
      <c r="TLL208" s="128">
        <f>DATA!TLO35</f>
        <v>0</v>
      </c>
      <c r="TLM208" s="128">
        <f>DATA!TLP35</f>
        <v>0</v>
      </c>
      <c r="TLN208" s="128">
        <f>DATA!TLQ35</f>
        <v>0</v>
      </c>
      <c r="TLO208" s="128">
        <f>DATA!TLR35</f>
        <v>0</v>
      </c>
      <c r="TLP208" s="128">
        <f>DATA!TLS35</f>
        <v>0</v>
      </c>
      <c r="TLQ208" s="128">
        <f>DATA!TLT35</f>
        <v>0</v>
      </c>
      <c r="TLR208" s="128">
        <f>DATA!TLU35</f>
        <v>0</v>
      </c>
      <c r="TLS208" s="128">
        <f>DATA!TLV35</f>
        <v>0</v>
      </c>
      <c r="TLT208" s="128">
        <f>DATA!TLW35</f>
        <v>0</v>
      </c>
      <c r="TLU208" s="128">
        <f>DATA!TLX35</f>
        <v>0</v>
      </c>
      <c r="TLV208" s="128">
        <f>DATA!TLY35</f>
        <v>0</v>
      </c>
      <c r="TLW208" s="128">
        <f>DATA!TLZ35</f>
        <v>0</v>
      </c>
      <c r="TLX208" s="128">
        <f>DATA!TMA35</f>
        <v>0</v>
      </c>
      <c r="TLY208" s="128">
        <f>DATA!TMB35</f>
        <v>0</v>
      </c>
      <c r="TLZ208" s="128">
        <f>DATA!TMC35</f>
        <v>0</v>
      </c>
      <c r="TMA208" s="128">
        <f>DATA!TMD35</f>
        <v>0</v>
      </c>
      <c r="TMB208" s="128">
        <f>DATA!TME35</f>
        <v>0</v>
      </c>
      <c r="TMC208" s="128">
        <f>DATA!TMF35</f>
        <v>0</v>
      </c>
      <c r="TMD208" s="128">
        <f>DATA!TMG35</f>
        <v>0</v>
      </c>
      <c r="TME208" s="128">
        <f>DATA!TMH35</f>
        <v>0</v>
      </c>
      <c r="TMF208" s="128">
        <f>DATA!TMI35</f>
        <v>0</v>
      </c>
      <c r="TMG208" s="128">
        <f>DATA!TMJ35</f>
        <v>0</v>
      </c>
      <c r="TMH208" s="128">
        <f>DATA!TMK35</f>
        <v>0</v>
      </c>
      <c r="TMI208" s="128">
        <f>DATA!TML35</f>
        <v>0</v>
      </c>
      <c r="TMJ208" s="128">
        <f>DATA!TMM35</f>
        <v>0</v>
      </c>
      <c r="TMK208" s="128">
        <f>DATA!TMN35</f>
        <v>0</v>
      </c>
      <c r="TML208" s="128">
        <f>DATA!TMO35</f>
        <v>0</v>
      </c>
      <c r="TMM208" s="128">
        <f>DATA!TMP35</f>
        <v>0</v>
      </c>
      <c r="TMN208" s="128">
        <f>DATA!TMQ35</f>
        <v>0</v>
      </c>
      <c r="TMO208" s="128">
        <f>DATA!TMR35</f>
        <v>0</v>
      </c>
      <c r="TMP208" s="128">
        <f>DATA!TMS35</f>
        <v>0</v>
      </c>
      <c r="TMQ208" s="128">
        <f>DATA!TMT35</f>
        <v>0</v>
      </c>
      <c r="TMR208" s="128">
        <f>DATA!TMU35</f>
        <v>0</v>
      </c>
      <c r="TMS208" s="128">
        <f>DATA!TMV35</f>
        <v>0</v>
      </c>
      <c r="TMT208" s="128">
        <f>DATA!TMW35</f>
        <v>0</v>
      </c>
      <c r="TMU208" s="128">
        <f>DATA!TMX35</f>
        <v>0</v>
      </c>
      <c r="TMV208" s="128">
        <f>DATA!TMY35</f>
        <v>0</v>
      </c>
      <c r="TMW208" s="128">
        <f>DATA!TMZ35</f>
        <v>0</v>
      </c>
      <c r="TMX208" s="128">
        <f>DATA!TNA35</f>
        <v>0</v>
      </c>
      <c r="TMY208" s="128">
        <f>DATA!TNB35</f>
        <v>0</v>
      </c>
      <c r="TMZ208" s="128">
        <f>DATA!TNC35</f>
        <v>0</v>
      </c>
      <c r="TNA208" s="128">
        <f>DATA!TND35</f>
        <v>0</v>
      </c>
      <c r="TNB208" s="128">
        <f>DATA!TNE35</f>
        <v>0</v>
      </c>
      <c r="TNC208" s="128">
        <f>DATA!TNF35</f>
        <v>0</v>
      </c>
      <c r="TND208" s="128">
        <f>DATA!TNG35</f>
        <v>0</v>
      </c>
      <c r="TNE208" s="128">
        <f>DATA!TNH35</f>
        <v>0</v>
      </c>
      <c r="TNF208" s="128">
        <f>DATA!TNI35</f>
        <v>0</v>
      </c>
      <c r="TNG208" s="128">
        <f>DATA!TNJ35</f>
        <v>0</v>
      </c>
      <c r="TNH208" s="128">
        <f>DATA!TNK35</f>
        <v>0</v>
      </c>
      <c r="TNI208" s="128">
        <f>DATA!TNL35</f>
        <v>0</v>
      </c>
      <c r="TNJ208" s="128">
        <f>DATA!TNM35</f>
        <v>0</v>
      </c>
      <c r="TNK208" s="128">
        <f>DATA!TNN35</f>
        <v>0</v>
      </c>
      <c r="TNL208" s="128">
        <f>DATA!TNO35</f>
        <v>0</v>
      </c>
      <c r="TNM208" s="128">
        <f>DATA!TNP35</f>
        <v>0</v>
      </c>
      <c r="TNN208" s="128">
        <f>DATA!TNQ35</f>
        <v>0</v>
      </c>
      <c r="TNO208" s="128">
        <f>DATA!TNR35</f>
        <v>0</v>
      </c>
      <c r="TNP208" s="128">
        <f>DATA!TNS35</f>
        <v>0</v>
      </c>
      <c r="TNQ208" s="128">
        <f>DATA!TNT35</f>
        <v>0</v>
      </c>
      <c r="TNR208" s="128">
        <f>DATA!TNU35</f>
        <v>0</v>
      </c>
      <c r="TNS208" s="128">
        <f>DATA!TNV35</f>
        <v>0</v>
      </c>
      <c r="TNT208" s="128">
        <f>DATA!TNW35</f>
        <v>0</v>
      </c>
      <c r="TNU208" s="128">
        <f>DATA!TNX35</f>
        <v>0</v>
      </c>
      <c r="TNV208" s="128">
        <f>DATA!TNY35</f>
        <v>0</v>
      </c>
      <c r="TNW208" s="128">
        <f>DATA!TNZ35</f>
        <v>0</v>
      </c>
      <c r="TNX208" s="128">
        <f>DATA!TOA35</f>
        <v>0</v>
      </c>
      <c r="TNY208" s="128">
        <f>DATA!TOB35</f>
        <v>0</v>
      </c>
      <c r="TNZ208" s="128">
        <f>DATA!TOC35</f>
        <v>0</v>
      </c>
      <c r="TOA208" s="128">
        <f>DATA!TOD35</f>
        <v>0</v>
      </c>
      <c r="TOB208" s="128">
        <f>DATA!TOE35</f>
        <v>0</v>
      </c>
      <c r="TOC208" s="128">
        <f>DATA!TOF35</f>
        <v>0</v>
      </c>
      <c r="TOD208" s="128">
        <f>DATA!TOG35</f>
        <v>0</v>
      </c>
      <c r="TOE208" s="128">
        <f>DATA!TOH35</f>
        <v>0</v>
      </c>
      <c r="TOF208" s="128">
        <f>DATA!TOI35</f>
        <v>0</v>
      </c>
      <c r="TOG208" s="128">
        <f>DATA!TOJ35</f>
        <v>0</v>
      </c>
      <c r="TOH208" s="128">
        <f>DATA!TOK35</f>
        <v>0</v>
      </c>
      <c r="TOI208" s="128">
        <f>DATA!TOL35</f>
        <v>0</v>
      </c>
      <c r="TOJ208" s="128">
        <f>DATA!TOM35</f>
        <v>0</v>
      </c>
      <c r="TOK208" s="128">
        <f>DATA!TON35</f>
        <v>0</v>
      </c>
      <c r="TOL208" s="128">
        <f>DATA!TOO35</f>
        <v>0</v>
      </c>
      <c r="TOM208" s="128">
        <f>DATA!TOP35</f>
        <v>0</v>
      </c>
      <c r="TON208" s="128">
        <f>DATA!TOQ35</f>
        <v>0</v>
      </c>
      <c r="TOO208" s="128">
        <f>DATA!TOR35</f>
        <v>0</v>
      </c>
      <c r="TOP208" s="128">
        <f>DATA!TOS35</f>
        <v>0</v>
      </c>
      <c r="TOQ208" s="128">
        <f>DATA!TOT35</f>
        <v>0</v>
      </c>
      <c r="TOR208" s="128">
        <f>DATA!TOU35</f>
        <v>0</v>
      </c>
      <c r="TOS208" s="128">
        <f>DATA!TOV35</f>
        <v>0</v>
      </c>
      <c r="TOT208" s="128">
        <f>DATA!TOW35</f>
        <v>0</v>
      </c>
      <c r="TOU208" s="128">
        <f>DATA!TOX35</f>
        <v>0</v>
      </c>
      <c r="TOV208" s="128">
        <f>DATA!TOY35</f>
        <v>0</v>
      </c>
      <c r="TOW208" s="128">
        <f>DATA!TOZ35</f>
        <v>0</v>
      </c>
      <c r="TOX208" s="128">
        <f>DATA!TPA35</f>
        <v>0</v>
      </c>
      <c r="TOY208" s="128">
        <f>DATA!TPB35</f>
        <v>0</v>
      </c>
      <c r="TOZ208" s="128">
        <f>DATA!TPC35</f>
        <v>0</v>
      </c>
      <c r="TPA208" s="128">
        <f>DATA!TPD35</f>
        <v>0</v>
      </c>
      <c r="TPB208" s="128">
        <f>DATA!TPE35</f>
        <v>0</v>
      </c>
      <c r="TPC208" s="128">
        <f>DATA!TPF35</f>
        <v>0</v>
      </c>
      <c r="TPD208" s="128">
        <f>DATA!TPG35</f>
        <v>0</v>
      </c>
      <c r="TPE208" s="128">
        <f>DATA!TPH35</f>
        <v>0</v>
      </c>
      <c r="TPF208" s="128">
        <f>DATA!TPI35</f>
        <v>0</v>
      </c>
      <c r="TPG208" s="128">
        <f>DATA!TPJ35</f>
        <v>0</v>
      </c>
      <c r="TPH208" s="128">
        <f>DATA!TPK35</f>
        <v>0</v>
      </c>
      <c r="TPI208" s="128">
        <f>DATA!TPL35</f>
        <v>0</v>
      </c>
      <c r="TPJ208" s="128">
        <f>DATA!TPM35</f>
        <v>0</v>
      </c>
      <c r="TPK208" s="128">
        <f>DATA!TPN35</f>
        <v>0</v>
      </c>
      <c r="TPL208" s="128">
        <f>DATA!TPO35</f>
        <v>0</v>
      </c>
      <c r="TPM208" s="128">
        <f>DATA!TPP35</f>
        <v>0</v>
      </c>
      <c r="TPN208" s="128">
        <f>DATA!TPQ35</f>
        <v>0</v>
      </c>
      <c r="TPO208" s="128">
        <f>DATA!TPR35</f>
        <v>0</v>
      </c>
      <c r="TPP208" s="128">
        <f>DATA!TPS35</f>
        <v>0</v>
      </c>
      <c r="TPQ208" s="128">
        <f>DATA!TPT35</f>
        <v>0</v>
      </c>
      <c r="TPR208" s="128">
        <f>DATA!TPU35</f>
        <v>0</v>
      </c>
      <c r="TPS208" s="128">
        <f>DATA!TPV35</f>
        <v>0</v>
      </c>
      <c r="TPT208" s="128">
        <f>DATA!TPW35</f>
        <v>0</v>
      </c>
      <c r="TPU208" s="128">
        <f>DATA!TPX35</f>
        <v>0</v>
      </c>
      <c r="TPV208" s="128">
        <f>DATA!TPY35</f>
        <v>0</v>
      </c>
      <c r="TPW208" s="128">
        <f>DATA!TPZ35</f>
        <v>0</v>
      </c>
      <c r="TPX208" s="128">
        <f>DATA!TQA35</f>
        <v>0</v>
      </c>
      <c r="TPY208" s="128">
        <f>DATA!TQB35</f>
        <v>0</v>
      </c>
      <c r="TPZ208" s="128">
        <f>DATA!TQC35</f>
        <v>0</v>
      </c>
      <c r="TQA208" s="128">
        <f>DATA!TQD35</f>
        <v>0</v>
      </c>
      <c r="TQB208" s="128">
        <f>DATA!TQE35</f>
        <v>0</v>
      </c>
      <c r="TQC208" s="128">
        <f>DATA!TQF35</f>
        <v>0</v>
      </c>
      <c r="TQD208" s="128">
        <f>DATA!TQG35</f>
        <v>0</v>
      </c>
      <c r="TQE208" s="128">
        <f>DATA!TQH35</f>
        <v>0</v>
      </c>
      <c r="TQF208" s="128">
        <f>DATA!TQI35</f>
        <v>0</v>
      </c>
      <c r="TQG208" s="128">
        <f>DATA!TQJ35</f>
        <v>0</v>
      </c>
      <c r="TQH208" s="128">
        <f>DATA!TQK35</f>
        <v>0</v>
      </c>
      <c r="TQI208" s="128">
        <f>DATA!TQL35</f>
        <v>0</v>
      </c>
      <c r="TQJ208" s="128">
        <f>DATA!TQM35</f>
        <v>0</v>
      </c>
      <c r="TQK208" s="128">
        <f>DATA!TQN35</f>
        <v>0</v>
      </c>
      <c r="TQL208" s="128">
        <f>DATA!TQO35</f>
        <v>0</v>
      </c>
      <c r="TQM208" s="128">
        <f>DATA!TQP35</f>
        <v>0</v>
      </c>
      <c r="TQN208" s="128">
        <f>DATA!TQQ35</f>
        <v>0</v>
      </c>
      <c r="TQO208" s="128">
        <f>DATA!TQR35</f>
        <v>0</v>
      </c>
      <c r="TQP208" s="128">
        <f>DATA!TQS35</f>
        <v>0</v>
      </c>
      <c r="TQQ208" s="128">
        <f>DATA!TQT35</f>
        <v>0</v>
      </c>
      <c r="TQR208" s="128">
        <f>DATA!TQU35</f>
        <v>0</v>
      </c>
      <c r="TQS208" s="128">
        <f>DATA!TQV35</f>
        <v>0</v>
      </c>
      <c r="TQT208" s="128">
        <f>DATA!TQW35</f>
        <v>0</v>
      </c>
      <c r="TQU208" s="128">
        <f>DATA!TQX35</f>
        <v>0</v>
      </c>
      <c r="TQV208" s="128">
        <f>DATA!TQY35</f>
        <v>0</v>
      </c>
      <c r="TQW208" s="128">
        <f>DATA!TQZ35</f>
        <v>0</v>
      </c>
      <c r="TQX208" s="128">
        <f>DATA!TRA35</f>
        <v>0</v>
      </c>
      <c r="TQY208" s="128">
        <f>DATA!TRB35</f>
        <v>0</v>
      </c>
      <c r="TQZ208" s="128">
        <f>DATA!TRC35</f>
        <v>0</v>
      </c>
      <c r="TRA208" s="128">
        <f>DATA!TRD35</f>
        <v>0</v>
      </c>
      <c r="TRB208" s="128">
        <f>DATA!TRE35</f>
        <v>0</v>
      </c>
      <c r="TRC208" s="128">
        <f>DATA!TRF35</f>
        <v>0</v>
      </c>
      <c r="TRD208" s="128">
        <f>DATA!TRG35</f>
        <v>0</v>
      </c>
      <c r="TRE208" s="128">
        <f>DATA!TRH35</f>
        <v>0</v>
      </c>
      <c r="TRF208" s="128">
        <f>DATA!TRI35</f>
        <v>0</v>
      </c>
      <c r="TRG208" s="128">
        <f>DATA!TRJ35</f>
        <v>0</v>
      </c>
      <c r="TRH208" s="128">
        <f>DATA!TRK35</f>
        <v>0</v>
      </c>
      <c r="TRI208" s="128">
        <f>DATA!TRL35</f>
        <v>0</v>
      </c>
      <c r="TRJ208" s="128">
        <f>DATA!TRM35</f>
        <v>0</v>
      </c>
      <c r="TRK208" s="128">
        <f>DATA!TRN35</f>
        <v>0</v>
      </c>
      <c r="TRL208" s="128">
        <f>DATA!TRO35</f>
        <v>0</v>
      </c>
      <c r="TRM208" s="128">
        <f>DATA!TRP35</f>
        <v>0</v>
      </c>
      <c r="TRN208" s="128">
        <f>DATA!TRQ35</f>
        <v>0</v>
      </c>
      <c r="TRO208" s="128">
        <f>DATA!TRR35</f>
        <v>0</v>
      </c>
      <c r="TRP208" s="128">
        <f>DATA!TRS35</f>
        <v>0</v>
      </c>
      <c r="TRQ208" s="128">
        <f>DATA!TRT35</f>
        <v>0</v>
      </c>
      <c r="TRR208" s="128">
        <f>DATA!TRU35</f>
        <v>0</v>
      </c>
      <c r="TRS208" s="128">
        <f>DATA!TRV35</f>
        <v>0</v>
      </c>
      <c r="TRT208" s="128">
        <f>DATA!TRW35</f>
        <v>0</v>
      </c>
      <c r="TRU208" s="128">
        <f>DATA!TRX35</f>
        <v>0</v>
      </c>
      <c r="TRV208" s="128">
        <f>DATA!TRY35</f>
        <v>0</v>
      </c>
      <c r="TRW208" s="128">
        <f>DATA!TRZ35</f>
        <v>0</v>
      </c>
      <c r="TRX208" s="128">
        <f>DATA!TSA35</f>
        <v>0</v>
      </c>
      <c r="TRY208" s="128">
        <f>DATA!TSB35</f>
        <v>0</v>
      </c>
      <c r="TRZ208" s="128">
        <f>DATA!TSC35</f>
        <v>0</v>
      </c>
      <c r="TSA208" s="128">
        <f>DATA!TSD35</f>
        <v>0</v>
      </c>
      <c r="TSB208" s="128">
        <f>DATA!TSE35</f>
        <v>0</v>
      </c>
      <c r="TSC208" s="128">
        <f>DATA!TSF35</f>
        <v>0</v>
      </c>
      <c r="TSD208" s="128">
        <f>DATA!TSG35</f>
        <v>0</v>
      </c>
      <c r="TSE208" s="128">
        <f>DATA!TSH35</f>
        <v>0</v>
      </c>
      <c r="TSF208" s="128">
        <f>DATA!TSI35</f>
        <v>0</v>
      </c>
      <c r="TSG208" s="128">
        <f>DATA!TSJ35</f>
        <v>0</v>
      </c>
      <c r="TSH208" s="128">
        <f>DATA!TSK35</f>
        <v>0</v>
      </c>
      <c r="TSI208" s="128">
        <f>DATA!TSL35</f>
        <v>0</v>
      </c>
      <c r="TSJ208" s="128">
        <f>DATA!TSM35</f>
        <v>0</v>
      </c>
      <c r="TSK208" s="128">
        <f>DATA!TSN35</f>
        <v>0</v>
      </c>
      <c r="TSL208" s="128">
        <f>DATA!TSO35</f>
        <v>0</v>
      </c>
      <c r="TSM208" s="128">
        <f>DATA!TSP35</f>
        <v>0</v>
      </c>
      <c r="TSN208" s="128">
        <f>DATA!TSQ35</f>
        <v>0</v>
      </c>
      <c r="TSO208" s="128">
        <f>DATA!TSR35</f>
        <v>0</v>
      </c>
      <c r="TSP208" s="128">
        <f>DATA!TSS35</f>
        <v>0</v>
      </c>
      <c r="TSQ208" s="128">
        <f>DATA!TST35</f>
        <v>0</v>
      </c>
      <c r="TSR208" s="128">
        <f>DATA!TSU35</f>
        <v>0</v>
      </c>
      <c r="TSS208" s="128">
        <f>DATA!TSV35</f>
        <v>0</v>
      </c>
      <c r="TST208" s="128">
        <f>DATA!TSW35</f>
        <v>0</v>
      </c>
      <c r="TSU208" s="128">
        <f>DATA!TSX35</f>
        <v>0</v>
      </c>
      <c r="TSV208" s="128">
        <f>DATA!TSY35</f>
        <v>0</v>
      </c>
      <c r="TSW208" s="128">
        <f>DATA!TSZ35</f>
        <v>0</v>
      </c>
      <c r="TSX208" s="128">
        <f>DATA!TTA35</f>
        <v>0</v>
      </c>
      <c r="TSY208" s="128">
        <f>DATA!TTB35</f>
        <v>0</v>
      </c>
      <c r="TSZ208" s="128">
        <f>DATA!TTC35</f>
        <v>0</v>
      </c>
      <c r="TTA208" s="128">
        <f>DATA!TTD35</f>
        <v>0</v>
      </c>
      <c r="TTB208" s="128">
        <f>DATA!TTE35</f>
        <v>0</v>
      </c>
      <c r="TTC208" s="128">
        <f>DATA!TTF35</f>
        <v>0</v>
      </c>
      <c r="TTD208" s="128">
        <f>DATA!TTG35</f>
        <v>0</v>
      </c>
      <c r="TTE208" s="128">
        <f>DATA!TTH35</f>
        <v>0</v>
      </c>
      <c r="TTF208" s="128">
        <f>DATA!TTI35</f>
        <v>0</v>
      </c>
      <c r="TTG208" s="128">
        <f>DATA!TTJ35</f>
        <v>0</v>
      </c>
      <c r="TTH208" s="128">
        <f>DATA!TTK35</f>
        <v>0</v>
      </c>
      <c r="TTI208" s="128">
        <f>DATA!TTL35</f>
        <v>0</v>
      </c>
      <c r="TTJ208" s="128">
        <f>DATA!TTM35</f>
        <v>0</v>
      </c>
      <c r="TTK208" s="128">
        <f>DATA!TTN35</f>
        <v>0</v>
      </c>
      <c r="TTL208" s="128">
        <f>DATA!TTO35</f>
        <v>0</v>
      </c>
      <c r="TTM208" s="128">
        <f>DATA!TTP35</f>
        <v>0</v>
      </c>
      <c r="TTN208" s="128">
        <f>DATA!TTQ35</f>
        <v>0</v>
      </c>
      <c r="TTO208" s="128">
        <f>DATA!TTR35</f>
        <v>0</v>
      </c>
      <c r="TTP208" s="128">
        <f>DATA!TTS35</f>
        <v>0</v>
      </c>
      <c r="TTQ208" s="128">
        <f>DATA!TTT35</f>
        <v>0</v>
      </c>
      <c r="TTR208" s="128">
        <f>DATA!TTU35</f>
        <v>0</v>
      </c>
      <c r="TTS208" s="128">
        <f>DATA!TTV35</f>
        <v>0</v>
      </c>
      <c r="TTT208" s="128">
        <f>DATA!TTW35</f>
        <v>0</v>
      </c>
      <c r="TTU208" s="128">
        <f>DATA!TTX35</f>
        <v>0</v>
      </c>
      <c r="TTV208" s="128">
        <f>DATA!TTY35</f>
        <v>0</v>
      </c>
      <c r="TTW208" s="128">
        <f>DATA!TTZ35</f>
        <v>0</v>
      </c>
      <c r="TTX208" s="128">
        <f>DATA!TUA35</f>
        <v>0</v>
      </c>
      <c r="TTY208" s="128">
        <f>DATA!TUB35</f>
        <v>0</v>
      </c>
      <c r="TTZ208" s="128">
        <f>DATA!TUC35</f>
        <v>0</v>
      </c>
      <c r="TUA208" s="128">
        <f>DATA!TUD35</f>
        <v>0</v>
      </c>
      <c r="TUB208" s="128">
        <f>DATA!TUE35</f>
        <v>0</v>
      </c>
      <c r="TUC208" s="128">
        <f>DATA!TUF35</f>
        <v>0</v>
      </c>
      <c r="TUD208" s="128">
        <f>DATA!TUG35</f>
        <v>0</v>
      </c>
      <c r="TUE208" s="128">
        <f>DATA!TUH35</f>
        <v>0</v>
      </c>
      <c r="TUF208" s="128">
        <f>DATA!TUI35</f>
        <v>0</v>
      </c>
      <c r="TUG208" s="128">
        <f>DATA!TUJ35</f>
        <v>0</v>
      </c>
      <c r="TUH208" s="128">
        <f>DATA!TUK35</f>
        <v>0</v>
      </c>
      <c r="TUI208" s="128">
        <f>DATA!TUL35</f>
        <v>0</v>
      </c>
      <c r="TUJ208" s="128">
        <f>DATA!TUM35</f>
        <v>0</v>
      </c>
      <c r="TUK208" s="128">
        <f>DATA!TUN35</f>
        <v>0</v>
      </c>
      <c r="TUL208" s="128">
        <f>DATA!TUO35</f>
        <v>0</v>
      </c>
      <c r="TUM208" s="128">
        <f>DATA!TUP35</f>
        <v>0</v>
      </c>
      <c r="TUN208" s="128">
        <f>DATA!TUQ35</f>
        <v>0</v>
      </c>
      <c r="TUO208" s="128">
        <f>DATA!TUR35</f>
        <v>0</v>
      </c>
      <c r="TUP208" s="128">
        <f>DATA!TUS35</f>
        <v>0</v>
      </c>
      <c r="TUQ208" s="128">
        <f>DATA!TUT35</f>
        <v>0</v>
      </c>
      <c r="TUR208" s="128">
        <f>DATA!TUU35</f>
        <v>0</v>
      </c>
      <c r="TUS208" s="128">
        <f>DATA!TUV35</f>
        <v>0</v>
      </c>
      <c r="TUT208" s="128">
        <f>DATA!TUW35</f>
        <v>0</v>
      </c>
      <c r="TUU208" s="128">
        <f>DATA!TUX35</f>
        <v>0</v>
      </c>
      <c r="TUV208" s="128">
        <f>DATA!TUY35</f>
        <v>0</v>
      </c>
      <c r="TUW208" s="128">
        <f>DATA!TUZ35</f>
        <v>0</v>
      </c>
      <c r="TUX208" s="128">
        <f>DATA!TVA35</f>
        <v>0</v>
      </c>
      <c r="TUY208" s="128">
        <f>DATA!TVB35</f>
        <v>0</v>
      </c>
      <c r="TUZ208" s="128">
        <f>DATA!TVC35</f>
        <v>0</v>
      </c>
      <c r="TVA208" s="128">
        <f>DATA!TVD35</f>
        <v>0</v>
      </c>
      <c r="TVB208" s="128">
        <f>DATA!TVE35</f>
        <v>0</v>
      </c>
      <c r="TVC208" s="128">
        <f>DATA!TVF35</f>
        <v>0</v>
      </c>
      <c r="TVD208" s="128">
        <f>DATA!TVG35</f>
        <v>0</v>
      </c>
      <c r="TVE208" s="128">
        <f>DATA!TVH35</f>
        <v>0</v>
      </c>
      <c r="TVF208" s="128">
        <f>DATA!TVI35</f>
        <v>0</v>
      </c>
      <c r="TVG208" s="128">
        <f>DATA!TVJ35</f>
        <v>0</v>
      </c>
      <c r="TVH208" s="128">
        <f>DATA!TVK35</f>
        <v>0</v>
      </c>
      <c r="TVI208" s="128">
        <f>DATA!TVL35</f>
        <v>0</v>
      </c>
      <c r="TVJ208" s="128">
        <f>DATA!TVM35</f>
        <v>0</v>
      </c>
      <c r="TVK208" s="128">
        <f>DATA!TVN35</f>
        <v>0</v>
      </c>
      <c r="TVL208" s="128">
        <f>DATA!TVO35</f>
        <v>0</v>
      </c>
      <c r="TVM208" s="128">
        <f>DATA!TVP35</f>
        <v>0</v>
      </c>
      <c r="TVN208" s="128">
        <f>DATA!TVQ35</f>
        <v>0</v>
      </c>
      <c r="TVO208" s="128">
        <f>DATA!TVR35</f>
        <v>0</v>
      </c>
      <c r="TVP208" s="128">
        <f>DATA!TVS35</f>
        <v>0</v>
      </c>
      <c r="TVQ208" s="128">
        <f>DATA!TVT35</f>
        <v>0</v>
      </c>
      <c r="TVR208" s="128">
        <f>DATA!TVU35</f>
        <v>0</v>
      </c>
      <c r="TVS208" s="128">
        <f>DATA!TVV35</f>
        <v>0</v>
      </c>
      <c r="TVT208" s="128">
        <f>DATA!TVW35</f>
        <v>0</v>
      </c>
      <c r="TVU208" s="128">
        <f>DATA!TVX35</f>
        <v>0</v>
      </c>
      <c r="TVV208" s="128">
        <f>DATA!TVY35</f>
        <v>0</v>
      </c>
      <c r="TVW208" s="128">
        <f>DATA!TVZ35</f>
        <v>0</v>
      </c>
      <c r="TVX208" s="128">
        <f>DATA!TWA35</f>
        <v>0</v>
      </c>
      <c r="TVY208" s="128">
        <f>DATA!TWB35</f>
        <v>0</v>
      </c>
      <c r="TVZ208" s="128">
        <f>DATA!TWC35</f>
        <v>0</v>
      </c>
      <c r="TWA208" s="128">
        <f>DATA!TWD35</f>
        <v>0</v>
      </c>
      <c r="TWB208" s="128">
        <f>DATA!TWE35</f>
        <v>0</v>
      </c>
      <c r="TWC208" s="128">
        <f>DATA!TWF35</f>
        <v>0</v>
      </c>
      <c r="TWD208" s="128">
        <f>DATA!TWG35</f>
        <v>0</v>
      </c>
      <c r="TWE208" s="128">
        <f>DATA!TWH35</f>
        <v>0</v>
      </c>
      <c r="TWF208" s="128">
        <f>DATA!TWI35</f>
        <v>0</v>
      </c>
      <c r="TWG208" s="128">
        <f>DATA!TWJ35</f>
        <v>0</v>
      </c>
      <c r="TWH208" s="128">
        <f>DATA!TWK35</f>
        <v>0</v>
      </c>
      <c r="TWI208" s="128">
        <f>DATA!TWL35</f>
        <v>0</v>
      </c>
      <c r="TWJ208" s="128">
        <f>DATA!TWM35</f>
        <v>0</v>
      </c>
      <c r="TWK208" s="128">
        <f>DATA!TWN35</f>
        <v>0</v>
      </c>
      <c r="TWL208" s="128">
        <f>DATA!TWO35</f>
        <v>0</v>
      </c>
      <c r="TWM208" s="128">
        <f>DATA!TWP35</f>
        <v>0</v>
      </c>
      <c r="TWN208" s="128">
        <f>DATA!TWQ35</f>
        <v>0</v>
      </c>
      <c r="TWO208" s="128">
        <f>DATA!TWR35</f>
        <v>0</v>
      </c>
      <c r="TWP208" s="128">
        <f>DATA!TWS35</f>
        <v>0</v>
      </c>
      <c r="TWQ208" s="128">
        <f>DATA!TWT35</f>
        <v>0</v>
      </c>
      <c r="TWR208" s="128">
        <f>DATA!TWU35</f>
        <v>0</v>
      </c>
      <c r="TWS208" s="128">
        <f>DATA!TWV35</f>
        <v>0</v>
      </c>
      <c r="TWT208" s="128">
        <f>DATA!TWW35</f>
        <v>0</v>
      </c>
      <c r="TWU208" s="128">
        <f>DATA!TWX35</f>
        <v>0</v>
      </c>
      <c r="TWV208" s="128">
        <f>DATA!TWY35</f>
        <v>0</v>
      </c>
      <c r="TWW208" s="128">
        <f>DATA!TWZ35</f>
        <v>0</v>
      </c>
      <c r="TWX208" s="128">
        <f>DATA!TXA35</f>
        <v>0</v>
      </c>
      <c r="TWY208" s="128">
        <f>DATA!TXB35</f>
        <v>0</v>
      </c>
      <c r="TWZ208" s="128">
        <f>DATA!TXC35</f>
        <v>0</v>
      </c>
      <c r="TXA208" s="128">
        <f>DATA!TXD35</f>
        <v>0</v>
      </c>
      <c r="TXB208" s="128">
        <f>DATA!TXE35</f>
        <v>0</v>
      </c>
      <c r="TXC208" s="128">
        <f>DATA!TXF35</f>
        <v>0</v>
      </c>
      <c r="TXD208" s="128">
        <f>DATA!TXG35</f>
        <v>0</v>
      </c>
      <c r="TXE208" s="128">
        <f>DATA!TXH35</f>
        <v>0</v>
      </c>
      <c r="TXF208" s="128">
        <f>DATA!TXI35</f>
        <v>0</v>
      </c>
      <c r="TXG208" s="128">
        <f>DATA!TXJ35</f>
        <v>0</v>
      </c>
      <c r="TXH208" s="128">
        <f>DATA!TXK35</f>
        <v>0</v>
      </c>
      <c r="TXI208" s="128">
        <f>DATA!TXL35</f>
        <v>0</v>
      </c>
      <c r="TXJ208" s="128">
        <f>DATA!TXM35</f>
        <v>0</v>
      </c>
      <c r="TXK208" s="128">
        <f>DATA!TXN35</f>
        <v>0</v>
      </c>
      <c r="TXL208" s="128">
        <f>DATA!TXO35</f>
        <v>0</v>
      </c>
      <c r="TXM208" s="128">
        <f>DATA!TXP35</f>
        <v>0</v>
      </c>
      <c r="TXN208" s="128">
        <f>DATA!TXQ35</f>
        <v>0</v>
      </c>
      <c r="TXO208" s="128">
        <f>DATA!TXR35</f>
        <v>0</v>
      </c>
      <c r="TXP208" s="128">
        <f>DATA!TXS35</f>
        <v>0</v>
      </c>
      <c r="TXQ208" s="128">
        <f>DATA!TXT35</f>
        <v>0</v>
      </c>
      <c r="TXR208" s="128">
        <f>DATA!TXU35</f>
        <v>0</v>
      </c>
      <c r="TXS208" s="128">
        <f>DATA!TXV35</f>
        <v>0</v>
      </c>
      <c r="TXT208" s="128">
        <f>DATA!TXW35</f>
        <v>0</v>
      </c>
      <c r="TXU208" s="128">
        <f>DATA!TXX35</f>
        <v>0</v>
      </c>
      <c r="TXV208" s="128">
        <f>DATA!TXY35</f>
        <v>0</v>
      </c>
      <c r="TXW208" s="128">
        <f>DATA!TXZ35</f>
        <v>0</v>
      </c>
      <c r="TXX208" s="128">
        <f>DATA!TYA35</f>
        <v>0</v>
      </c>
      <c r="TXY208" s="128">
        <f>DATA!TYB35</f>
        <v>0</v>
      </c>
      <c r="TXZ208" s="128">
        <f>DATA!TYC35</f>
        <v>0</v>
      </c>
      <c r="TYA208" s="128">
        <f>DATA!TYD35</f>
        <v>0</v>
      </c>
      <c r="TYB208" s="128">
        <f>DATA!TYE35</f>
        <v>0</v>
      </c>
      <c r="TYC208" s="128">
        <f>DATA!TYF35</f>
        <v>0</v>
      </c>
      <c r="TYD208" s="128">
        <f>DATA!TYG35</f>
        <v>0</v>
      </c>
      <c r="TYE208" s="128">
        <f>DATA!TYH35</f>
        <v>0</v>
      </c>
      <c r="TYF208" s="128">
        <f>DATA!TYI35</f>
        <v>0</v>
      </c>
      <c r="TYG208" s="128">
        <f>DATA!TYJ35</f>
        <v>0</v>
      </c>
      <c r="TYH208" s="128">
        <f>DATA!TYK35</f>
        <v>0</v>
      </c>
      <c r="TYI208" s="128">
        <f>DATA!TYL35</f>
        <v>0</v>
      </c>
      <c r="TYJ208" s="128">
        <f>DATA!TYM35</f>
        <v>0</v>
      </c>
      <c r="TYK208" s="128">
        <f>DATA!TYN35</f>
        <v>0</v>
      </c>
      <c r="TYL208" s="128">
        <f>DATA!TYO35</f>
        <v>0</v>
      </c>
      <c r="TYM208" s="128">
        <f>DATA!TYP35</f>
        <v>0</v>
      </c>
      <c r="TYN208" s="128">
        <f>DATA!TYQ35</f>
        <v>0</v>
      </c>
      <c r="TYO208" s="128">
        <f>DATA!TYR35</f>
        <v>0</v>
      </c>
      <c r="TYP208" s="128">
        <f>DATA!TYS35</f>
        <v>0</v>
      </c>
      <c r="TYQ208" s="128">
        <f>DATA!TYT35</f>
        <v>0</v>
      </c>
      <c r="TYR208" s="128">
        <f>DATA!TYU35</f>
        <v>0</v>
      </c>
      <c r="TYS208" s="128">
        <f>DATA!TYV35</f>
        <v>0</v>
      </c>
      <c r="TYT208" s="128">
        <f>DATA!TYW35</f>
        <v>0</v>
      </c>
      <c r="TYU208" s="128">
        <f>DATA!TYX35</f>
        <v>0</v>
      </c>
      <c r="TYV208" s="128">
        <f>DATA!TYY35</f>
        <v>0</v>
      </c>
      <c r="TYW208" s="128">
        <f>DATA!TYZ35</f>
        <v>0</v>
      </c>
      <c r="TYX208" s="128">
        <f>DATA!TZA35</f>
        <v>0</v>
      </c>
      <c r="TYY208" s="128">
        <f>DATA!TZB35</f>
        <v>0</v>
      </c>
      <c r="TYZ208" s="128">
        <f>DATA!TZC35</f>
        <v>0</v>
      </c>
      <c r="TZA208" s="128">
        <f>DATA!TZD35</f>
        <v>0</v>
      </c>
      <c r="TZB208" s="128">
        <f>DATA!TZE35</f>
        <v>0</v>
      </c>
      <c r="TZC208" s="128">
        <f>DATA!TZF35</f>
        <v>0</v>
      </c>
      <c r="TZD208" s="128">
        <f>DATA!TZG35</f>
        <v>0</v>
      </c>
      <c r="TZE208" s="128">
        <f>DATA!TZH35</f>
        <v>0</v>
      </c>
      <c r="TZF208" s="128">
        <f>DATA!TZI35</f>
        <v>0</v>
      </c>
      <c r="TZG208" s="128">
        <f>DATA!TZJ35</f>
        <v>0</v>
      </c>
      <c r="TZH208" s="128">
        <f>DATA!TZK35</f>
        <v>0</v>
      </c>
      <c r="TZI208" s="128">
        <f>DATA!TZL35</f>
        <v>0</v>
      </c>
      <c r="TZJ208" s="128">
        <f>DATA!TZM35</f>
        <v>0</v>
      </c>
      <c r="TZK208" s="128">
        <f>DATA!TZN35</f>
        <v>0</v>
      </c>
      <c r="TZL208" s="128">
        <f>DATA!TZO35</f>
        <v>0</v>
      </c>
      <c r="TZM208" s="128">
        <f>DATA!TZP35</f>
        <v>0</v>
      </c>
      <c r="TZN208" s="128">
        <f>DATA!TZQ35</f>
        <v>0</v>
      </c>
      <c r="TZO208" s="128">
        <f>DATA!TZR35</f>
        <v>0</v>
      </c>
      <c r="TZP208" s="128">
        <f>DATA!TZS35</f>
        <v>0</v>
      </c>
      <c r="TZQ208" s="128">
        <f>DATA!TZT35</f>
        <v>0</v>
      </c>
      <c r="TZR208" s="128">
        <f>DATA!TZU35</f>
        <v>0</v>
      </c>
      <c r="TZS208" s="128">
        <f>DATA!TZV35</f>
        <v>0</v>
      </c>
      <c r="TZT208" s="128">
        <f>DATA!TZW35</f>
        <v>0</v>
      </c>
      <c r="TZU208" s="128">
        <f>DATA!TZX35</f>
        <v>0</v>
      </c>
      <c r="TZV208" s="128">
        <f>DATA!TZY35</f>
        <v>0</v>
      </c>
      <c r="TZW208" s="128">
        <f>DATA!TZZ35</f>
        <v>0</v>
      </c>
      <c r="TZX208" s="128">
        <f>DATA!UAA35</f>
        <v>0</v>
      </c>
      <c r="TZY208" s="128">
        <f>DATA!UAB35</f>
        <v>0</v>
      </c>
      <c r="TZZ208" s="128">
        <f>DATA!UAC35</f>
        <v>0</v>
      </c>
      <c r="UAA208" s="128">
        <f>DATA!UAD35</f>
        <v>0</v>
      </c>
      <c r="UAB208" s="128">
        <f>DATA!UAE35</f>
        <v>0</v>
      </c>
      <c r="UAC208" s="128">
        <f>DATA!UAF35</f>
        <v>0</v>
      </c>
      <c r="UAD208" s="128">
        <f>DATA!UAG35</f>
        <v>0</v>
      </c>
      <c r="UAE208" s="128">
        <f>DATA!UAH35</f>
        <v>0</v>
      </c>
      <c r="UAF208" s="128">
        <f>DATA!UAI35</f>
        <v>0</v>
      </c>
      <c r="UAG208" s="128">
        <f>DATA!UAJ35</f>
        <v>0</v>
      </c>
      <c r="UAH208" s="128">
        <f>DATA!UAK35</f>
        <v>0</v>
      </c>
      <c r="UAI208" s="128">
        <f>DATA!UAL35</f>
        <v>0</v>
      </c>
      <c r="UAJ208" s="128">
        <f>DATA!UAM35</f>
        <v>0</v>
      </c>
      <c r="UAK208" s="128">
        <f>DATA!UAN35</f>
        <v>0</v>
      </c>
      <c r="UAL208" s="128">
        <f>DATA!UAO35</f>
        <v>0</v>
      </c>
      <c r="UAM208" s="128">
        <f>DATA!UAP35</f>
        <v>0</v>
      </c>
      <c r="UAN208" s="128">
        <f>DATA!UAQ35</f>
        <v>0</v>
      </c>
      <c r="UAO208" s="128">
        <f>DATA!UAR35</f>
        <v>0</v>
      </c>
      <c r="UAP208" s="128">
        <f>DATA!UAS35</f>
        <v>0</v>
      </c>
      <c r="UAQ208" s="128">
        <f>DATA!UAT35</f>
        <v>0</v>
      </c>
      <c r="UAR208" s="128">
        <f>DATA!UAU35</f>
        <v>0</v>
      </c>
      <c r="UAS208" s="128">
        <f>DATA!UAV35</f>
        <v>0</v>
      </c>
      <c r="UAT208" s="128">
        <f>DATA!UAW35</f>
        <v>0</v>
      </c>
      <c r="UAU208" s="128">
        <f>DATA!UAX35</f>
        <v>0</v>
      </c>
      <c r="UAV208" s="128">
        <f>DATA!UAY35</f>
        <v>0</v>
      </c>
      <c r="UAW208" s="128">
        <f>DATA!UAZ35</f>
        <v>0</v>
      </c>
      <c r="UAX208" s="128">
        <f>DATA!UBA35</f>
        <v>0</v>
      </c>
      <c r="UAY208" s="128">
        <f>DATA!UBB35</f>
        <v>0</v>
      </c>
      <c r="UAZ208" s="128">
        <f>DATA!UBC35</f>
        <v>0</v>
      </c>
      <c r="UBA208" s="128">
        <f>DATA!UBD35</f>
        <v>0</v>
      </c>
      <c r="UBB208" s="128">
        <f>DATA!UBE35</f>
        <v>0</v>
      </c>
      <c r="UBC208" s="128">
        <f>DATA!UBF35</f>
        <v>0</v>
      </c>
      <c r="UBD208" s="128">
        <f>DATA!UBG35</f>
        <v>0</v>
      </c>
      <c r="UBE208" s="128">
        <f>DATA!UBH35</f>
        <v>0</v>
      </c>
      <c r="UBF208" s="128">
        <f>DATA!UBI35</f>
        <v>0</v>
      </c>
      <c r="UBG208" s="128">
        <f>DATA!UBJ35</f>
        <v>0</v>
      </c>
      <c r="UBH208" s="128">
        <f>DATA!UBK35</f>
        <v>0</v>
      </c>
      <c r="UBI208" s="128">
        <f>DATA!UBL35</f>
        <v>0</v>
      </c>
      <c r="UBJ208" s="128">
        <f>DATA!UBM35</f>
        <v>0</v>
      </c>
      <c r="UBK208" s="128">
        <f>DATA!UBN35</f>
        <v>0</v>
      </c>
      <c r="UBL208" s="128">
        <f>DATA!UBO35</f>
        <v>0</v>
      </c>
      <c r="UBM208" s="128">
        <f>DATA!UBP35</f>
        <v>0</v>
      </c>
      <c r="UBN208" s="128">
        <f>DATA!UBQ35</f>
        <v>0</v>
      </c>
      <c r="UBO208" s="128">
        <f>DATA!UBR35</f>
        <v>0</v>
      </c>
      <c r="UBP208" s="128">
        <f>DATA!UBS35</f>
        <v>0</v>
      </c>
      <c r="UBQ208" s="128">
        <f>DATA!UBT35</f>
        <v>0</v>
      </c>
      <c r="UBR208" s="128">
        <f>DATA!UBU35</f>
        <v>0</v>
      </c>
      <c r="UBS208" s="128">
        <f>DATA!UBV35</f>
        <v>0</v>
      </c>
      <c r="UBT208" s="128">
        <f>DATA!UBW35</f>
        <v>0</v>
      </c>
      <c r="UBU208" s="128">
        <f>DATA!UBX35</f>
        <v>0</v>
      </c>
      <c r="UBV208" s="128">
        <f>DATA!UBY35</f>
        <v>0</v>
      </c>
      <c r="UBW208" s="128">
        <f>DATA!UBZ35</f>
        <v>0</v>
      </c>
      <c r="UBX208" s="128">
        <f>DATA!UCA35</f>
        <v>0</v>
      </c>
      <c r="UBY208" s="128">
        <f>DATA!UCB35</f>
        <v>0</v>
      </c>
      <c r="UBZ208" s="128">
        <f>DATA!UCC35</f>
        <v>0</v>
      </c>
      <c r="UCA208" s="128">
        <f>DATA!UCD35</f>
        <v>0</v>
      </c>
      <c r="UCB208" s="128">
        <f>DATA!UCE35</f>
        <v>0</v>
      </c>
      <c r="UCC208" s="128">
        <f>DATA!UCF35</f>
        <v>0</v>
      </c>
      <c r="UCD208" s="128">
        <f>DATA!UCG35</f>
        <v>0</v>
      </c>
      <c r="UCE208" s="128">
        <f>DATA!UCH35</f>
        <v>0</v>
      </c>
      <c r="UCF208" s="128">
        <f>DATA!UCI35</f>
        <v>0</v>
      </c>
      <c r="UCG208" s="128">
        <f>DATA!UCJ35</f>
        <v>0</v>
      </c>
      <c r="UCH208" s="128">
        <f>DATA!UCK35</f>
        <v>0</v>
      </c>
      <c r="UCI208" s="128">
        <f>DATA!UCL35</f>
        <v>0</v>
      </c>
      <c r="UCJ208" s="128">
        <f>DATA!UCM35</f>
        <v>0</v>
      </c>
      <c r="UCK208" s="128">
        <f>DATA!UCN35</f>
        <v>0</v>
      </c>
      <c r="UCL208" s="128">
        <f>DATA!UCO35</f>
        <v>0</v>
      </c>
      <c r="UCM208" s="128">
        <f>DATA!UCP35</f>
        <v>0</v>
      </c>
      <c r="UCN208" s="128">
        <f>DATA!UCQ35</f>
        <v>0</v>
      </c>
      <c r="UCO208" s="128">
        <f>DATA!UCR35</f>
        <v>0</v>
      </c>
      <c r="UCP208" s="128">
        <f>DATA!UCS35</f>
        <v>0</v>
      </c>
      <c r="UCQ208" s="128">
        <f>DATA!UCT35</f>
        <v>0</v>
      </c>
      <c r="UCR208" s="128">
        <f>DATA!UCU35</f>
        <v>0</v>
      </c>
      <c r="UCS208" s="128">
        <f>DATA!UCV35</f>
        <v>0</v>
      </c>
      <c r="UCT208" s="128">
        <f>DATA!UCW35</f>
        <v>0</v>
      </c>
      <c r="UCU208" s="128">
        <f>DATA!UCX35</f>
        <v>0</v>
      </c>
      <c r="UCV208" s="128">
        <f>DATA!UCY35</f>
        <v>0</v>
      </c>
      <c r="UCW208" s="128">
        <f>DATA!UCZ35</f>
        <v>0</v>
      </c>
      <c r="UCX208" s="128">
        <f>DATA!UDA35</f>
        <v>0</v>
      </c>
      <c r="UCY208" s="128">
        <f>DATA!UDB35</f>
        <v>0</v>
      </c>
      <c r="UCZ208" s="128">
        <f>DATA!UDC35</f>
        <v>0</v>
      </c>
      <c r="UDA208" s="128">
        <f>DATA!UDD35</f>
        <v>0</v>
      </c>
      <c r="UDB208" s="128">
        <f>DATA!UDE35</f>
        <v>0</v>
      </c>
      <c r="UDC208" s="128">
        <f>DATA!UDF35</f>
        <v>0</v>
      </c>
      <c r="UDD208" s="128">
        <f>DATA!UDG35</f>
        <v>0</v>
      </c>
      <c r="UDE208" s="128">
        <f>DATA!UDH35</f>
        <v>0</v>
      </c>
      <c r="UDF208" s="128">
        <f>DATA!UDI35</f>
        <v>0</v>
      </c>
      <c r="UDG208" s="128">
        <f>DATA!UDJ35</f>
        <v>0</v>
      </c>
      <c r="UDH208" s="128">
        <f>DATA!UDK35</f>
        <v>0</v>
      </c>
      <c r="UDI208" s="128">
        <f>DATA!UDL35</f>
        <v>0</v>
      </c>
      <c r="UDJ208" s="128">
        <f>DATA!UDM35</f>
        <v>0</v>
      </c>
      <c r="UDK208" s="128">
        <f>DATA!UDN35</f>
        <v>0</v>
      </c>
      <c r="UDL208" s="128">
        <f>DATA!UDO35</f>
        <v>0</v>
      </c>
      <c r="UDM208" s="128">
        <f>DATA!UDP35</f>
        <v>0</v>
      </c>
      <c r="UDN208" s="128">
        <f>DATA!UDQ35</f>
        <v>0</v>
      </c>
      <c r="UDO208" s="128">
        <f>DATA!UDR35</f>
        <v>0</v>
      </c>
      <c r="UDP208" s="128">
        <f>DATA!UDS35</f>
        <v>0</v>
      </c>
      <c r="UDQ208" s="128">
        <f>DATA!UDT35</f>
        <v>0</v>
      </c>
      <c r="UDR208" s="128">
        <f>DATA!UDU35</f>
        <v>0</v>
      </c>
      <c r="UDS208" s="128">
        <f>DATA!UDV35</f>
        <v>0</v>
      </c>
      <c r="UDT208" s="128">
        <f>DATA!UDW35</f>
        <v>0</v>
      </c>
      <c r="UDU208" s="128">
        <f>DATA!UDX35</f>
        <v>0</v>
      </c>
      <c r="UDV208" s="128">
        <f>DATA!UDY35</f>
        <v>0</v>
      </c>
      <c r="UDW208" s="128">
        <f>DATA!UDZ35</f>
        <v>0</v>
      </c>
      <c r="UDX208" s="128">
        <f>DATA!UEA35</f>
        <v>0</v>
      </c>
      <c r="UDY208" s="128">
        <f>DATA!UEB35</f>
        <v>0</v>
      </c>
      <c r="UDZ208" s="128">
        <f>DATA!UEC35</f>
        <v>0</v>
      </c>
      <c r="UEA208" s="128">
        <f>DATA!UED35</f>
        <v>0</v>
      </c>
      <c r="UEB208" s="128">
        <f>DATA!UEE35</f>
        <v>0</v>
      </c>
      <c r="UEC208" s="128">
        <f>DATA!UEF35</f>
        <v>0</v>
      </c>
      <c r="UED208" s="128">
        <f>DATA!UEG35</f>
        <v>0</v>
      </c>
      <c r="UEE208" s="128">
        <f>DATA!UEH35</f>
        <v>0</v>
      </c>
      <c r="UEF208" s="128">
        <f>DATA!UEI35</f>
        <v>0</v>
      </c>
      <c r="UEG208" s="128">
        <f>DATA!UEJ35</f>
        <v>0</v>
      </c>
      <c r="UEH208" s="128">
        <f>DATA!UEK35</f>
        <v>0</v>
      </c>
      <c r="UEI208" s="128">
        <f>DATA!UEL35</f>
        <v>0</v>
      </c>
      <c r="UEJ208" s="128">
        <f>DATA!UEM35</f>
        <v>0</v>
      </c>
      <c r="UEK208" s="128">
        <f>DATA!UEN35</f>
        <v>0</v>
      </c>
      <c r="UEL208" s="128">
        <f>DATA!UEO35</f>
        <v>0</v>
      </c>
      <c r="UEM208" s="128">
        <f>DATA!UEP35</f>
        <v>0</v>
      </c>
      <c r="UEN208" s="128">
        <f>DATA!UEQ35</f>
        <v>0</v>
      </c>
      <c r="UEO208" s="128">
        <f>DATA!UER35</f>
        <v>0</v>
      </c>
      <c r="UEP208" s="128">
        <f>DATA!UES35</f>
        <v>0</v>
      </c>
      <c r="UEQ208" s="128">
        <f>DATA!UET35</f>
        <v>0</v>
      </c>
      <c r="UER208" s="128">
        <f>DATA!UEU35</f>
        <v>0</v>
      </c>
      <c r="UES208" s="128">
        <f>DATA!UEV35</f>
        <v>0</v>
      </c>
      <c r="UET208" s="128">
        <f>DATA!UEW35</f>
        <v>0</v>
      </c>
      <c r="UEU208" s="128">
        <f>DATA!UEX35</f>
        <v>0</v>
      </c>
      <c r="UEV208" s="128">
        <f>DATA!UEY35</f>
        <v>0</v>
      </c>
      <c r="UEW208" s="128">
        <f>DATA!UEZ35</f>
        <v>0</v>
      </c>
      <c r="UEX208" s="128">
        <f>DATA!UFA35</f>
        <v>0</v>
      </c>
      <c r="UEY208" s="128">
        <f>DATA!UFB35</f>
        <v>0</v>
      </c>
      <c r="UEZ208" s="128">
        <f>DATA!UFC35</f>
        <v>0</v>
      </c>
      <c r="UFA208" s="128">
        <f>DATA!UFD35</f>
        <v>0</v>
      </c>
      <c r="UFB208" s="128">
        <f>DATA!UFE35</f>
        <v>0</v>
      </c>
      <c r="UFC208" s="128">
        <f>DATA!UFF35</f>
        <v>0</v>
      </c>
      <c r="UFD208" s="128">
        <f>DATA!UFG35</f>
        <v>0</v>
      </c>
      <c r="UFE208" s="128">
        <f>DATA!UFH35</f>
        <v>0</v>
      </c>
      <c r="UFF208" s="128">
        <f>DATA!UFI35</f>
        <v>0</v>
      </c>
      <c r="UFG208" s="128">
        <f>DATA!UFJ35</f>
        <v>0</v>
      </c>
      <c r="UFH208" s="128">
        <f>DATA!UFK35</f>
        <v>0</v>
      </c>
      <c r="UFI208" s="128">
        <f>DATA!UFL35</f>
        <v>0</v>
      </c>
      <c r="UFJ208" s="128">
        <f>DATA!UFM35</f>
        <v>0</v>
      </c>
      <c r="UFK208" s="128">
        <f>DATA!UFN35</f>
        <v>0</v>
      </c>
      <c r="UFL208" s="128">
        <f>DATA!UFO35</f>
        <v>0</v>
      </c>
      <c r="UFM208" s="128">
        <f>DATA!UFP35</f>
        <v>0</v>
      </c>
      <c r="UFN208" s="128">
        <f>DATA!UFQ35</f>
        <v>0</v>
      </c>
      <c r="UFO208" s="128">
        <f>DATA!UFR35</f>
        <v>0</v>
      </c>
      <c r="UFP208" s="128">
        <f>DATA!UFS35</f>
        <v>0</v>
      </c>
      <c r="UFQ208" s="128">
        <f>DATA!UFT35</f>
        <v>0</v>
      </c>
      <c r="UFR208" s="128">
        <f>DATA!UFU35</f>
        <v>0</v>
      </c>
      <c r="UFS208" s="128">
        <f>DATA!UFV35</f>
        <v>0</v>
      </c>
      <c r="UFT208" s="128">
        <f>DATA!UFW35</f>
        <v>0</v>
      </c>
      <c r="UFU208" s="128">
        <f>DATA!UFX35</f>
        <v>0</v>
      </c>
      <c r="UFV208" s="128">
        <f>DATA!UFY35</f>
        <v>0</v>
      </c>
      <c r="UFW208" s="128">
        <f>DATA!UFZ35</f>
        <v>0</v>
      </c>
      <c r="UFX208" s="128">
        <f>DATA!UGA35</f>
        <v>0</v>
      </c>
      <c r="UFY208" s="128">
        <f>DATA!UGB35</f>
        <v>0</v>
      </c>
      <c r="UFZ208" s="128">
        <f>DATA!UGC35</f>
        <v>0</v>
      </c>
      <c r="UGA208" s="128">
        <f>DATA!UGD35</f>
        <v>0</v>
      </c>
      <c r="UGB208" s="128">
        <f>DATA!UGE35</f>
        <v>0</v>
      </c>
      <c r="UGC208" s="128">
        <f>DATA!UGF35</f>
        <v>0</v>
      </c>
      <c r="UGD208" s="128">
        <f>DATA!UGG35</f>
        <v>0</v>
      </c>
      <c r="UGE208" s="128">
        <f>DATA!UGH35</f>
        <v>0</v>
      </c>
      <c r="UGF208" s="128">
        <f>DATA!UGI35</f>
        <v>0</v>
      </c>
      <c r="UGG208" s="128">
        <f>DATA!UGJ35</f>
        <v>0</v>
      </c>
      <c r="UGH208" s="128">
        <f>DATA!UGK35</f>
        <v>0</v>
      </c>
      <c r="UGI208" s="128">
        <f>DATA!UGL35</f>
        <v>0</v>
      </c>
      <c r="UGJ208" s="128">
        <f>DATA!UGM35</f>
        <v>0</v>
      </c>
      <c r="UGK208" s="128">
        <f>DATA!UGN35</f>
        <v>0</v>
      </c>
      <c r="UGL208" s="128">
        <f>DATA!UGO35</f>
        <v>0</v>
      </c>
      <c r="UGM208" s="128">
        <f>DATA!UGP35</f>
        <v>0</v>
      </c>
      <c r="UGN208" s="128">
        <f>DATA!UGQ35</f>
        <v>0</v>
      </c>
      <c r="UGO208" s="128">
        <f>DATA!UGR35</f>
        <v>0</v>
      </c>
      <c r="UGP208" s="128">
        <f>DATA!UGS35</f>
        <v>0</v>
      </c>
      <c r="UGQ208" s="128">
        <f>DATA!UGT35</f>
        <v>0</v>
      </c>
      <c r="UGR208" s="128">
        <f>DATA!UGU35</f>
        <v>0</v>
      </c>
      <c r="UGS208" s="128">
        <f>DATA!UGV35</f>
        <v>0</v>
      </c>
      <c r="UGT208" s="128">
        <f>DATA!UGW35</f>
        <v>0</v>
      </c>
      <c r="UGU208" s="128">
        <f>DATA!UGX35</f>
        <v>0</v>
      </c>
      <c r="UGV208" s="128">
        <f>DATA!UGY35</f>
        <v>0</v>
      </c>
      <c r="UGW208" s="128">
        <f>DATA!UGZ35</f>
        <v>0</v>
      </c>
      <c r="UGX208" s="128">
        <f>DATA!UHA35</f>
        <v>0</v>
      </c>
      <c r="UGY208" s="128">
        <f>DATA!UHB35</f>
        <v>0</v>
      </c>
      <c r="UGZ208" s="128">
        <f>DATA!UHC35</f>
        <v>0</v>
      </c>
      <c r="UHA208" s="128">
        <f>DATA!UHD35</f>
        <v>0</v>
      </c>
      <c r="UHB208" s="128">
        <f>DATA!UHE35</f>
        <v>0</v>
      </c>
      <c r="UHC208" s="128">
        <f>DATA!UHF35</f>
        <v>0</v>
      </c>
      <c r="UHD208" s="128">
        <f>DATA!UHG35</f>
        <v>0</v>
      </c>
      <c r="UHE208" s="128">
        <f>DATA!UHH35</f>
        <v>0</v>
      </c>
      <c r="UHF208" s="128">
        <f>DATA!UHI35</f>
        <v>0</v>
      </c>
      <c r="UHG208" s="128">
        <f>DATA!UHJ35</f>
        <v>0</v>
      </c>
      <c r="UHH208" s="128">
        <f>DATA!UHK35</f>
        <v>0</v>
      </c>
      <c r="UHI208" s="128">
        <f>DATA!UHL35</f>
        <v>0</v>
      </c>
      <c r="UHJ208" s="128">
        <f>DATA!UHM35</f>
        <v>0</v>
      </c>
      <c r="UHK208" s="128">
        <f>DATA!UHN35</f>
        <v>0</v>
      </c>
      <c r="UHL208" s="128">
        <f>DATA!UHO35</f>
        <v>0</v>
      </c>
      <c r="UHM208" s="128">
        <f>DATA!UHP35</f>
        <v>0</v>
      </c>
      <c r="UHN208" s="128">
        <f>DATA!UHQ35</f>
        <v>0</v>
      </c>
      <c r="UHO208" s="128">
        <f>DATA!UHR35</f>
        <v>0</v>
      </c>
      <c r="UHP208" s="128">
        <f>DATA!UHS35</f>
        <v>0</v>
      </c>
      <c r="UHQ208" s="128">
        <f>DATA!UHT35</f>
        <v>0</v>
      </c>
      <c r="UHR208" s="128">
        <f>DATA!UHU35</f>
        <v>0</v>
      </c>
      <c r="UHS208" s="128">
        <f>DATA!UHV35</f>
        <v>0</v>
      </c>
      <c r="UHT208" s="128">
        <f>DATA!UHW35</f>
        <v>0</v>
      </c>
      <c r="UHU208" s="128">
        <f>DATA!UHX35</f>
        <v>0</v>
      </c>
      <c r="UHV208" s="128">
        <f>DATA!UHY35</f>
        <v>0</v>
      </c>
      <c r="UHW208" s="128">
        <f>DATA!UHZ35</f>
        <v>0</v>
      </c>
      <c r="UHX208" s="128">
        <f>DATA!UIA35</f>
        <v>0</v>
      </c>
      <c r="UHY208" s="128">
        <f>DATA!UIB35</f>
        <v>0</v>
      </c>
      <c r="UHZ208" s="128">
        <f>DATA!UIC35</f>
        <v>0</v>
      </c>
      <c r="UIA208" s="128">
        <f>DATA!UID35</f>
        <v>0</v>
      </c>
      <c r="UIB208" s="128">
        <f>DATA!UIE35</f>
        <v>0</v>
      </c>
      <c r="UIC208" s="128">
        <f>DATA!UIF35</f>
        <v>0</v>
      </c>
      <c r="UID208" s="128">
        <f>DATA!UIG35</f>
        <v>0</v>
      </c>
      <c r="UIE208" s="128">
        <f>DATA!UIH35</f>
        <v>0</v>
      </c>
      <c r="UIF208" s="128">
        <f>DATA!UII35</f>
        <v>0</v>
      </c>
      <c r="UIG208" s="128">
        <f>DATA!UIJ35</f>
        <v>0</v>
      </c>
      <c r="UIH208" s="128">
        <f>DATA!UIK35</f>
        <v>0</v>
      </c>
      <c r="UII208" s="128">
        <f>DATA!UIL35</f>
        <v>0</v>
      </c>
      <c r="UIJ208" s="128">
        <f>DATA!UIM35</f>
        <v>0</v>
      </c>
      <c r="UIK208" s="128">
        <f>DATA!UIN35</f>
        <v>0</v>
      </c>
      <c r="UIL208" s="128">
        <f>DATA!UIO35</f>
        <v>0</v>
      </c>
      <c r="UIM208" s="128">
        <f>DATA!UIP35</f>
        <v>0</v>
      </c>
      <c r="UIN208" s="128">
        <f>DATA!UIQ35</f>
        <v>0</v>
      </c>
      <c r="UIO208" s="128">
        <f>DATA!UIR35</f>
        <v>0</v>
      </c>
      <c r="UIP208" s="128">
        <f>DATA!UIS35</f>
        <v>0</v>
      </c>
      <c r="UIQ208" s="128">
        <f>DATA!UIT35</f>
        <v>0</v>
      </c>
      <c r="UIR208" s="128">
        <f>DATA!UIU35</f>
        <v>0</v>
      </c>
      <c r="UIS208" s="128">
        <f>DATA!UIV35</f>
        <v>0</v>
      </c>
      <c r="UIT208" s="128">
        <f>DATA!UIW35</f>
        <v>0</v>
      </c>
      <c r="UIU208" s="128">
        <f>DATA!UIX35</f>
        <v>0</v>
      </c>
      <c r="UIV208" s="128">
        <f>DATA!UIY35</f>
        <v>0</v>
      </c>
      <c r="UIW208" s="128">
        <f>DATA!UIZ35</f>
        <v>0</v>
      </c>
      <c r="UIX208" s="128">
        <f>DATA!UJA35</f>
        <v>0</v>
      </c>
      <c r="UIY208" s="128">
        <f>DATA!UJB35</f>
        <v>0</v>
      </c>
      <c r="UIZ208" s="128">
        <f>DATA!UJC35</f>
        <v>0</v>
      </c>
      <c r="UJA208" s="128">
        <f>DATA!UJD35</f>
        <v>0</v>
      </c>
      <c r="UJB208" s="128">
        <f>DATA!UJE35</f>
        <v>0</v>
      </c>
      <c r="UJC208" s="128">
        <f>DATA!UJF35</f>
        <v>0</v>
      </c>
      <c r="UJD208" s="128">
        <f>DATA!UJG35</f>
        <v>0</v>
      </c>
      <c r="UJE208" s="128">
        <f>DATA!UJH35</f>
        <v>0</v>
      </c>
      <c r="UJF208" s="128">
        <f>DATA!UJI35</f>
        <v>0</v>
      </c>
      <c r="UJG208" s="128">
        <f>DATA!UJJ35</f>
        <v>0</v>
      </c>
      <c r="UJH208" s="128">
        <f>DATA!UJK35</f>
        <v>0</v>
      </c>
      <c r="UJI208" s="128">
        <f>DATA!UJL35</f>
        <v>0</v>
      </c>
      <c r="UJJ208" s="128">
        <f>DATA!UJM35</f>
        <v>0</v>
      </c>
      <c r="UJK208" s="128">
        <f>DATA!UJN35</f>
        <v>0</v>
      </c>
      <c r="UJL208" s="128">
        <f>DATA!UJO35</f>
        <v>0</v>
      </c>
      <c r="UJM208" s="128">
        <f>DATA!UJP35</f>
        <v>0</v>
      </c>
      <c r="UJN208" s="128">
        <f>DATA!UJQ35</f>
        <v>0</v>
      </c>
      <c r="UJO208" s="128">
        <f>DATA!UJR35</f>
        <v>0</v>
      </c>
      <c r="UJP208" s="128">
        <f>DATA!UJS35</f>
        <v>0</v>
      </c>
      <c r="UJQ208" s="128">
        <f>DATA!UJT35</f>
        <v>0</v>
      </c>
      <c r="UJR208" s="128">
        <f>DATA!UJU35</f>
        <v>0</v>
      </c>
      <c r="UJS208" s="128">
        <f>DATA!UJV35</f>
        <v>0</v>
      </c>
      <c r="UJT208" s="128">
        <f>DATA!UJW35</f>
        <v>0</v>
      </c>
      <c r="UJU208" s="128">
        <f>DATA!UJX35</f>
        <v>0</v>
      </c>
      <c r="UJV208" s="128">
        <f>DATA!UJY35</f>
        <v>0</v>
      </c>
      <c r="UJW208" s="128">
        <f>DATA!UJZ35</f>
        <v>0</v>
      </c>
      <c r="UJX208" s="128">
        <f>DATA!UKA35</f>
        <v>0</v>
      </c>
      <c r="UJY208" s="128">
        <f>DATA!UKB35</f>
        <v>0</v>
      </c>
      <c r="UJZ208" s="128">
        <f>DATA!UKC35</f>
        <v>0</v>
      </c>
      <c r="UKA208" s="128">
        <f>DATA!UKD35</f>
        <v>0</v>
      </c>
      <c r="UKB208" s="128">
        <f>DATA!UKE35</f>
        <v>0</v>
      </c>
      <c r="UKC208" s="128">
        <f>DATA!UKF35</f>
        <v>0</v>
      </c>
      <c r="UKD208" s="128">
        <f>DATA!UKG35</f>
        <v>0</v>
      </c>
      <c r="UKE208" s="128">
        <f>DATA!UKH35</f>
        <v>0</v>
      </c>
      <c r="UKF208" s="128">
        <f>DATA!UKI35</f>
        <v>0</v>
      </c>
      <c r="UKG208" s="128">
        <f>DATA!UKJ35</f>
        <v>0</v>
      </c>
      <c r="UKH208" s="128">
        <f>DATA!UKK35</f>
        <v>0</v>
      </c>
      <c r="UKI208" s="128">
        <f>DATA!UKL35</f>
        <v>0</v>
      </c>
      <c r="UKJ208" s="128">
        <f>DATA!UKM35</f>
        <v>0</v>
      </c>
      <c r="UKK208" s="128">
        <f>DATA!UKN35</f>
        <v>0</v>
      </c>
      <c r="UKL208" s="128">
        <f>DATA!UKO35</f>
        <v>0</v>
      </c>
      <c r="UKM208" s="128">
        <f>DATA!UKP35</f>
        <v>0</v>
      </c>
      <c r="UKN208" s="128">
        <f>DATA!UKQ35</f>
        <v>0</v>
      </c>
      <c r="UKO208" s="128">
        <f>DATA!UKR35</f>
        <v>0</v>
      </c>
      <c r="UKP208" s="128">
        <f>DATA!UKS35</f>
        <v>0</v>
      </c>
      <c r="UKQ208" s="128">
        <f>DATA!UKT35</f>
        <v>0</v>
      </c>
      <c r="UKR208" s="128">
        <f>DATA!UKU35</f>
        <v>0</v>
      </c>
      <c r="UKS208" s="128">
        <f>DATA!UKV35</f>
        <v>0</v>
      </c>
      <c r="UKT208" s="128">
        <f>DATA!UKW35</f>
        <v>0</v>
      </c>
      <c r="UKU208" s="128">
        <f>DATA!UKX35</f>
        <v>0</v>
      </c>
      <c r="UKV208" s="128">
        <f>DATA!UKY35</f>
        <v>0</v>
      </c>
      <c r="UKW208" s="128">
        <f>DATA!UKZ35</f>
        <v>0</v>
      </c>
      <c r="UKX208" s="128">
        <f>DATA!ULA35</f>
        <v>0</v>
      </c>
      <c r="UKY208" s="128">
        <f>DATA!ULB35</f>
        <v>0</v>
      </c>
      <c r="UKZ208" s="128">
        <f>DATA!ULC35</f>
        <v>0</v>
      </c>
      <c r="ULA208" s="128">
        <f>DATA!ULD35</f>
        <v>0</v>
      </c>
      <c r="ULB208" s="128">
        <f>DATA!ULE35</f>
        <v>0</v>
      </c>
      <c r="ULC208" s="128">
        <f>DATA!ULF35</f>
        <v>0</v>
      </c>
      <c r="ULD208" s="128">
        <f>DATA!ULG35</f>
        <v>0</v>
      </c>
      <c r="ULE208" s="128">
        <f>DATA!ULH35</f>
        <v>0</v>
      </c>
      <c r="ULF208" s="128">
        <f>DATA!ULI35</f>
        <v>0</v>
      </c>
      <c r="ULG208" s="128">
        <f>DATA!ULJ35</f>
        <v>0</v>
      </c>
      <c r="ULH208" s="128">
        <f>DATA!ULK35</f>
        <v>0</v>
      </c>
      <c r="ULI208" s="128">
        <f>DATA!ULL35</f>
        <v>0</v>
      </c>
      <c r="ULJ208" s="128">
        <f>DATA!ULM35</f>
        <v>0</v>
      </c>
      <c r="ULK208" s="128">
        <f>DATA!ULN35</f>
        <v>0</v>
      </c>
      <c r="ULL208" s="128">
        <f>DATA!ULO35</f>
        <v>0</v>
      </c>
      <c r="ULM208" s="128">
        <f>DATA!ULP35</f>
        <v>0</v>
      </c>
      <c r="ULN208" s="128">
        <f>DATA!ULQ35</f>
        <v>0</v>
      </c>
      <c r="ULO208" s="128">
        <f>DATA!ULR35</f>
        <v>0</v>
      </c>
      <c r="ULP208" s="128">
        <f>DATA!ULS35</f>
        <v>0</v>
      </c>
      <c r="ULQ208" s="128">
        <f>DATA!ULT35</f>
        <v>0</v>
      </c>
      <c r="ULR208" s="128">
        <f>DATA!ULU35</f>
        <v>0</v>
      </c>
      <c r="ULS208" s="128">
        <f>DATA!ULV35</f>
        <v>0</v>
      </c>
      <c r="ULT208" s="128">
        <f>DATA!ULW35</f>
        <v>0</v>
      </c>
      <c r="ULU208" s="128">
        <f>DATA!ULX35</f>
        <v>0</v>
      </c>
      <c r="ULV208" s="128">
        <f>DATA!ULY35</f>
        <v>0</v>
      </c>
      <c r="ULW208" s="128">
        <f>DATA!ULZ35</f>
        <v>0</v>
      </c>
      <c r="ULX208" s="128">
        <f>DATA!UMA35</f>
        <v>0</v>
      </c>
      <c r="ULY208" s="128">
        <f>DATA!UMB35</f>
        <v>0</v>
      </c>
      <c r="ULZ208" s="128">
        <f>DATA!UMC35</f>
        <v>0</v>
      </c>
      <c r="UMA208" s="128">
        <f>DATA!UMD35</f>
        <v>0</v>
      </c>
      <c r="UMB208" s="128">
        <f>DATA!UME35</f>
        <v>0</v>
      </c>
      <c r="UMC208" s="128">
        <f>DATA!UMF35</f>
        <v>0</v>
      </c>
      <c r="UMD208" s="128">
        <f>DATA!UMG35</f>
        <v>0</v>
      </c>
      <c r="UME208" s="128">
        <f>DATA!UMH35</f>
        <v>0</v>
      </c>
      <c r="UMF208" s="128">
        <f>DATA!UMI35</f>
        <v>0</v>
      </c>
      <c r="UMG208" s="128">
        <f>DATA!UMJ35</f>
        <v>0</v>
      </c>
      <c r="UMH208" s="128">
        <f>DATA!UMK35</f>
        <v>0</v>
      </c>
      <c r="UMI208" s="128">
        <f>DATA!UML35</f>
        <v>0</v>
      </c>
      <c r="UMJ208" s="128">
        <f>DATA!UMM35</f>
        <v>0</v>
      </c>
      <c r="UMK208" s="128">
        <f>DATA!UMN35</f>
        <v>0</v>
      </c>
      <c r="UML208" s="128">
        <f>DATA!UMO35</f>
        <v>0</v>
      </c>
      <c r="UMM208" s="128">
        <f>DATA!UMP35</f>
        <v>0</v>
      </c>
      <c r="UMN208" s="128">
        <f>DATA!UMQ35</f>
        <v>0</v>
      </c>
      <c r="UMO208" s="128">
        <f>DATA!UMR35</f>
        <v>0</v>
      </c>
      <c r="UMP208" s="128">
        <f>DATA!UMS35</f>
        <v>0</v>
      </c>
      <c r="UMQ208" s="128">
        <f>DATA!UMT35</f>
        <v>0</v>
      </c>
      <c r="UMR208" s="128">
        <f>DATA!UMU35</f>
        <v>0</v>
      </c>
      <c r="UMS208" s="128">
        <f>DATA!UMV35</f>
        <v>0</v>
      </c>
      <c r="UMT208" s="128">
        <f>DATA!UMW35</f>
        <v>0</v>
      </c>
      <c r="UMU208" s="128">
        <f>DATA!UMX35</f>
        <v>0</v>
      </c>
      <c r="UMV208" s="128">
        <f>DATA!UMY35</f>
        <v>0</v>
      </c>
      <c r="UMW208" s="128">
        <f>DATA!UMZ35</f>
        <v>0</v>
      </c>
      <c r="UMX208" s="128">
        <f>DATA!UNA35</f>
        <v>0</v>
      </c>
      <c r="UMY208" s="128">
        <f>DATA!UNB35</f>
        <v>0</v>
      </c>
      <c r="UMZ208" s="128">
        <f>DATA!UNC35</f>
        <v>0</v>
      </c>
      <c r="UNA208" s="128">
        <f>DATA!UND35</f>
        <v>0</v>
      </c>
      <c r="UNB208" s="128">
        <f>DATA!UNE35</f>
        <v>0</v>
      </c>
      <c r="UNC208" s="128">
        <f>DATA!UNF35</f>
        <v>0</v>
      </c>
      <c r="UND208" s="128">
        <f>DATA!UNG35</f>
        <v>0</v>
      </c>
      <c r="UNE208" s="128">
        <f>DATA!UNH35</f>
        <v>0</v>
      </c>
      <c r="UNF208" s="128">
        <f>DATA!UNI35</f>
        <v>0</v>
      </c>
      <c r="UNG208" s="128">
        <f>DATA!UNJ35</f>
        <v>0</v>
      </c>
      <c r="UNH208" s="128">
        <f>DATA!UNK35</f>
        <v>0</v>
      </c>
      <c r="UNI208" s="128">
        <f>DATA!UNL35</f>
        <v>0</v>
      </c>
      <c r="UNJ208" s="128">
        <f>DATA!UNM35</f>
        <v>0</v>
      </c>
      <c r="UNK208" s="128">
        <f>DATA!UNN35</f>
        <v>0</v>
      </c>
      <c r="UNL208" s="128">
        <f>DATA!UNO35</f>
        <v>0</v>
      </c>
      <c r="UNM208" s="128">
        <f>DATA!UNP35</f>
        <v>0</v>
      </c>
      <c r="UNN208" s="128">
        <f>DATA!UNQ35</f>
        <v>0</v>
      </c>
      <c r="UNO208" s="128">
        <f>DATA!UNR35</f>
        <v>0</v>
      </c>
      <c r="UNP208" s="128">
        <f>DATA!UNS35</f>
        <v>0</v>
      </c>
      <c r="UNQ208" s="128">
        <f>DATA!UNT35</f>
        <v>0</v>
      </c>
      <c r="UNR208" s="128">
        <f>DATA!UNU35</f>
        <v>0</v>
      </c>
      <c r="UNS208" s="128">
        <f>DATA!UNV35</f>
        <v>0</v>
      </c>
      <c r="UNT208" s="128">
        <f>DATA!UNW35</f>
        <v>0</v>
      </c>
      <c r="UNU208" s="128">
        <f>DATA!UNX35</f>
        <v>0</v>
      </c>
      <c r="UNV208" s="128">
        <f>DATA!UNY35</f>
        <v>0</v>
      </c>
      <c r="UNW208" s="128">
        <f>DATA!UNZ35</f>
        <v>0</v>
      </c>
      <c r="UNX208" s="128">
        <f>DATA!UOA35</f>
        <v>0</v>
      </c>
      <c r="UNY208" s="128">
        <f>DATA!UOB35</f>
        <v>0</v>
      </c>
      <c r="UNZ208" s="128">
        <f>DATA!UOC35</f>
        <v>0</v>
      </c>
      <c r="UOA208" s="128">
        <f>DATA!UOD35</f>
        <v>0</v>
      </c>
      <c r="UOB208" s="128">
        <f>DATA!UOE35</f>
        <v>0</v>
      </c>
      <c r="UOC208" s="128">
        <f>DATA!UOF35</f>
        <v>0</v>
      </c>
      <c r="UOD208" s="128">
        <f>DATA!UOG35</f>
        <v>0</v>
      </c>
      <c r="UOE208" s="128">
        <f>DATA!UOH35</f>
        <v>0</v>
      </c>
      <c r="UOF208" s="128">
        <f>DATA!UOI35</f>
        <v>0</v>
      </c>
      <c r="UOG208" s="128">
        <f>DATA!UOJ35</f>
        <v>0</v>
      </c>
      <c r="UOH208" s="128">
        <f>DATA!UOK35</f>
        <v>0</v>
      </c>
      <c r="UOI208" s="128">
        <f>DATA!UOL35</f>
        <v>0</v>
      </c>
      <c r="UOJ208" s="128">
        <f>DATA!UOM35</f>
        <v>0</v>
      </c>
      <c r="UOK208" s="128">
        <f>DATA!UON35</f>
        <v>0</v>
      </c>
      <c r="UOL208" s="128">
        <f>DATA!UOO35</f>
        <v>0</v>
      </c>
      <c r="UOM208" s="128">
        <f>DATA!UOP35</f>
        <v>0</v>
      </c>
      <c r="UON208" s="128">
        <f>DATA!UOQ35</f>
        <v>0</v>
      </c>
      <c r="UOO208" s="128">
        <f>DATA!UOR35</f>
        <v>0</v>
      </c>
      <c r="UOP208" s="128">
        <f>DATA!UOS35</f>
        <v>0</v>
      </c>
      <c r="UOQ208" s="128">
        <f>DATA!UOT35</f>
        <v>0</v>
      </c>
      <c r="UOR208" s="128">
        <f>DATA!UOU35</f>
        <v>0</v>
      </c>
      <c r="UOS208" s="128">
        <f>DATA!UOV35</f>
        <v>0</v>
      </c>
      <c r="UOT208" s="128">
        <f>DATA!UOW35</f>
        <v>0</v>
      </c>
      <c r="UOU208" s="128">
        <f>DATA!UOX35</f>
        <v>0</v>
      </c>
      <c r="UOV208" s="128">
        <f>DATA!UOY35</f>
        <v>0</v>
      </c>
      <c r="UOW208" s="128">
        <f>DATA!UOZ35</f>
        <v>0</v>
      </c>
      <c r="UOX208" s="128">
        <f>DATA!UPA35</f>
        <v>0</v>
      </c>
      <c r="UOY208" s="128">
        <f>DATA!UPB35</f>
        <v>0</v>
      </c>
      <c r="UOZ208" s="128">
        <f>DATA!UPC35</f>
        <v>0</v>
      </c>
      <c r="UPA208" s="128">
        <f>DATA!UPD35</f>
        <v>0</v>
      </c>
      <c r="UPB208" s="128">
        <f>DATA!UPE35</f>
        <v>0</v>
      </c>
      <c r="UPC208" s="128">
        <f>DATA!UPF35</f>
        <v>0</v>
      </c>
      <c r="UPD208" s="128">
        <f>DATA!UPG35</f>
        <v>0</v>
      </c>
      <c r="UPE208" s="128">
        <f>DATA!UPH35</f>
        <v>0</v>
      </c>
      <c r="UPF208" s="128">
        <f>DATA!UPI35</f>
        <v>0</v>
      </c>
      <c r="UPG208" s="128">
        <f>DATA!UPJ35</f>
        <v>0</v>
      </c>
      <c r="UPH208" s="128">
        <f>DATA!UPK35</f>
        <v>0</v>
      </c>
      <c r="UPI208" s="128">
        <f>DATA!UPL35</f>
        <v>0</v>
      </c>
      <c r="UPJ208" s="128">
        <f>DATA!UPM35</f>
        <v>0</v>
      </c>
      <c r="UPK208" s="128">
        <f>DATA!UPN35</f>
        <v>0</v>
      </c>
      <c r="UPL208" s="128">
        <f>DATA!UPO35</f>
        <v>0</v>
      </c>
      <c r="UPM208" s="128">
        <f>DATA!UPP35</f>
        <v>0</v>
      </c>
      <c r="UPN208" s="128">
        <f>DATA!UPQ35</f>
        <v>0</v>
      </c>
      <c r="UPO208" s="128">
        <f>DATA!UPR35</f>
        <v>0</v>
      </c>
      <c r="UPP208" s="128">
        <f>DATA!UPS35</f>
        <v>0</v>
      </c>
      <c r="UPQ208" s="128">
        <f>DATA!UPT35</f>
        <v>0</v>
      </c>
      <c r="UPR208" s="128">
        <f>DATA!UPU35</f>
        <v>0</v>
      </c>
      <c r="UPS208" s="128">
        <f>DATA!UPV35</f>
        <v>0</v>
      </c>
      <c r="UPT208" s="128">
        <f>DATA!UPW35</f>
        <v>0</v>
      </c>
      <c r="UPU208" s="128">
        <f>DATA!UPX35</f>
        <v>0</v>
      </c>
      <c r="UPV208" s="128">
        <f>DATA!UPY35</f>
        <v>0</v>
      </c>
      <c r="UPW208" s="128">
        <f>DATA!UPZ35</f>
        <v>0</v>
      </c>
      <c r="UPX208" s="128">
        <f>DATA!UQA35</f>
        <v>0</v>
      </c>
      <c r="UPY208" s="128">
        <f>DATA!UQB35</f>
        <v>0</v>
      </c>
      <c r="UPZ208" s="128">
        <f>DATA!UQC35</f>
        <v>0</v>
      </c>
      <c r="UQA208" s="128">
        <f>DATA!UQD35</f>
        <v>0</v>
      </c>
      <c r="UQB208" s="128">
        <f>DATA!UQE35</f>
        <v>0</v>
      </c>
      <c r="UQC208" s="128">
        <f>DATA!UQF35</f>
        <v>0</v>
      </c>
      <c r="UQD208" s="128">
        <f>DATA!UQG35</f>
        <v>0</v>
      </c>
      <c r="UQE208" s="128">
        <f>DATA!UQH35</f>
        <v>0</v>
      </c>
      <c r="UQF208" s="128">
        <f>DATA!UQI35</f>
        <v>0</v>
      </c>
      <c r="UQG208" s="128">
        <f>DATA!UQJ35</f>
        <v>0</v>
      </c>
      <c r="UQH208" s="128">
        <f>DATA!UQK35</f>
        <v>0</v>
      </c>
      <c r="UQI208" s="128">
        <f>DATA!UQL35</f>
        <v>0</v>
      </c>
      <c r="UQJ208" s="128">
        <f>DATA!UQM35</f>
        <v>0</v>
      </c>
      <c r="UQK208" s="128">
        <f>DATA!UQN35</f>
        <v>0</v>
      </c>
      <c r="UQL208" s="128">
        <f>DATA!UQO35</f>
        <v>0</v>
      </c>
      <c r="UQM208" s="128">
        <f>DATA!UQP35</f>
        <v>0</v>
      </c>
      <c r="UQN208" s="128">
        <f>DATA!UQQ35</f>
        <v>0</v>
      </c>
      <c r="UQO208" s="128">
        <f>DATA!UQR35</f>
        <v>0</v>
      </c>
      <c r="UQP208" s="128">
        <f>DATA!UQS35</f>
        <v>0</v>
      </c>
      <c r="UQQ208" s="128">
        <f>DATA!UQT35</f>
        <v>0</v>
      </c>
      <c r="UQR208" s="128">
        <f>DATA!UQU35</f>
        <v>0</v>
      </c>
      <c r="UQS208" s="128">
        <f>DATA!UQV35</f>
        <v>0</v>
      </c>
      <c r="UQT208" s="128">
        <f>DATA!UQW35</f>
        <v>0</v>
      </c>
      <c r="UQU208" s="128">
        <f>DATA!UQX35</f>
        <v>0</v>
      </c>
      <c r="UQV208" s="128">
        <f>DATA!UQY35</f>
        <v>0</v>
      </c>
      <c r="UQW208" s="128">
        <f>DATA!UQZ35</f>
        <v>0</v>
      </c>
      <c r="UQX208" s="128">
        <f>DATA!URA35</f>
        <v>0</v>
      </c>
      <c r="UQY208" s="128">
        <f>DATA!URB35</f>
        <v>0</v>
      </c>
      <c r="UQZ208" s="128">
        <f>DATA!URC35</f>
        <v>0</v>
      </c>
      <c r="URA208" s="128">
        <f>DATA!URD35</f>
        <v>0</v>
      </c>
      <c r="URB208" s="128">
        <f>DATA!URE35</f>
        <v>0</v>
      </c>
      <c r="URC208" s="128">
        <f>DATA!URF35</f>
        <v>0</v>
      </c>
      <c r="URD208" s="128">
        <f>DATA!URG35</f>
        <v>0</v>
      </c>
      <c r="URE208" s="128">
        <f>DATA!URH35</f>
        <v>0</v>
      </c>
      <c r="URF208" s="128">
        <f>DATA!URI35</f>
        <v>0</v>
      </c>
      <c r="URG208" s="128">
        <f>DATA!URJ35</f>
        <v>0</v>
      </c>
      <c r="URH208" s="128">
        <f>DATA!URK35</f>
        <v>0</v>
      </c>
      <c r="URI208" s="128">
        <f>DATA!URL35</f>
        <v>0</v>
      </c>
      <c r="URJ208" s="128">
        <f>DATA!URM35</f>
        <v>0</v>
      </c>
      <c r="URK208" s="128">
        <f>DATA!URN35</f>
        <v>0</v>
      </c>
      <c r="URL208" s="128">
        <f>DATA!URO35</f>
        <v>0</v>
      </c>
      <c r="URM208" s="128">
        <f>DATA!URP35</f>
        <v>0</v>
      </c>
      <c r="URN208" s="128">
        <f>DATA!URQ35</f>
        <v>0</v>
      </c>
      <c r="URO208" s="128">
        <f>DATA!URR35</f>
        <v>0</v>
      </c>
      <c r="URP208" s="128">
        <f>DATA!URS35</f>
        <v>0</v>
      </c>
      <c r="URQ208" s="128">
        <f>DATA!URT35</f>
        <v>0</v>
      </c>
      <c r="URR208" s="128">
        <f>DATA!URU35</f>
        <v>0</v>
      </c>
      <c r="URS208" s="128">
        <f>DATA!URV35</f>
        <v>0</v>
      </c>
      <c r="URT208" s="128">
        <f>DATA!URW35</f>
        <v>0</v>
      </c>
      <c r="URU208" s="128">
        <f>DATA!URX35</f>
        <v>0</v>
      </c>
      <c r="URV208" s="128">
        <f>DATA!URY35</f>
        <v>0</v>
      </c>
      <c r="URW208" s="128">
        <f>DATA!URZ35</f>
        <v>0</v>
      </c>
      <c r="URX208" s="128">
        <f>DATA!USA35</f>
        <v>0</v>
      </c>
      <c r="URY208" s="128">
        <f>DATA!USB35</f>
        <v>0</v>
      </c>
      <c r="URZ208" s="128">
        <f>DATA!USC35</f>
        <v>0</v>
      </c>
      <c r="USA208" s="128">
        <f>DATA!USD35</f>
        <v>0</v>
      </c>
      <c r="USB208" s="128">
        <f>DATA!USE35</f>
        <v>0</v>
      </c>
      <c r="USC208" s="128">
        <f>DATA!USF35</f>
        <v>0</v>
      </c>
      <c r="USD208" s="128">
        <f>DATA!USG35</f>
        <v>0</v>
      </c>
      <c r="USE208" s="128">
        <f>DATA!USH35</f>
        <v>0</v>
      </c>
      <c r="USF208" s="128">
        <f>DATA!USI35</f>
        <v>0</v>
      </c>
      <c r="USG208" s="128">
        <f>DATA!USJ35</f>
        <v>0</v>
      </c>
      <c r="USH208" s="128">
        <f>DATA!USK35</f>
        <v>0</v>
      </c>
      <c r="USI208" s="128">
        <f>DATA!USL35</f>
        <v>0</v>
      </c>
      <c r="USJ208" s="128">
        <f>DATA!USM35</f>
        <v>0</v>
      </c>
      <c r="USK208" s="128">
        <f>DATA!USN35</f>
        <v>0</v>
      </c>
      <c r="USL208" s="128">
        <f>DATA!USO35</f>
        <v>0</v>
      </c>
      <c r="USM208" s="128">
        <f>DATA!USP35</f>
        <v>0</v>
      </c>
      <c r="USN208" s="128">
        <f>DATA!USQ35</f>
        <v>0</v>
      </c>
      <c r="USO208" s="128">
        <f>DATA!USR35</f>
        <v>0</v>
      </c>
      <c r="USP208" s="128">
        <f>DATA!USS35</f>
        <v>0</v>
      </c>
      <c r="USQ208" s="128">
        <f>DATA!UST35</f>
        <v>0</v>
      </c>
      <c r="USR208" s="128">
        <f>DATA!USU35</f>
        <v>0</v>
      </c>
      <c r="USS208" s="128">
        <f>DATA!USV35</f>
        <v>0</v>
      </c>
      <c r="UST208" s="128">
        <f>DATA!USW35</f>
        <v>0</v>
      </c>
      <c r="USU208" s="128">
        <f>DATA!USX35</f>
        <v>0</v>
      </c>
      <c r="USV208" s="128">
        <f>DATA!USY35</f>
        <v>0</v>
      </c>
      <c r="USW208" s="128">
        <f>DATA!USZ35</f>
        <v>0</v>
      </c>
      <c r="USX208" s="128">
        <f>DATA!UTA35</f>
        <v>0</v>
      </c>
      <c r="USY208" s="128">
        <f>DATA!UTB35</f>
        <v>0</v>
      </c>
      <c r="USZ208" s="128">
        <f>DATA!UTC35</f>
        <v>0</v>
      </c>
      <c r="UTA208" s="128">
        <f>DATA!UTD35</f>
        <v>0</v>
      </c>
      <c r="UTB208" s="128">
        <f>DATA!UTE35</f>
        <v>0</v>
      </c>
      <c r="UTC208" s="128">
        <f>DATA!UTF35</f>
        <v>0</v>
      </c>
      <c r="UTD208" s="128">
        <f>DATA!UTG35</f>
        <v>0</v>
      </c>
      <c r="UTE208" s="128">
        <f>DATA!UTH35</f>
        <v>0</v>
      </c>
      <c r="UTF208" s="128">
        <f>DATA!UTI35</f>
        <v>0</v>
      </c>
      <c r="UTG208" s="128">
        <f>DATA!UTJ35</f>
        <v>0</v>
      </c>
      <c r="UTH208" s="128">
        <f>DATA!UTK35</f>
        <v>0</v>
      </c>
      <c r="UTI208" s="128">
        <f>DATA!UTL35</f>
        <v>0</v>
      </c>
      <c r="UTJ208" s="128">
        <f>DATA!UTM35</f>
        <v>0</v>
      </c>
      <c r="UTK208" s="128">
        <f>DATA!UTN35</f>
        <v>0</v>
      </c>
      <c r="UTL208" s="128">
        <f>DATA!UTO35</f>
        <v>0</v>
      </c>
      <c r="UTM208" s="128">
        <f>DATA!UTP35</f>
        <v>0</v>
      </c>
      <c r="UTN208" s="128">
        <f>DATA!UTQ35</f>
        <v>0</v>
      </c>
      <c r="UTO208" s="128">
        <f>DATA!UTR35</f>
        <v>0</v>
      </c>
      <c r="UTP208" s="128">
        <f>DATA!UTS35</f>
        <v>0</v>
      </c>
      <c r="UTQ208" s="128">
        <f>DATA!UTT35</f>
        <v>0</v>
      </c>
      <c r="UTR208" s="128">
        <f>DATA!UTU35</f>
        <v>0</v>
      </c>
      <c r="UTS208" s="128">
        <f>DATA!UTV35</f>
        <v>0</v>
      </c>
      <c r="UTT208" s="128">
        <f>DATA!UTW35</f>
        <v>0</v>
      </c>
      <c r="UTU208" s="128">
        <f>DATA!UTX35</f>
        <v>0</v>
      </c>
      <c r="UTV208" s="128">
        <f>DATA!UTY35</f>
        <v>0</v>
      </c>
      <c r="UTW208" s="128">
        <f>DATA!UTZ35</f>
        <v>0</v>
      </c>
      <c r="UTX208" s="128">
        <f>DATA!UUA35</f>
        <v>0</v>
      </c>
      <c r="UTY208" s="128">
        <f>DATA!UUB35</f>
        <v>0</v>
      </c>
      <c r="UTZ208" s="128">
        <f>DATA!UUC35</f>
        <v>0</v>
      </c>
      <c r="UUA208" s="128">
        <f>DATA!UUD35</f>
        <v>0</v>
      </c>
      <c r="UUB208" s="128">
        <f>DATA!UUE35</f>
        <v>0</v>
      </c>
      <c r="UUC208" s="128">
        <f>DATA!UUF35</f>
        <v>0</v>
      </c>
      <c r="UUD208" s="128">
        <f>DATA!UUG35</f>
        <v>0</v>
      </c>
      <c r="UUE208" s="128">
        <f>DATA!UUH35</f>
        <v>0</v>
      </c>
      <c r="UUF208" s="128">
        <f>DATA!UUI35</f>
        <v>0</v>
      </c>
      <c r="UUG208" s="128">
        <f>DATA!UUJ35</f>
        <v>0</v>
      </c>
      <c r="UUH208" s="128">
        <f>DATA!UUK35</f>
        <v>0</v>
      </c>
      <c r="UUI208" s="128">
        <f>DATA!UUL35</f>
        <v>0</v>
      </c>
      <c r="UUJ208" s="128">
        <f>DATA!UUM35</f>
        <v>0</v>
      </c>
      <c r="UUK208" s="128">
        <f>DATA!UUN35</f>
        <v>0</v>
      </c>
      <c r="UUL208" s="128">
        <f>DATA!UUO35</f>
        <v>0</v>
      </c>
      <c r="UUM208" s="128">
        <f>DATA!UUP35</f>
        <v>0</v>
      </c>
      <c r="UUN208" s="128">
        <f>DATA!UUQ35</f>
        <v>0</v>
      </c>
      <c r="UUO208" s="128">
        <f>DATA!UUR35</f>
        <v>0</v>
      </c>
      <c r="UUP208" s="128">
        <f>DATA!UUS35</f>
        <v>0</v>
      </c>
      <c r="UUQ208" s="128">
        <f>DATA!UUT35</f>
        <v>0</v>
      </c>
      <c r="UUR208" s="128">
        <f>DATA!UUU35</f>
        <v>0</v>
      </c>
      <c r="UUS208" s="128">
        <f>DATA!UUV35</f>
        <v>0</v>
      </c>
      <c r="UUT208" s="128">
        <f>DATA!UUW35</f>
        <v>0</v>
      </c>
      <c r="UUU208" s="128">
        <f>DATA!UUX35</f>
        <v>0</v>
      </c>
      <c r="UUV208" s="128">
        <f>DATA!UUY35</f>
        <v>0</v>
      </c>
      <c r="UUW208" s="128">
        <f>DATA!UUZ35</f>
        <v>0</v>
      </c>
      <c r="UUX208" s="128">
        <f>DATA!UVA35</f>
        <v>0</v>
      </c>
      <c r="UUY208" s="128">
        <f>DATA!UVB35</f>
        <v>0</v>
      </c>
      <c r="UUZ208" s="128">
        <f>DATA!UVC35</f>
        <v>0</v>
      </c>
      <c r="UVA208" s="128">
        <f>DATA!UVD35</f>
        <v>0</v>
      </c>
      <c r="UVB208" s="128">
        <f>DATA!UVE35</f>
        <v>0</v>
      </c>
      <c r="UVC208" s="128">
        <f>DATA!UVF35</f>
        <v>0</v>
      </c>
      <c r="UVD208" s="128">
        <f>DATA!UVG35</f>
        <v>0</v>
      </c>
      <c r="UVE208" s="128">
        <f>DATA!UVH35</f>
        <v>0</v>
      </c>
      <c r="UVF208" s="128">
        <f>DATA!UVI35</f>
        <v>0</v>
      </c>
      <c r="UVG208" s="128">
        <f>DATA!UVJ35</f>
        <v>0</v>
      </c>
      <c r="UVH208" s="128">
        <f>DATA!UVK35</f>
        <v>0</v>
      </c>
      <c r="UVI208" s="128">
        <f>DATA!UVL35</f>
        <v>0</v>
      </c>
      <c r="UVJ208" s="128">
        <f>DATA!UVM35</f>
        <v>0</v>
      </c>
      <c r="UVK208" s="128">
        <f>DATA!UVN35</f>
        <v>0</v>
      </c>
      <c r="UVL208" s="128">
        <f>DATA!UVO35</f>
        <v>0</v>
      </c>
      <c r="UVM208" s="128">
        <f>DATA!UVP35</f>
        <v>0</v>
      </c>
      <c r="UVN208" s="128">
        <f>DATA!UVQ35</f>
        <v>0</v>
      </c>
      <c r="UVO208" s="128">
        <f>DATA!UVR35</f>
        <v>0</v>
      </c>
      <c r="UVP208" s="128">
        <f>DATA!UVS35</f>
        <v>0</v>
      </c>
      <c r="UVQ208" s="128">
        <f>DATA!UVT35</f>
        <v>0</v>
      </c>
      <c r="UVR208" s="128">
        <f>DATA!UVU35</f>
        <v>0</v>
      </c>
      <c r="UVS208" s="128">
        <f>DATA!UVV35</f>
        <v>0</v>
      </c>
      <c r="UVT208" s="128">
        <f>DATA!UVW35</f>
        <v>0</v>
      </c>
      <c r="UVU208" s="128">
        <f>DATA!UVX35</f>
        <v>0</v>
      </c>
      <c r="UVV208" s="128">
        <f>DATA!UVY35</f>
        <v>0</v>
      </c>
      <c r="UVW208" s="128">
        <f>DATA!UVZ35</f>
        <v>0</v>
      </c>
      <c r="UVX208" s="128">
        <f>DATA!UWA35</f>
        <v>0</v>
      </c>
      <c r="UVY208" s="128">
        <f>DATA!UWB35</f>
        <v>0</v>
      </c>
      <c r="UVZ208" s="128">
        <f>DATA!UWC35</f>
        <v>0</v>
      </c>
      <c r="UWA208" s="128">
        <f>DATA!UWD35</f>
        <v>0</v>
      </c>
      <c r="UWB208" s="128">
        <f>DATA!UWE35</f>
        <v>0</v>
      </c>
      <c r="UWC208" s="128">
        <f>DATA!UWF35</f>
        <v>0</v>
      </c>
      <c r="UWD208" s="128">
        <f>DATA!UWG35</f>
        <v>0</v>
      </c>
      <c r="UWE208" s="128">
        <f>DATA!UWH35</f>
        <v>0</v>
      </c>
      <c r="UWF208" s="128">
        <f>DATA!UWI35</f>
        <v>0</v>
      </c>
      <c r="UWG208" s="128">
        <f>DATA!UWJ35</f>
        <v>0</v>
      </c>
      <c r="UWH208" s="128">
        <f>DATA!UWK35</f>
        <v>0</v>
      </c>
      <c r="UWI208" s="128">
        <f>DATA!UWL35</f>
        <v>0</v>
      </c>
      <c r="UWJ208" s="128">
        <f>DATA!UWM35</f>
        <v>0</v>
      </c>
      <c r="UWK208" s="128">
        <f>DATA!UWN35</f>
        <v>0</v>
      </c>
      <c r="UWL208" s="128">
        <f>DATA!UWO35</f>
        <v>0</v>
      </c>
      <c r="UWM208" s="128">
        <f>DATA!UWP35</f>
        <v>0</v>
      </c>
      <c r="UWN208" s="128">
        <f>DATA!UWQ35</f>
        <v>0</v>
      </c>
      <c r="UWO208" s="128">
        <f>DATA!UWR35</f>
        <v>0</v>
      </c>
      <c r="UWP208" s="128">
        <f>DATA!UWS35</f>
        <v>0</v>
      </c>
      <c r="UWQ208" s="128">
        <f>DATA!UWT35</f>
        <v>0</v>
      </c>
      <c r="UWR208" s="128">
        <f>DATA!UWU35</f>
        <v>0</v>
      </c>
      <c r="UWS208" s="128">
        <f>DATA!UWV35</f>
        <v>0</v>
      </c>
      <c r="UWT208" s="128">
        <f>DATA!UWW35</f>
        <v>0</v>
      </c>
      <c r="UWU208" s="128">
        <f>DATA!UWX35</f>
        <v>0</v>
      </c>
      <c r="UWV208" s="128">
        <f>DATA!UWY35</f>
        <v>0</v>
      </c>
      <c r="UWW208" s="128">
        <f>DATA!UWZ35</f>
        <v>0</v>
      </c>
      <c r="UWX208" s="128">
        <f>DATA!UXA35</f>
        <v>0</v>
      </c>
      <c r="UWY208" s="128">
        <f>DATA!UXB35</f>
        <v>0</v>
      </c>
      <c r="UWZ208" s="128">
        <f>DATA!UXC35</f>
        <v>0</v>
      </c>
      <c r="UXA208" s="128">
        <f>DATA!UXD35</f>
        <v>0</v>
      </c>
      <c r="UXB208" s="128">
        <f>DATA!UXE35</f>
        <v>0</v>
      </c>
      <c r="UXC208" s="128">
        <f>DATA!UXF35</f>
        <v>0</v>
      </c>
      <c r="UXD208" s="128">
        <f>DATA!UXG35</f>
        <v>0</v>
      </c>
      <c r="UXE208" s="128">
        <f>DATA!UXH35</f>
        <v>0</v>
      </c>
      <c r="UXF208" s="128">
        <f>DATA!UXI35</f>
        <v>0</v>
      </c>
      <c r="UXG208" s="128">
        <f>DATA!UXJ35</f>
        <v>0</v>
      </c>
      <c r="UXH208" s="128">
        <f>DATA!UXK35</f>
        <v>0</v>
      </c>
      <c r="UXI208" s="128">
        <f>DATA!UXL35</f>
        <v>0</v>
      </c>
      <c r="UXJ208" s="128">
        <f>DATA!UXM35</f>
        <v>0</v>
      </c>
      <c r="UXK208" s="128">
        <f>DATA!UXN35</f>
        <v>0</v>
      </c>
      <c r="UXL208" s="128">
        <f>DATA!UXO35</f>
        <v>0</v>
      </c>
      <c r="UXM208" s="128">
        <f>DATA!UXP35</f>
        <v>0</v>
      </c>
      <c r="UXN208" s="128">
        <f>DATA!UXQ35</f>
        <v>0</v>
      </c>
      <c r="UXO208" s="128">
        <f>DATA!UXR35</f>
        <v>0</v>
      </c>
      <c r="UXP208" s="128">
        <f>DATA!UXS35</f>
        <v>0</v>
      </c>
      <c r="UXQ208" s="128">
        <f>DATA!UXT35</f>
        <v>0</v>
      </c>
      <c r="UXR208" s="128">
        <f>DATA!UXU35</f>
        <v>0</v>
      </c>
      <c r="UXS208" s="128">
        <f>DATA!UXV35</f>
        <v>0</v>
      </c>
      <c r="UXT208" s="128">
        <f>DATA!UXW35</f>
        <v>0</v>
      </c>
      <c r="UXU208" s="128">
        <f>DATA!UXX35</f>
        <v>0</v>
      </c>
      <c r="UXV208" s="128">
        <f>DATA!UXY35</f>
        <v>0</v>
      </c>
      <c r="UXW208" s="128">
        <f>DATA!UXZ35</f>
        <v>0</v>
      </c>
      <c r="UXX208" s="128">
        <f>DATA!UYA35</f>
        <v>0</v>
      </c>
      <c r="UXY208" s="128">
        <f>DATA!UYB35</f>
        <v>0</v>
      </c>
      <c r="UXZ208" s="128">
        <f>DATA!UYC35</f>
        <v>0</v>
      </c>
      <c r="UYA208" s="128">
        <f>DATA!UYD35</f>
        <v>0</v>
      </c>
      <c r="UYB208" s="128">
        <f>DATA!UYE35</f>
        <v>0</v>
      </c>
      <c r="UYC208" s="128">
        <f>DATA!UYF35</f>
        <v>0</v>
      </c>
      <c r="UYD208" s="128">
        <f>DATA!UYG35</f>
        <v>0</v>
      </c>
      <c r="UYE208" s="128">
        <f>DATA!UYH35</f>
        <v>0</v>
      </c>
      <c r="UYF208" s="128">
        <f>DATA!UYI35</f>
        <v>0</v>
      </c>
      <c r="UYG208" s="128">
        <f>DATA!UYJ35</f>
        <v>0</v>
      </c>
      <c r="UYH208" s="128">
        <f>DATA!UYK35</f>
        <v>0</v>
      </c>
      <c r="UYI208" s="128">
        <f>DATA!UYL35</f>
        <v>0</v>
      </c>
      <c r="UYJ208" s="128">
        <f>DATA!UYM35</f>
        <v>0</v>
      </c>
      <c r="UYK208" s="128">
        <f>DATA!UYN35</f>
        <v>0</v>
      </c>
      <c r="UYL208" s="128">
        <f>DATA!UYO35</f>
        <v>0</v>
      </c>
      <c r="UYM208" s="128">
        <f>DATA!UYP35</f>
        <v>0</v>
      </c>
      <c r="UYN208" s="128">
        <f>DATA!UYQ35</f>
        <v>0</v>
      </c>
      <c r="UYO208" s="128">
        <f>DATA!UYR35</f>
        <v>0</v>
      </c>
      <c r="UYP208" s="128">
        <f>DATA!UYS35</f>
        <v>0</v>
      </c>
      <c r="UYQ208" s="128">
        <f>DATA!UYT35</f>
        <v>0</v>
      </c>
      <c r="UYR208" s="128">
        <f>DATA!UYU35</f>
        <v>0</v>
      </c>
      <c r="UYS208" s="128">
        <f>DATA!UYV35</f>
        <v>0</v>
      </c>
      <c r="UYT208" s="128">
        <f>DATA!UYW35</f>
        <v>0</v>
      </c>
      <c r="UYU208" s="128">
        <f>DATA!UYX35</f>
        <v>0</v>
      </c>
      <c r="UYV208" s="128">
        <f>DATA!UYY35</f>
        <v>0</v>
      </c>
      <c r="UYW208" s="128">
        <f>DATA!UYZ35</f>
        <v>0</v>
      </c>
      <c r="UYX208" s="128">
        <f>DATA!UZA35</f>
        <v>0</v>
      </c>
      <c r="UYY208" s="128">
        <f>DATA!UZB35</f>
        <v>0</v>
      </c>
      <c r="UYZ208" s="128">
        <f>DATA!UZC35</f>
        <v>0</v>
      </c>
      <c r="UZA208" s="128">
        <f>DATA!UZD35</f>
        <v>0</v>
      </c>
      <c r="UZB208" s="128">
        <f>DATA!UZE35</f>
        <v>0</v>
      </c>
      <c r="UZC208" s="128">
        <f>DATA!UZF35</f>
        <v>0</v>
      </c>
      <c r="UZD208" s="128">
        <f>DATA!UZG35</f>
        <v>0</v>
      </c>
      <c r="UZE208" s="128">
        <f>DATA!UZH35</f>
        <v>0</v>
      </c>
      <c r="UZF208" s="128">
        <f>DATA!UZI35</f>
        <v>0</v>
      </c>
      <c r="UZG208" s="128">
        <f>DATA!UZJ35</f>
        <v>0</v>
      </c>
      <c r="UZH208" s="128">
        <f>DATA!UZK35</f>
        <v>0</v>
      </c>
      <c r="UZI208" s="128">
        <f>DATA!UZL35</f>
        <v>0</v>
      </c>
      <c r="UZJ208" s="128">
        <f>DATA!UZM35</f>
        <v>0</v>
      </c>
      <c r="UZK208" s="128">
        <f>DATA!UZN35</f>
        <v>0</v>
      </c>
      <c r="UZL208" s="128">
        <f>DATA!UZO35</f>
        <v>0</v>
      </c>
      <c r="UZM208" s="128">
        <f>DATA!UZP35</f>
        <v>0</v>
      </c>
      <c r="UZN208" s="128">
        <f>DATA!UZQ35</f>
        <v>0</v>
      </c>
      <c r="UZO208" s="128">
        <f>DATA!UZR35</f>
        <v>0</v>
      </c>
      <c r="UZP208" s="128">
        <f>DATA!UZS35</f>
        <v>0</v>
      </c>
      <c r="UZQ208" s="128">
        <f>DATA!UZT35</f>
        <v>0</v>
      </c>
      <c r="UZR208" s="128">
        <f>DATA!UZU35</f>
        <v>0</v>
      </c>
      <c r="UZS208" s="128">
        <f>DATA!UZV35</f>
        <v>0</v>
      </c>
      <c r="UZT208" s="128">
        <f>DATA!UZW35</f>
        <v>0</v>
      </c>
      <c r="UZU208" s="128">
        <f>DATA!UZX35</f>
        <v>0</v>
      </c>
      <c r="UZV208" s="128">
        <f>DATA!UZY35</f>
        <v>0</v>
      </c>
      <c r="UZW208" s="128">
        <f>DATA!UZZ35</f>
        <v>0</v>
      </c>
      <c r="UZX208" s="128">
        <f>DATA!VAA35</f>
        <v>0</v>
      </c>
      <c r="UZY208" s="128">
        <f>DATA!VAB35</f>
        <v>0</v>
      </c>
      <c r="UZZ208" s="128">
        <f>DATA!VAC35</f>
        <v>0</v>
      </c>
      <c r="VAA208" s="128">
        <f>DATA!VAD35</f>
        <v>0</v>
      </c>
      <c r="VAB208" s="128">
        <f>DATA!VAE35</f>
        <v>0</v>
      </c>
      <c r="VAC208" s="128">
        <f>DATA!VAF35</f>
        <v>0</v>
      </c>
      <c r="VAD208" s="128">
        <f>DATA!VAG35</f>
        <v>0</v>
      </c>
      <c r="VAE208" s="128">
        <f>DATA!VAH35</f>
        <v>0</v>
      </c>
      <c r="VAF208" s="128">
        <f>DATA!VAI35</f>
        <v>0</v>
      </c>
      <c r="VAG208" s="128">
        <f>DATA!VAJ35</f>
        <v>0</v>
      </c>
      <c r="VAH208" s="128">
        <f>DATA!VAK35</f>
        <v>0</v>
      </c>
      <c r="VAI208" s="128">
        <f>DATA!VAL35</f>
        <v>0</v>
      </c>
      <c r="VAJ208" s="128">
        <f>DATA!VAM35</f>
        <v>0</v>
      </c>
      <c r="VAK208" s="128">
        <f>DATA!VAN35</f>
        <v>0</v>
      </c>
      <c r="VAL208" s="128">
        <f>DATA!VAO35</f>
        <v>0</v>
      </c>
      <c r="VAM208" s="128">
        <f>DATA!VAP35</f>
        <v>0</v>
      </c>
      <c r="VAN208" s="128">
        <f>DATA!VAQ35</f>
        <v>0</v>
      </c>
      <c r="VAO208" s="128">
        <f>DATA!VAR35</f>
        <v>0</v>
      </c>
      <c r="VAP208" s="128">
        <f>DATA!VAS35</f>
        <v>0</v>
      </c>
      <c r="VAQ208" s="128">
        <f>DATA!VAT35</f>
        <v>0</v>
      </c>
      <c r="VAR208" s="128">
        <f>DATA!VAU35</f>
        <v>0</v>
      </c>
      <c r="VAS208" s="128">
        <f>DATA!VAV35</f>
        <v>0</v>
      </c>
      <c r="VAT208" s="128">
        <f>DATA!VAW35</f>
        <v>0</v>
      </c>
      <c r="VAU208" s="128">
        <f>DATA!VAX35</f>
        <v>0</v>
      </c>
      <c r="VAV208" s="128">
        <f>DATA!VAY35</f>
        <v>0</v>
      </c>
      <c r="VAW208" s="128">
        <f>DATA!VAZ35</f>
        <v>0</v>
      </c>
      <c r="VAX208" s="128">
        <f>DATA!VBA35</f>
        <v>0</v>
      </c>
      <c r="VAY208" s="128">
        <f>DATA!VBB35</f>
        <v>0</v>
      </c>
      <c r="VAZ208" s="128">
        <f>DATA!VBC35</f>
        <v>0</v>
      </c>
      <c r="VBA208" s="128">
        <f>DATA!VBD35</f>
        <v>0</v>
      </c>
      <c r="VBB208" s="128">
        <f>DATA!VBE35</f>
        <v>0</v>
      </c>
      <c r="VBC208" s="128">
        <f>DATA!VBF35</f>
        <v>0</v>
      </c>
      <c r="VBD208" s="128">
        <f>DATA!VBG35</f>
        <v>0</v>
      </c>
      <c r="VBE208" s="128">
        <f>DATA!VBH35</f>
        <v>0</v>
      </c>
      <c r="VBF208" s="128">
        <f>DATA!VBI35</f>
        <v>0</v>
      </c>
      <c r="VBG208" s="128">
        <f>DATA!VBJ35</f>
        <v>0</v>
      </c>
      <c r="VBH208" s="128">
        <f>DATA!VBK35</f>
        <v>0</v>
      </c>
      <c r="VBI208" s="128">
        <f>DATA!VBL35</f>
        <v>0</v>
      </c>
      <c r="VBJ208" s="128">
        <f>DATA!VBM35</f>
        <v>0</v>
      </c>
      <c r="VBK208" s="128">
        <f>DATA!VBN35</f>
        <v>0</v>
      </c>
      <c r="VBL208" s="128">
        <f>DATA!VBO35</f>
        <v>0</v>
      </c>
      <c r="VBM208" s="128">
        <f>DATA!VBP35</f>
        <v>0</v>
      </c>
      <c r="VBN208" s="128">
        <f>DATA!VBQ35</f>
        <v>0</v>
      </c>
      <c r="VBO208" s="128">
        <f>DATA!VBR35</f>
        <v>0</v>
      </c>
      <c r="VBP208" s="128">
        <f>DATA!VBS35</f>
        <v>0</v>
      </c>
      <c r="VBQ208" s="128">
        <f>DATA!VBT35</f>
        <v>0</v>
      </c>
      <c r="VBR208" s="128">
        <f>DATA!VBU35</f>
        <v>0</v>
      </c>
      <c r="VBS208" s="128">
        <f>DATA!VBV35</f>
        <v>0</v>
      </c>
      <c r="VBT208" s="128">
        <f>DATA!VBW35</f>
        <v>0</v>
      </c>
      <c r="VBU208" s="128">
        <f>DATA!VBX35</f>
        <v>0</v>
      </c>
      <c r="VBV208" s="128">
        <f>DATA!VBY35</f>
        <v>0</v>
      </c>
      <c r="VBW208" s="128">
        <f>DATA!VBZ35</f>
        <v>0</v>
      </c>
      <c r="VBX208" s="128">
        <f>DATA!VCA35</f>
        <v>0</v>
      </c>
      <c r="VBY208" s="128">
        <f>DATA!VCB35</f>
        <v>0</v>
      </c>
      <c r="VBZ208" s="128">
        <f>DATA!VCC35</f>
        <v>0</v>
      </c>
      <c r="VCA208" s="128">
        <f>DATA!VCD35</f>
        <v>0</v>
      </c>
      <c r="VCB208" s="128">
        <f>DATA!VCE35</f>
        <v>0</v>
      </c>
      <c r="VCC208" s="128">
        <f>DATA!VCF35</f>
        <v>0</v>
      </c>
      <c r="VCD208" s="128">
        <f>DATA!VCG35</f>
        <v>0</v>
      </c>
      <c r="VCE208" s="128">
        <f>DATA!VCH35</f>
        <v>0</v>
      </c>
      <c r="VCF208" s="128">
        <f>DATA!VCI35</f>
        <v>0</v>
      </c>
      <c r="VCG208" s="128">
        <f>DATA!VCJ35</f>
        <v>0</v>
      </c>
      <c r="VCH208" s="128">
        <f>DATA!VCK35</f>
        <v>0</v>
      </c>
      <c r="VCI208" s="128">
        <f>DATA!VCL35</f>
        <v>0</v>
      </c>
      <c r="VCJ208" s="128">
        <f>DATA!VCM35</f>
        <v>0</v>
      </c>
      <c r="VCK208" s="128">
        <f>DATA!VCN35</f>
        <v>0</v>
      </c>
      <c r="VCL208" s="128">
        <f>DATA!VCO35</f>
        <v>0</v>
      </c>
      <c r="VCM208" s="128">
        <f>DATA!VCP35</f>
        <v>0</v>
      </c>
      <c r="VCN208" s="128">
        <f>DATA!VCQ35</f>
        <v>0</v>
      </c>
      <c r="VCO208" s="128">
        <f>DATA!VCR35</f>
        <v>0</v>
      </c>
      <c r="VCP208" s="128">
        <f>DATA!VCS35</f>
        <v>0</v>
      </c>
      <c r="VCQ208" s="128">
        <f>DATA!VCT35</f>
        <v>0</v>
      </c>
      <c r="VCR208" s="128">
        <f>DATA!VCU35</f>
        <v>0</v>
      </c>
      <c r="VCS208" s="128">
        <f>DATA!VCV35</f>
        <v>0</v>
      </c>
      <c r="VCT208" s="128">
        <f>DATA!VCW35</f>
        <v>0</v>
      </c>
      <c r="VCU208" s="128">
        <f>DATA!VCX35</f>
        <v>0</v>
      </c>
      <c r="VCV208" s="128">
        <f>DATA!VCY35</f>
        <v>0</v>
      </c>
      <c r="VCW208" s="128">
        <f>DATA!VCZ35</f>
        <v>0</v>
      </c>
      <c r="VCX208" s="128">
        <f>DATA!VDA35</f>
        <v>0</v>
      </c>
      <c r="VCY208" s="128">
        <f>DATA!VDB35</f>
        <v>0</v>
      </c>
      <c r="VCZ208" s="128">
        <f>DATA!VDC35</f>
        <v>0</v>
      </c>
      <c r="VDA208" s="128">
        <f>DATA!VDD35</f>
        <v>0</v>
      </c>
      <c r="VDB208" s="128">
        <f>DATA!VDE35</f>
        <v>0</v>
      </c>
      <c r="VDC208" s="128">
        <f>DATA!VDF35</f>
        <v>0</v>
      </c>
      <c r="VDD208" s="128">
        <f>DATA!VDG35</f>
        <v>0</v>
      </c>
      <c r="VDE208" s="128">
        <f>DATA!VDH35</f>
        <v>0</v>
      </c>
      <c r="VDF208" s="128">
        <f>DATA!VDI35</f>
        <v>0</v>
      </c>
      <c r="VDG208" s="128">
        <f>DATA!VDJ35</f>
        <v>0</v>
      </c>
      <c r="VDH208" s="128">
        <f>DATA!VDK35</f>
        <v>0</v>
      </c>
      <c r="VDI208" s="128">
        <f>DATA!VDL35</f>
        <v>0</v>
      </c>
      <c r="VDJ208" s="128">
        <f>DATA!VDM35</f>
        <v>0</v>
      </c>
      <c r="VDK208" s="128">
        <f>DATA!VDN35</f>
        <v>0</v>
      </c>
      <c r="VDL208" s="128">
        <f>DATA!VDO35</f>
        <v>0</v>
      </c>
      <c r="VDM208" s="128">
        <f>DATA!VDP35</f>
        <v>0</v>
      </c>
      <c r="VDN208" s="128">
        <f>DATA!VDQ35</f>
        <v>0</v>
      </c>
      <c r="VDO208" s="128">
        <f>DATA!VDR35</f>
        <v>0</v>
      </c>
      <c r="VDP208" s="128">
        <f>DATA!VDS35</f>
        <v>0</v>
      </c>
      <c r="VDQ208" s="128">
        <f>DATA!VDT35</f>
        <v>0</v>
      </c>
      <c r="VDR208" s="128">
        <f>DATA!VDU35</f>
        <v>0</v>
      </c>
      <c r="VDS208" s="128">
        <f>DATA!VDV35</f>
        <v>0</v>
      </c>
      <c r="VDT208" s="128">
        <f>DATA!VDW35</f>
        <v>0</v>
      </c>
      <c r="VDU208" s="128">
        <f>DATA!VDX35</f>
        <v>0</v>
      </c>
      <c r="VDV208" s="128">
        <f>DATA!VDY35</f>
        <v>0</v>
      </c>
      <c r="VDW208" s="128">
        <f>DATA!VDZ35</f>
        <v>0</v>
      </c>
      <c r="VDX208" s="128">
        <f>DATA!VEA35</f>
        <v>0</v>
      </c>
      <c r="VDY208" s="128">
        <f>DATA!VEB35</f>
        <v>0</v>
      </c>
      <c r="VDZ208" s="128">
        <f>DATA!VEC35</f>
        <v>0</v>
      </c>
      <c r="VEA208" s="128">
        <f>DATA!VED35</f>
        <v>0</v>
      </c>
      <c r="VEB208" s="128">
        <f>DATA!VEE35</f>
        <v>0</v>
      </c>
      <c r="VEC208" s="128">
        <f>DATA!VEF35</f>
        <v>0</v>
      </c>
      <c r="VED208" s="128">
        <f>DATA!VEG35</f>
        <v>0</v>
      </c>
      <c r="VEE208" s="128">
        <f>DATA!VEH35</f>
        <v>0</v>
      </c>
      <c r="VEF208" s="128">
        <f>DATA!VEI35</f>
        <v>0</v>
      </c>
      <c r="VEG208" s="128">
        <f>DATA!VEJ35</f>
        <v>0</v>
      </c>
      <c r="VEH208" s="128">
        <f>DATA!VEK35</f>
        <v>0</v>
      </c>
      <c r="VEI208" s="128">
        <f>DATA!VEL35</f>
        <v>0</v>
      </c>
      <c r="VEJ208" s="128">
        <f>DATA!VEM35</f>
        <v>0</v>
      </c>
      <c r="VEK208" s="128">
        <f>DATA!VEN35</f>
        <v>0</v>
      </c>
      <c r="VEL208" s="128">
        <f>DATA!VEO35</f>
        <v>0</v>
      </c>
      <c r="VEM208" s="128">
        <f>DATA!VEP35</f>
        <v>0</v>
      </c>
      <c r="VEN208" s="128">
        <f>DATA!VEQ35</f>
        <v>0</v>
      </c>
      <c r="VEO208" s="128">
        <f>DATA!VER35</f>
        <v>0</v>
      </c>
      <c r="VEP208" s="128">
        <f>DATA!VES35</f>
        <v>0</v>
      </c>
      <c r="VEQ208" s="128">
        <f>DATA!VET35</f>
        <v>0</v>
      </c>
      <c r="VER208" s="128">
        <f>DATA!VEU35</f>
        <v>0</v>
      </c>
      <c r="VES208" s="128">
        <f>DATA!VEV35</f>
        <v>0</v>
      </c>
      <c r="VET208" s="128">
        <f>DATA!VEW35</f>
        <v>0</v>
      </c>
      <c r="VEU208" s="128">
        <f>DATA!VEX35</f>
        <v>0</v>
      </c>
      <c r="VEV208" s="128">
        <f>DATA!VEY35</f>
        <v>0</v>
      </c>
      <c r="VEW208" s="128">
        <f>DATA!VEZ35</f>
        <v>0</v>
      </c>
      <c r="VEX208" s="128">
        <f>DATA!VFA35</f>
        <v>0</v>
      </c>
      <c r="VEY208" s="128">
        <f>DATA!VFB35</f>
        <v>0</v>
      </c>
      <c r="VEZ208" s="128">
        <f>DATA!VFC35</f>
        <v>0</v>
      </c>
      <c r="VFA208" s="128">
        <f>DATA!VFD35</f>
        <v>0</v>
      </c>
      <c r="VFB208" s="128">
        <f>DATA!VFE35</f>
        <v>0</v>
      </c>
      <c r="VFC208" s="128">
        <f>DATA!VFF35</f>
        <v>0</v>
      </c>
      <c r="VFD208" s="128">
        <f>DATA!VFG35</f>
        <v>0</v>
      </c>
      <c r="VFE208" s="128">
        <f>DATA!VFH35</f>
        <v>0</v>
      </c>
      <c r="VFF208" s="128">
        <f>DATA!VFI35</f>
        <v>0</v>
      </c>
      <c r="VFG208" s="128">
        <f>DATA!VFJ35</f>
        <v>0</v>
      </c>
      <c r="VFH208" s="128">
        <f>DATA!VFK35</f>
        <v>0</v>
      </c>
      <c r="VFI208" s="128">
        <f>DATA!VFL35</f>
        <v>0</v>
      </c>
      <c r="VFJ208" s="128">
        <f>DATA!VFM35</f>
        <v>0</v>
      </c>
      <c r="VFK208" s="128">
        <f>DATA!VFN35</f>
        <v>0</v>
      </c>
      <c r="VFL208" s="128">
        <f>DATA!VFO35</f>
        <v>0</v>
      </c>
      <c r="VFM208" s="128">
        <f>DATA!VFP35</f>
        <v>0</v>
      </c>
      <c r="VFN208" s="128">
        <f>DATA!VFQ35</f>
        <v>0</v>
      </c>
      <c r="VFO208" s="128">
        <f>DATA!VFR35</f>
        <v>0</v>
      </c>
      <c r="VFP208" s="128">
        <f>DATA!VFS35</f>
        <v>0</v>
      </c>
      <c r="VFQ208" s="128">
        <f>DATA!VFT35</f>
        <v>0</v>
      </c>
      <c r="VFR208" s="128">
        <f>DATA!VFU35</f>
        <v>0</v>
      </c>
      <c r="VFS208" s="128">
        <f>DATA!VFV35</f>
        <v>0</v>
      </c>
      <c r="VFT208" s="128">
        <f>DATA!VFW35</f>
        <v>0</v>
      </c>
      <c r="VFU208" s="128">
        <f>DATA!VFX35</f>
        <v>0</v>
      </c>
      <c r="VFV208" s="128">
        <f>DATA!VFY35</f>
        <v>0</v>
      </c>
      <c r="VFW208" s="128">
        <f>DATA!VFZ35</f>
        <v>0</v>
      </c>
      <c r="VFX208" s="128">
        <f>DATA!VGA35</f>
        <v>0</v>
      </c>
      <c r="VFY208" s="128">
        <f>DATA!VGB35</f>
        <v>0</v>
      </c>
      <c r="VFZ208" s="128">
        <f>DATA!VGC35</f>
        <v>0</v>
      </c>
      <c r="VGA208" s="128">
        <f>DATA!VGD35</f>
        <v>0</v>
      </c>
      <c r="VGB208" s="128">
        <f>DATA!VGE35</f>
        <v>0</v>
      </c>
      <c r="VGC208" s="128">
        <f>DATA!VGF35</f>
        <v>0</v>
      </c>
      <c r="VGD208" s="128">
        <f>DATA!VGG35</f>
        <v>0</v>
      </c>
      <c r="VGE208" s="128">
        <f>DATA!VGH35</f>
        <v>0</v>
      </c>
      <c r="VGF208" s="128">
        <f>DATA!VGI35</f>
        <v>0</v>
      </c>
      <c r="VGG208" s="128">
        <f>DATA!VGJ35</f>
        <v>0</v>
      </c>
      <c r="VGH208" s="128">
        <f>DATA!VGK35</f>
        <v>0</v>
      </c>
      <c r="VGI208" s="128">
        <f>DATA!VGL35</f>
        <v>0</v>
      </c>
      <c r="VGJ208" s="128">
        <f>DATA!VGM35</f>
        <v>0</v>
      </c>
      <c r="VGK208" s="128">
        <f>DATA!VGN35</f>
        <v>0</v>
      </c>
      <c r="VGL208" s="128">
        <f>DATA!VGO35</f>
        <v>0</v>
      </c>
      <c r="VGM208" s="128">
        <f>DATA!VGP35</f>
        <v>0</v>
      </c>
      <c r="VGN208" s="128">
        <f>DATA!VGQ35</f>
        <v>0</v>
      </c>
      <c r="VGO208" s="128">
        <f>DATA!VGR35</f>
        <v>0</v>
      </c>
      <c r="VGP208" s="128">
        <f>DATA!VGS35</f>
        <v>0</v>
      </c>
      <c r="VGQ208" s="128">
        <f>DATA!VGT35</f>
        <v>0</v>
      </c>
      <c r="VGR208" s="128">
        <f>DATA!VGU35</f>
        <v>0</v>
      </c>
      <c r="VGS208" s="128">
        <f>DATA!VGV35</f>
        <v>0</v>
      </c>
      <c r="VGT208" s="128">
        <f>DATA!VGW35</f>
        <v>0</v>
      </c>
      <c r="VGU208" s="128">
        <f>DATA!VGX35</f>
        <v>0</v>
      </c>
      <c r="VGV208" s="128">
        <f>DATA!VGY35</f>
        <v>0</v>
      </c>
      <c r="VGW208" s="128">
        <f>DATA!VGZ35</f>
        <v>0</v>
      </c>
      <c r="VGX208" s="128">
        <f>DATA!VHA35</f>
        <v>0</v>
      </c>
      <c r="VGY208" s="128">
        <f>DATA!VHB35</f>
        <v>0</v>
      </c>
      <c r="VGZ208" s="128">
        <f>DATA!VHC35</f>
        <v>0</v>
      </c>
      <c r="VHA208" s="128">
        <f>DATA!VHD35</f>
        <v>0</v>
      </c>
      <c r="VHB208" s="128">
        <f>DATA!VHE35</f>
        <v>0</v>
      </c>
      <c r="VHC208" s="128">
        <f>DATA!VHF35</f>
        <v>0</v>
      </c>
      <c r="VHD208" s="128">
        <f>DATA!VHG35</f>
        <v>0</v>
      </c>
      <c r="VHE208" s="128">
        <f>DATA!VHH35</f>
        <v>0</v>
      </c>
      <c r="VHF208" s="128">
        <f>DATA!VHI35</f>
        <v>0</v>
      </c>
      <c r="VHG208" s="128">
        <f>DATA!VHJ35</f>
        <v>0</v>
      </c>
      <c r="VHH208" s="128">
        <f>DATA!VHK35</f>
        <v>0</v>
      </c>
      <c r="VHI208" s="128">
        <f>DATA!VHL35</f>
        <v>0</v>
      </c>
      <c r="VHJ208" s="128">
        <f>DATA!VHM35</f>
        <v>0</v>
      </c>
      <c r="VHK208" s="128">
        <f>DATA!VHN35</f>
        <v>0</v>
      </c>
      <c r="VHL208" s="128">
        <f>DATA!VHO35</f>
        <v>0</v>
      </c>
      <c r="VHM208" s="128">
        <f>DATA!VHP35</f>
        <v>0</v>
      </c>
      <c r="VHN208" s="128">
        <f>DATA!VHQ35</f>
        <v>0</v>
      </c>
      <c r="VHO208" s="128">
        <f>DATA!VHR35</f>
        <v>0</v>
      </c>
      <c r="VHP208" s="128">
        <f>DATA!VHS35</f>
        <v>0</v>
      </c>
      <c r="VHQ208" s="128">
        <f>DATA!VHT35</f>
        <v>0</v>
      </c>
      <c r="VHR208" s="128">
        <f>DATA!VHU35</f>
        <v>0</v>
      </c>
      <c r="VHS208" s="128">
        <f>DATA!VHV35</f>
        <v>0</v>
      </c>
      <c r="VHT208" s="128">
        <f>DATA!VHW35</f>
        <v>0</v>
      </c>
      <c r="VHU208" s="128">
        <f>DATA!VHX35</f>
        <v>0</v>
      </c>
      <c r="VHV208" s="128">
        <f>DATA!VHY35</f>
        <v>0</v>
      </c>
      <c r="VHW208" s="128">
        <f>DATA!VHZ35</f>
        <v>0</v>
      </c>
      <c r="VHX208" s="128">
        <f>DATA!VIA35</f>
        <v>0</v>
      </c>
      <c r="VHY208" s="128">
        <f>DATA!VIB35</f>
        <v>0</v>
      </c>
      <c r="VHZ208" s="128">
        <f>DATA!VIC35</f>
        <v>0</v>
      </c>
      <c r="VIA208" s="128">
        <f>DATA!VID35</f>
        <v>0</v>
      </c>
      <c r="VIB208" s="128">
        <f>DATA!VIE35</f>
        <v>0</v>
      </c>
      <c r="VIC208" s="128">
        <f>DATA!VIF35</f>
        <v>0</v>
      </c>
      <c r="VID208" s="128">
        <f>DATA!VIG35</f>
        <v>0</v>
      </c>
      <c r="VIE208" s="128">
        <f>DATA!VIH35</f>
        <v>0</v>
      </c>
      <c r="VIF208" s="128">
        <f>DATA!VII35</f>
        <v>0</v>
      </c>
      <c r="VIG208" s="128">
        <f>DATA!VIJ35</f>
        <v>0</v>
      </c>
      <c r="VIH208" s="128">
        <f>DATA!VIK35</f>
        <v>0</v>
      </c>
      <c r="VII208" s="128">
        <f>DATA!VIL35</f>
        <v>0</v>
      </c>
      <c r="VIJ208" s="128">
        <f>DATA!VIM35</f>
        <v>0</v>
      </c>
      <c r="VIK208" s="128">
        <f>DATA!VIN35</f>
        <v>0</v>
      </c>
      <c r="VIL208" s="128">
        <f>DATA!VIO35</f>
        <v>0</v>
      </c>
      <c r="VIM208" s="128">
        <f>DATA!VIP35</f>
        <v>0</v>
      </c>
      <c r="VIN208" s="128">
        <f>DATA!VIQ35</f>
        <v>0</v>
      </c>
      <c r="VIO208" s="128">
        <f>DATA!VIR35</f>
        <v>0</v>
      </c>
      <c r="VIP208" s="128">
        <f>DATA!VIS35</f>
        <v>0</v>
      </c>
      <c r="VIQ208" s="128">
        <f>DATA!VIT35</f>
        <v>0</v>
      </c>
      <c r="VIR208" s="128">
        <f>DATA!VIU35</f>
        <v>0</v>
      </c>
      <c r="VIS208" s="128">
        <f>DATA!VIV35</f>
        <v>0</v>
      </c>
      <c r="VIT208" s="128">
        <f>DATA!VIW35</f>
        <v>0</v>
      </c>
      <c r="VIU208" s="128">
        <f>DATA!VIX35</f>
        <v>0</v>
      </c>
      <c r="VIV208" s="128">
        <f>DATA!VIY35</f>
        <v>0</v>
      </c>
      <c r="VIW208" s="128">
        <f>DATA!VIZ35</f>
        <v>0</v>
      </c>
      <c r="VIX208" s="128">
        <f>DATA!VJA35</f>
        <v>0</v>
      </c>
      <c r="VIY208" s="128">
        <f>DATA!VJB35</f>
        <v>0</v>
      </c>
      <c r="VIZ208" s="128">
        <f>DATA!VJC35</f>
        <v>0</v>
      </c>
      <c r="VJA208" s="128">
        <f>DATA!VJD35</f>
        <v>0</v>
      </c>
      <c r="VJB208" s="128">
        <f>DATA!VJE35</f>
        <v>0</v>
      </c>
      <c r="VJC208" s="128">
        <f>DATA!VJF35</f>
        <v>0</v>
      </c>
      <c r="VJD208" s="128">
        <f>DATA!VJG35</f>
        <v>0</v>
      </c>
      <c r="VJE208" s="128">
        <f>DATA!VJH35</f>
        <v>0</v>
      </c>
      <c r="VJF208" s="128">
        <f>DATA!VJI35</f>
        <v>0</v>
      </c>
      <c r="VJG208" s="128">
        <f>DATA!VJJ35</f>
        <v>0</v>
      </c>
      <c r="VJH208" s="128">
        <f>DATA!VJK35</f>
        <v>0</v>
      </c>
      <c r="VJI208" s="128">
        <f>DATA!VJL35</f>
        <v>0</v>
      </c>
      <c r="VJJ208" s="128">
        <f>DATA!VJM35</f>
        <v>0</v>
      </c>
      <c r="VJK208" s="128">
        <f>DATA!VJN35</f>
        <v>0</v>
      </c>
      <c r="VJL208" s="128">
        <f>DATA!VJO35</f>
        <v>0</v>
      </c>
      <c r="VJM208" s="128">
        <f>DATA!VJP35</f>
        <v>0</v>
      </c>
      <c r="VJN208" s="128">
        <f>DATA!VJQ35</f>
        <v>0</v>
      </c>
      <c r="VJO208" s="128">
        <f>DATA!VJR35</f>
        <v>0</v>
      </c>
      <c r="VJP208" s="128">
        <f>DATA!VJS35</f>
        <v>0</v>
      </c>
      <c r="VJQ208" s="128">
        <f>DATA!VJT35</f>
        <v>0</v>
      </c>
      <c r="VJR208" s="128">
        <f>DATA!VJU35</f>
        <v>0</v>
      </c>
      <c r="VJS208" s="128">
        <f>DATA!VJV35</f>
        <v>0</v>
      </c>
      <c r="VJT208" s="128">
        <f>DATA!VJW35</f>
        <v>0</v>
      </c>
      <c r="VJU208" s="128">
        <f>DATA!VJX35</f>
        <v>0</v>
      </c>
      <c r="VJV208" s="128">
        <f>DATA!VJY35</f>
        <v>0</v>
      </c>
      <c r="VJW208" s="128">
        <f>DATA!VJZ35</f>
        <v>0</v>
      </c>
      <c r="VJX208" s="128">
        <f>DATA!VKA35</f>
        <v>0</v>
      </c>
      <c r="VJY208" s="128">
        <f>DATA!VKB35</f>
        <v>0</v>
      </c>
      <c r="VJZ208" s="128">
        <f>DATA!VKC35</f>
        <v>0</v>
      </c>
      <c r="VKA208" s="128">
        <f>DATA!VKD35</f>
        <v>0</v>
      </c>
      <c r="VKB208" s="128">
        <f>DATA!VKE35</f>
        <v>0</v>
      </c>
      <c r="VKC208" s="128">
        <f>DATA!VKF35</f>
        <v>0</v>
      </c>
      <c r="VKD208" s="128">
        <f>DATA!VKG35</f>
        <v>0</v>
      </c>
      <c r="VKE208" s="128">
        <f>DATA!VKH35</f>
        <v>0</v>
      </c>
      <c r="VKF208" s="128">
        <f>DATA!VKI35</f>
        <v>0</v>
      </c>
      <c r="VKG208" s="128">
        <f>DATA!VKJ35</f>
        <v>0</v>
      </c>
      <c r="VKH208" s="128">
        <f>DATA!VKK35</f>
        <v>0</v>
      </c>
      <c r="VKI208" s="128">
        <f>DATA!VKL35</f>
        <v>0</v>
      </c>
      <c r="VKJ208" s="128">
        <f>DATA!VKM35</f>
        <v>0</v>
      </c>
      <c r="VKK208" s="128">
        <f>DATA!VKN35</f>
        <v>0</v>
      </c>
      <c r="VKL208" s="128">
        <f>DATA!VKO35</f>
        <v>0</v>
      </c>
      <c r="VKM208" s="128">
        <f>DATA!VKP35</f>
        <v>0</v>
      </c>
      <c r="VKN208" s="128">
        <f>DATA!VKQ35</f>
        <v>0</v>
      </c>
      <c r="VKO208" s="128">
        <f>DATA!VKR35</f>
        <v>0</v>
      </c>
      <c r="VKP208" s="128">
        <f>DATA!VKS35</f>
        <v>0</v>
      </c>
      <c r="VKQ208" s="128">
        <f>DATA!VKT35</f>
        <v>0</v>
      </c>
      <c r="VKR208" s="128">
        <f>DATA!VKU35</f>
        <v>0</v>
      </c>
      <c r="VKS208" s="128">
        <f>DATA!VKV35</f>
        <v>0</v>
      </c>
      <c r="VKT208" s="128">
        <f>DATA!VKW35</f>
        <v>0</v>
      </c>
      <c r="VKU208" s="128">
        <f>DATA!VKX35</f>
        <v>0</v>
      </c>
      <c r="VKV208" s="128">
        <f>DATA!VKY35</f>
        <v>0</v>
      </c>
      <c r="VKW208" s="128">
        <f>DATA!VKZ35</f>
        <v>0</v>
      </c>
      <c r="VKX208" s="128">
        <f>DATA!VLA35</f>
        <v>0</v>
      </c>
      <c r="VKY208" s="128">
        <f>DATA!VLB35</f>
        <v>0</v>
      </c>
      <c r="VKZ208" s="128">
        <f>DATA!VLC35</f>
        <v>0</v>
      </c>
      <c r="VLA208" s="128">
        <f>DATA!VLD35</f>
        <v>0</v>
      </c>
      <c r="VLB208" s="128">
        <f>DATA!VLE35</f>
        <v>0</v>
      </c>
      <c r="VLC208" s="128">
        <f>DATA!VLF35</f>
        <v>0</v>
      </c>
      <c r="VLD208" s="128">
        <f>DATA!VLG35</f>
        <v>0</v>
      </c>
      <c r="VLE208" s="128">
        <f>DATA!VLH35</f>
        <v>0</v>
      </c>
      <c r="VLF208" s="128">
        <f>DATA!VLI35</f>
        <v>0</v>
      </c>
      <c r="VLG208" s="128">
        <f>DATA!VLJ35</f>
        <v>0</v>
      </c>
      <c r="VLH208" s="128">
        <f>DATA!VLK35</f>
        <v>0</v>
      </c>
      <c r="VLI208" s="128">
        <f>DATA!VLL35</f>
        <v>0</v>
      </c>
      <c r="VLJ208" s="128">
        <f>DATA!VLM35</f>
        <v>0</v>
      </c>
      <c r="VLK208" s="128">
        <f>DATA!VLN35</f>
        <v>0</v>
      </c>
      <c r="VLL208" s="128">
        <f>DATA!VLO35</f>
        <v>0</v>
      </c>
      <c r="VLM208" s="128">
        <f>DATA!VLP35</f>
        <v>0</v>
      </c>
      <c r="VLN208" s="128">
        <f>DATA!VLQ35</f>
        <v>0</v>
      </c>
      <c r="VLO208" s="128">
        <f>DATA!VLR35</f>
        <v>0</v>
      </c>
      <c r="VLP208" s="128">
        <f>DATA!VLS35</f>
        <v>0</v>
      </c>
      <c r="VLQ208" s="128">
        <f>DATA!VLT35</f>
        <v>0</v>
      </c>
      <c r="VLR208" s="128">
        <f>DATA!VLU35</f>
        <v>0</v>
      </c>
      <c r="VLS208" s="128">
        <f>DATA!VLV35</f>
        <v>0</v>
      </c>
      <c r="VLT208" s="128">
        <f>DATA!VLW35</f>
        <v>0</v>
      </c>
      <c r="VLU208" s="128">
        <f>DATA!VLX35</f>
        <v>0</v>
      </c>
      <c r="VLV208" s="128">
        <f>DATA!VLY35</f>
        <v>0</v>
      </c>
      <c r="VLW208" s="128">
        <f>DATA!VLZ35</f>
        <v>0</v>
      </c>
      <c r="VLX208" s="128">
        <f>DATA!VMA35</f>
        <v>0</v>
      </c>
      <c r="VLY208" s="128">
        <f>DATA!VMB35</f>
        <v>0</v>
      </c>
      <c r="VLZ208" s="128">
        <f>DATA!VMC35</f>
        <v>0</v>
      </c>
      <c r="VMA208" s="128">
        <f>DATA!VMD35</f>
        <v>0</v>
      </c>
      <c r="VMB208" s="128">
        <f>DATA!VME35</f>
        <v>0</v>
      </c>
      <c r="VMC208" s="128">
        <f>DATA!VMF35</f>
        <v>0</v>
      </c>
      <c r="VMD208" s="128">
        <f>DATA!VMG35</f>
        <v>0</v>
      </c>
      <c r="VME208" s="128">
        <f>DATA!VMH35</f>
        <v>0</v>
      </c>
      <c r="VMF208" s="128">
        <f>DATA!VMI35</f>
        <v>0</v>
      </c>
      <c r="VMG208" s="128">
        <f>DATA!VMJ35</f>
        <v>0</v>
      </c>
      <c r="VMH208" s="128">
        <f>DATA!VMK35</f>
        <v>0</v>
      </c>
      <c r="VMI208" s="128">
        <f>DATA!VML35</f>
        <v>0</v>
      </c>
      <c r="VMJ208" s="128">
        <f>DATA!VMM35</f>
        <v>0</v>
      </c>
      <c r="VMK208" s="128">
        <f>DATA!VMN35</f>
        <v>0</v>
      </c>
      <c r="VML208" s="128">
        <f>DATA!VMO35</f>
        <v>0</v>
      </c>
      <c r="VMM208" s="128">
        <f>DATA!VMP35</f>
        <v>0</v>
      </c>
      <c r="VMN208" s="128">
        <f>DATA!VMQ35</f>
        <v>0</v>
      </c>
      <c r="VMO208" s="128">
        <f>DATA!VMR35</f>
        <v>0</v>
      </c>
      <c r="VMP208" s="128">
        <f>DATA!VMS35</f>
        <v>0</v>
      </c>
      <c r="VMQ208" s="128">
        <f>DATA!VMT35</f>
        <v>0</v>
      </c>
      <c r="VMR208" s="128">
        <f>DATA!VMU35</f>
        <v>0</v>
      </c>
      <c r="VMS208" s="128">
        <f>DATA!VMV35</f>
        <v>0</v>
      </c>
      <c r="VMT208" s="128">
        <f>DATA!VMW35</f>
        <v>0</v>
      </c>
      <c r="VMU208" s="128">
        <f>DATA!VMX35</f>
        <v>0</v>
      </c>
      <c r="VMV208" s="128">
        <f>DATA!VMY35</f>
        <v>0</v>
      </c>
      <c r="VMW208" s="128">
        <f>DATA!VMZ35</f>
        <v>0</v>
      </c>
      <c r="VMX208" s="128">
        <f>DATA!VNA35</f>
        <v>0</v>
      </c>
      <c r="VMY208" s="128">
        <f>DATA!VNB35</f>
        <v>0</v>
      </c>
      <c r="VMZ208" s="128">
        <f>DATA!VNC35</f>
        <v>0</v>
      </c>
      <c r="VNA208" s="128">
        <f>DATA!VND35</f>
        <v>0</v>
      </c>
      <c r="VNB208" s="128">
        <f>DATA!VNE35</f>
        <v>0</v>
      </c>
      <c r="VNC208" s="128">
        <f>DATA!VNF35</f>
        <v>0</v>
      </c>
      <c r="VND208" s="128">
        <f>DATA!VNG35</f>
        <v>0</v>
      </c>
      <c r="VNE208" s="128">
        <f>DATA!VNH35</f>
        <v>0</v>
      </c>
      <c r="VNF208" s="128">
        <f>DATA!VNI35</f>
        <v>0</v>
      </c>
      <c r="VNG208" s="128">
        <f>DATA!VNJ35</f>
        <v>0</v>
      </c>
      <c r="VNH208" s="128">
        <f>DATA!VNK35</f>
        <v>0</v>
      </c>
      <c r="VNI208" s="128">
        <f>DATA!VNL35</f>
        <v>0</v>
      </c>
      <c r="VNJ208" s="128">
        <f>DATA!VNM35</f>
        <v>0</v>
      </c>
      <c r="VNK208" s="128">
        <f>DATA!VNN35</f>
        <v>0</v>
      </c>
      <c r="VNL208" s="128">
        <f>DATA!VNO35</f>
        <v>0</v>
      </c>
      <c r="VNM208" s="128">
        <f>DATA!VNP35</f>
        <v>0</v>
      </c>
      <c r="VNN208" s="128">
        <f>DATA!VNQ35</f>
        <v>0</v>
      </c>
      <c r="VNO208" s="128">
        <f>DATA!VNR35</f>
        <v>0</v>
      </c>
      <c r="VNP208" s="128">
        <f>DATA!VNS35</f>
        <v>0</v>
      </c>
      <c r="VNQ208" s="128">
        <f>DATA!VNT35</f>
        <v>0</v>
      </c>
      <c r="VNR208" s="128">
        <f>DATA!VNU35</f>
        <v>0</v>
      </c>
      <c r="VNS208" s="128">
        <f>DATA!VNV35</f>
        <v>0</v>
      </c>
      <c r="VNT208" s="128">
        <f>DATA!VNW35</f>
        <v>0</v>
      </c>
      <c r="VNU208" s="128">
        <f>DATA!VNX35</f>
        <v>0</v>
      </c>
      <c r="VNV208" s="128">
        <f>DATA!VNY35</f>
        <v>0</v>
      </c>
      <c r="VNW208" s="128">
        <f>DATA!VNZ35</f>
        <v>0</v>
      </c>
      <c r="VNX208" s="128">
        <f>DATA!VOA35</f>
        <v>0</v>
      </c>
      <c r="VNY208" s="128">
        <f>DATA!VOB35</f>
        <v>0</v>
      </c>
      <c r="VNZ208" s="128">
        <f>DATA!VOC35</f>
        <v>0</v>
      </c>
      <c r="VOA208" s="128">
        <f>DATA!VOD35</f>
        <v>0</v>
      </c>
      <c r="VOB208" s="128">
        <f>DATA!VOE35</f>
        <v>0</v>
      </c>
      <c r="VOC208" s="128">
        <f>DATA!VOF35</f>
        <v>0</v>
      </c>
      <c r="VOD208" s="128">
        <f>DATA!VOG35</f>
        <v>0</v>
      </c>
      <c r="VOE208" s="128">
        <f>DATA!VOH35</f>
        <v>0</v>
      </c>
      <c r="VOF208" s="128">
        <f>DATA!VOI35</f>
        <v>0</v>
      </c>
      <c r="VOG208" s="128">
        <f>DATA!VOJ35</f>
        <v>0</v>
      </c>
      <c r="VOH208" s="128">
        <f>DATA!VOK35</f>
        <v>0</v>
      </c>
      <c r="VOI208" s="128">
        <f>DATA!VOL35</f>
        <v>0</v>
      </c>
      <c r="VOJ208" s="128">
        <f>DATA!VOM35</f>
        <v>0</v>
      </c>
      <c r="VOK208" s="128">
        <f>DATA!VON35</f>
        <v>0</v>
      </c>
      <c r="VOL208" s="128">
        <f>DATA!VOO35</f>
        <v>0</v>
      </c>
      <c r="VOM208" s="128">
        <f>DATA!VOP35</f>
        <v>0</v>
      </c>
      <c r="VON208" s="128">
        <f>DATA!VOQ35</f>
        <v>0</v>
      </c>
      <c r="VOO208" s="128">
        <f>DATA!VOR35</f>
        <v>0</v>
      </c>
      <c r="VOP208" s="128">
        <f>DATA!VOS35</f>
        <v>0</v>
      </c>
      <c r="VOQ208" s="128">
        <f>DATA!VOT35</f>
        <v>0</v>
      </c>
      <c r="VOR208" s="128">
        <f>DATA!VOU35</f>
        <v>0</v>
      </c>
      <c r="VOS208" s="128">
        <f>DATA!VOV35</f>
        <v>0</v>
      </c>
      <c r="VOT208" s="128">
        <f>DATA!VOW35</f>
        <v>0</v>
      </c>
      <c r="VOU208" s="128">
        <f>DATA!VOX35</f>
        <v>0</v>
      </c>
      <c r="VOV208" s="128">
        <f>DATA!VOY35</f>
        <v>0</v>
      </c>
      <c r="VOW208" s="128">
        <f>DATA!VOZ35</f>
        <v>0</v>
      </c>
      <c r="VOX208" s="128">
        <f>DATA!VPA35</f>
        <v>0</v>
      </c>
      <c r="VOY208" s="128">
        <f>DATA!VPB35</f>
        <v>0</v>
      </c>
      <c r="VOZ208" s="128">
        <f>DATA!VPC35</f>
        <v>0</v>
      </c>
      <c r="VPA208" s="128">
        <f>DATA!VPD35</f>
        <v>0</v>
      </c>
      <c r="VPB208" s="128">
        <f>DATA!VPE35</f>
        <v>0</v>
      </c>
      <c r="VPC208" s="128">
        <f>DATA!VPF35</f>
        <v>0</v>
      </c>
      <c r="VPD208" s="128">
        <f>DATA!VPG35</f>
        <v>0</v>
      </c>
      <c r="VPE208" s="128">
        <f>DATA!VPH35</f>
        <v>0</v>
      </c>
      <c r="VPF208" s="128">
        <f>DATA!VPI35</f>
        <v>0</v>
      </c>
      <c r="VPG208" s="128">
        <f>DATA!VPJ35</f>
        <v>0</v>
      </c>
      <c r="VPH208" s="128">
        <f>DATA!VPK35</f>
        <v>0</v>
      </c>
      <c r="VPI208" s="128">
        <f>DATA!VPL35</f>
        <v>0</v>
      </c>
      <c r="VPJ208" s="128">
        <f>DATA!VPM35</f>
        <v>0</v>
      </c>
      <c r="VPK208" s="128">
        <f>DATA!VPN35</f>
        <v>0</v>
      </c>
      <c r="VPL208" s="128">
        <f>DATA!VPO35</f>
        <v>0</v>
      </c>
      <c r="VPM208" s="128">
        <f>DATA!VPP35</f>
        <v>0</v>
      </c>
      <c r="VPN208" s="128">
        <f>DATA!VPQ35</f>
        <v>0</v>
      </c>
      <c r="VPO208" s="128">
        <f>DATA!VPR35</f>
        <v>0</v>
      </c>
      <c r="VPP208" s="128">
        <f>DATA!VPS35</f>
        <v>0</v>
      </c>
      <c r="VPQ208" s="128">
        <f>DATA!VPT35</f>
        <v>0</v>
      </c>
      <c r="VPR208" s="128">
        <f>DATA!VPU35</f>
        <v>0</v>
      </c>
      <c r="VPS208" s="128">
        <f>DATA!VPV35</f>
        <v>0</v>
      </c>
      <c r="VPT208" s="128">
        <f>DATA!VPW35</f>
        <v>0</v>
      </c>
      <c r="VPU208" s="128">
        <f>DATA!VPX35</f>
        <v>0</v>
      </c>
      <c r="VPV208" s="128">
        <f>DATA!VPY35</f>
        <v>0</v>
      </c>
      <c r="VPW208" s="128">
        <f>DATA!VPZ35</f>
        <v>0</v>
      </c>
      <c r="VPX208" s="128">
        <f>DATA!VQA35</f>
        <v>0</v>
      </c>
      <c r="VPY208" s="128">
        <f>DATA!VQB35</f>
        <v>0</v>
      </c>
      <c r="VPZ208" s="128">
        <f>DATA!VQC35</f>
        <v>0</v>
      </c>
      <c r="VQA208" s="128">
        <f>DATA!VQD35</f>
        <v>0</v>
      </c>
      <c r="VQB208" s="128">
        <f>DATA!VQE35</f>
        <v>0</v>
      </c>
      <c r="VQC208" s="128">
        <f>DATA!VQF35</f>
        <v>0</v>
      </c>
      <c r="VQD208" s="128">
        <f>DATA!VQG35</f>
        <v>0</v>
      </c>
      <c r="VQE208" s="128">
        <f>DATA!VQH35</f>
        <v>0</v>
      </c>
      <c r="VQF208" s="128">
        <f>DATA!VQI35</f>
        <v>0</v>
      </c>
      <c r="VQG208" s="128">
        <f>DATA!VQJ35</f>
        <v>0</v>
      </c>
      <c r="VQH208" s="128">
        <f>DATA!VQK35</f>
        <v>0</v>
      </c>
      <c r="VQI208" s="128">
        <f>DATA!VQL35</f>
        <v>0</v>
      </c>
      <c r="VQJ208" s="128">
        <f>DATA!VQM35</f>
        <v>0</v>
      </c>
      <c r="VQK208" s="128">
        <f>DATA!VQN35</f>
        <v>0</v>
      </c>
      <c r="VQL208" s="128">
        <f>DATA!VQO35</f>
        <v>0</v>
      </c>
      <c r="VQM208" s="128">
        <f>DATA!VQP35</f>
        <v>0</v>
      </c>
      <c r="VQN208" s="128">
        <f>DATA!VQQ35</f>
        <v>0</v>
      </c>
      <c r="VQO208" s="128">
        <f>DATA!VQR35</f>
        <v>0</v>
      </c>
      <c r="VQP208" s="128">
        <f>DATA!VQS35</f>
        <v>0</v>
      </c>
      <c r="VQQ208" s="128">
        <f>DATA!VQT35</f>
        <v>0</v>
      </c>
      <c r="VQR208" s="128">
        <f>DATA!VQU35</f>
        <v>0</v>
      </c>
      <c r="VQS208" s="128">
        <f>DATA!VQV35</f>
        <v>0</v>
      </c>
      <c r="VQT208" s="128">
        <f>DATA!VQW35</f>
        <v>0</v>
      </c>
      <c r="VQU208" s="128">
        <f>DATA!VQX35</f>
        <v>0</v>
      </c>
      <c r="VQV208" s="128">
        <f>DATA!VQY35</f>
        <v>0</v>
      </c>
      <c r="VQW208" s="128">
        <f>DATA!VQZ35</f>
        <v>0</v>
      </c>
      <c r="VQX208" s="128">
        <f>DATA!VRA35</f>
        <v>0</v>
      </c>
      <c r="VQY208" s="128">
        <f>DATA!VRB35</f>
        <v>0</v>
      </c>
      <c r="VQZ208" s="128">
        <f>DATA!VRC35</f>
        <v>0</v>
      </c>
      <c r="VRA208" s="128">
        <f>DATA!VRD35</f>
        <v>0</v>
      </c>
      <c r="VRB208" s="128">
        <f>DATA!VRE35</f>
        <v>0</v>
      </c>
      <c r="VRC208" s="128">
        <f>DATA!VRF35</f>
        <v>0</v>
      </c>
      <c r="VRD208" s="128">
        <f>DATA!VRG35</f>
        <v>0</v>
      </c>
      <c r="VRE208" s="128">
        <f>DATA!VRH35</f>
        <v>0</v>
      </c>
      <c r="VRF208" s="128">
        <f>DATA!VRI35</f>
        <v>0</v>
      </c>
      <c r="VRG208" s="128">
        <f>DATA!VRJ35</f>
        <v>0</v>
      </c>
      <c r="VRH208" s="128">
        <f>DATA!VRK35</f>
        <v>0</v>
      </c>
      <c r="VRI208" s="128">
        <f>DATA!VRL35</f>
        <v>0</v>
      </c>
      <c r="VRJ208" s="128">
        <f>DATA!VRM35</f>
        <v>0</v>
      </c>
      <c r="VRK208" s="128">
        <f>DATA!VRN35</f>
        <v>0</v>
      </c>
      <c r="VRL208" s="128">
        <f>DATA!VRO35</f>
        <v>0</v>
      </c>
      <c r="VRM208" s="128">
        <f>DATA!VRP35</f>
        <v>0</v>
      </c>
      <c r="VRN208" s="128">
        <f>DATA!VRQ35</f>
        <v>0</v>
      </c>
      <c r="VRO208" s="128">
        <f>DATA!VRR35</f>
        <v>0</v>
      </c>
      <c r="VRP208" s="128">
        <f>DATA!VRS35</f>
        <v>0</v>
      </c>
      <c r="VRQ208" s="128">
        <f>DATA!VRT35</f>
        <v>0</v>
      </c>
      <c r="VRR208" s="128">
        <f>DATA!VRU35</f>
        <v>0</v>
      </c>
      <c r="VRS208" s="128">
        <f>DATA!VRV35</f>
        <v>0</v>
      </c>
      <c r="VRT208" s="128">
        <f>DATA!VRW35</f>
        <v>0</v>
      </c>
      <c r="VRU208" s="128">
        <f>DATA!VRX35</f>
        <v>0</v>
      </c>
      <c r="VRV208" s="128">
        <f>DATA!VRY35</f>
        <v>0</v>
      </c>
      <c r="VRW208" s="128">
        <f>DATA!VRZ35</f>
        <v>0</v>
      </c>
      <c r="VRX208" s="128">
        <f>DATA!VSA35</f>
        <v>0</v>
      </c>
      <c r="VRY208" s="128">
        <f>DATA!VSB35</f>
        <v>0</v>
      </c>
      <c r="VRZ208" s="128">
        <f>DATA!VSC35</f>
        <v>0</v>
      </c>
      <c r="VSA208" s="128">
        <f>DATA!VSD35</f>
        <v>0</v>
      </c>
      <c r="VSB208" s="128">
        <f>DATA!VSE35</f>
        <v>0</v>
      </c>
      <c r="VSC208" s="128">
        <f>DATA!VSF35</f>
        <v>0</v>
      </c>
      <c r="VSD208" s="128">
        <f>DATA!VSG35</f>
        <v>0</v>
      </c>
      <c r="VSE208" s="128">
        <f>DATA!VSH35</f>
        <v>0</v>
      </c>
      <c r="VSF208" s="128">
        <f>DATA!VSI35</f>
        <v>0</v>
      </c>
      <c r="VSG208" s="128">
        <f>DATA!VSJ35</f>
        <v>0</v>
      </c>
      <c r="VSH208" s="128">
        <f>DATA!VSK35</f>
        <v>0</v>
      </c>
      <c r="VSI208" s="128">
        <f>DATA!VSL35</f>
        <v>0</v>
      </c>
      <c r="VSJ208" s="128">
        <f>DATA!VSM35</f>
        <v>0</v>
      </c>
      <c r="VSK208" s="128">
        <f>DATA!VSN35</f>
        <v>0</v>
      </c>
      <c r="VSL208" s="128">
        <f>DATA!VSO35</f>
        <v>0</v>
      </c>
      <c r="VSM208" s="128">
        <f>DATA!VSP35</f>
        <v>0</v>
      </c>
      <c r="VSN208" s="128">
        <f>DATA!VSQ35</f>
        <v>0</v>
      </c>
      <c r="VSO208" s="128">
        <f>DATA!VSR35</f>
        <v>0</v>
      </c>
      <c r="VSP208" s="128">
        <f>DATA!VSS35</f>
        <v>0</v>
      </c>
      <c r="VSQ208" s="128">
        <f>DATA!VST35</f>
        <v>0</v>
      </c>
      <c r="VSR208" s="128">
        <f>DATA!VSU35</f>
        <v>0</v>
      </c>
      <c r="VSS208" s="128">
        <f>DATA!VSV35</f>
        <v>0</v>
      </c>
      <c r="VST208" s="128">
        <f>DATA!VSW35</f>
        <v>0</v>
      </c>
      <c r="VSU208" s="128">
        <f>DATA!VSX35</f>
        <v>0</v>
      </c>
      <c r="VSV208" s="128">
        <f>DATA!VSY35</f>
        <v>0</v>
      </c>
      <c r="VSW208" s="128">
        <f>DATA!VSZ35</f>
        <v>0</v>
      </c>
      <c r="VSX208" s="128">
        <f>DATA!VTA35</f>
        <v>0</v>
      </c>
      <c r="VSY208" s="128">
        <f>DATA!VTB35</f>
        <v>0</v>
      </c>
      <c r="VSZ208" s="128">
        <f>DATA!VTC35</f>
        <v>0</v>
      </c>
      <c r="VTA208" s="128">
        <f>DATA!VTD35</f>
        <v>0</v>
      </c>
      <c r="VTB208" s="128">
        <f>DATA!VTE35</f>
        <v>0</v>
      </c>
      <c r="VTC208" s="128">
        <f>DATA!VTF35</f>
        <v>0</v>
      </c>
      <c r="VTD208" s="128">
        <f>DATA!VTG35</f>
        <v>0</v>
      </c>
      <c r="VTE208" s="128">
        <f>DATA!VTH35</f>
        <v>0</v>
      </c>
      <c r="VTF208" s="128">
        <f>DATA!VTI35</f>
        <v>0</v>
      </c>
      <c r="VTG208" s="128">
        <f>DATA!VTJ35</f>
        <v>0</v>
      </c>
      <c r="VTH208" s="128">
        <f>DATA!VTK35</f>
        <v>0</v>
      </c>
      <c r="VTI208" s="128">
        <f>DATA!VTL35</f>
        <v>0</v>
      </c>
      <c r="VTJ208" s="128">
        <f>DATA!VTM35</f>
        <v>0</v>
      </c>
      <c r="VTK208" s="128">
        <f>DATA!VTN35</f>
        <v>0</v>
      </c>
      <c r="VTL208" s="128">
        <f>DATA!VTO35</f>
        <v>0</v>
      </c>
      <c r="VTM208" s="128">
        <f>DATA!VTP35</f>
        <v>0</v>
      </c>
      <c r="VTN208" s="128">
        <f>DATA!VTQ35</f>
        <v>0</v>
      </c>
      <c r="VTO208" s="128">
        <f>DATA!VTR35</f>
        <v>0</v>
      </c>
      <c r="VTP208" s="128">
        <f>DATA!VTS35</f>
        <v>0</v>
      </c>
      <c r="VTQ208" s="128">
        <f>DATA!VTT35</f>
        <v>0</v>
      </c>
      <c r="VTR208" s="128">
        <f>DATA!VTU35</f>
        <v>0</v>
      </c>
      <c r="VTS208" s="128">
        <f>DATA!VTV35</f>
        <v>0</v>
      </c>
      <c r="VTT208" s="128">
        <f>DATA!VTW35</f>
        <v>0</v>
      </c>
      <c r="VTU208" s="128">
        <f>DATA!VTX35</f>
        <v>0</v>
      </c>
      <c r="VTV208" s="128">
        <f>DATA!VTY35</f>
        <v>0</v>
      </c>
      <c r="VTW208" s="128">
        <f>DATA!VTZ35</f>
        <v>0</v>
      </c>
      <c r="VTX208" s="128">
        <f>DATA!VUA35</f>
        <v>0</v>
      </c>
      <c r="VTY208" s="128">
        <f>DATA!VUB35</f>
        <v>0</v>
      </c>
      <c r="VTZ208" s="128">
        <f>DATA!VUC35</f>
        <v>0</v>
      </c>
      <c r="VUA208" s="128">
        <f>DATA!VUD35</f>
        <v>0</v>
      </c>
      <c r="VUB208" s="128">
        <f>DATA!VUE35</f>
        <v>0</v>
      </c>
      <c r="VUC208" s="128">
        <f>DATA!VUF35</f>
        <v>0</v>
      </c>
      <c r="VUD208" s="128">
        <f>DATA!VUG35</f>
        <v>0</v>
      </c>
      <c r="VUE208" s="128">
        <f>DATA!VUH35</f>
        <v>0</v>
      </c>
      <c r="VUF208" s="128">
        <f>DATA!VUI35</f>
        <v>0</v>
      </c>
      <c r="VUG208" s="128">
        <f>DATA!VUJ35</f>
        <v>0</v>
      </c>
      <c r="VUH208" s="128">
        <f>DATA!VUK35</f>
        <v>0</v>
      </c>
      <c r="VUI208" s="128">
        <f>DATA!VUL35</f>
        <v>0</v>
      </c>
      <c r="VUJ208" s="128">
        <f>DATA!VUM35</f>
        <v>0</v>
      </c>
      <c r="VUK208" s="128">
        <f>DATA!VUN35</f>
        <v>0</v>
      </c>
      <c r="VUL208" s="128">
        <f>DATA!VUO35</f>
        <v>0</v>
      </c>
      <c r="VUM208" s="128">
        <f>DATA!VUP35</f>
        <v>0</v>
      </c>
      <c r="VUN208" s="128">
        <f>DATA!VUQ35</f>
        <v>0</v>
      </c>
      <c r="VUO208" s="128">
        <f>DATA!VUR35</f>
        <v>0</v>
      </c>
      <c r="VUP208" s="128">
        <f>DATA!VUS35</f>
        <v>0</v>
      </c>
      <c r="VUQ208" s="128">
        <f>DATA!VUT35</f>
        <v>0</v>
      </c>
      <c r="VUR208" s="128">
        <f>DATA!VUU35</f>
        <v>0</v>
      </c>
      <c r="VUS208" s="128">
        <f>DATA!VUV35</f>
        <v>0</v>
      </c>
      <c r="VUT208" s="128">
        <f>DATA!VUW35</f>
        <v>0</v>
      </c>
      <c r="VUU208" s="128">
        <f>DATA!VUX35</f>
        <v>0</v>
      </c>
      <c r="VUV208" s="128">
        <f>DATA!VUY35</f>
        <v>0</v>
      </c>
      <c r="VUW208" s="128">
        <f>DATA!VUZ35</f>
        <v>0</v>
      </c>
      <c r="VUX208" s="128">
        <f>DATA!VVA35</f>
        <v>0</v>
      </c>
      <c r="VUY208" s="128">
        <f>DATA!VVB35</f>
        <v>0</v>
      </c>
      <c r="VUZ208" s="128">
        <f>DATA!VVC35</f>
        <v>0</v>
      </c>
      <c r="VVA208" s="128">
        <f>DATA!VVD35</f>
        <v>0</v>
      </c>
      <c r="VVB208" s="128">
        <f>DATA!VVE35</f>
        <v>0</v>
      </c>
      <c r="VVC208" s="128">
        <f>DATA!VVF35</f>
        <v>0</v>
      </c>
      <c r="VVD208" s="128">
        <f>DATA!VVG35</f>
        <v>0</v>
      </c>
      <c r="VVE208" s="128">
        <f>DATA!VVH35</f>
        <v>0</v>
      </c>
      <c r="VVF208" s="128">
        <f>DATA!VVI35</f>
        <v>0</v>
      </c>
      <c r="VVG208" s="128">
        <f>DATA!VVJ35</f>
        <v>0</v>
      </c>
      <c r="VVH208" s="128">
        <f>DATA!VVK35</f>
        <v>0</v>
      </c>
      <c r="VVI208" s="128">
        <f>DATA!VVL35</f>
        <v>0</v>
      </c>
      <c r="VVJ208" s="128">
        <f>DATA!VVM35</f>
        <v>0</v>
      </c>
      <c r="VVK208" s="128">
        <f>DATA!VVN35</f>
        <v>0</v>
      </c>
      <c r="VVL208" s="128">
        <f>DATA!VVO35</f>
        <v>0</v>
      </c>
      <c r="VVM208" s="128">
        <f>DATA!VVP35</f>
        <v>0</v>
      </c>
      <c r="VVN208" s="128">
        <f>DATA!VVQ35</f>
        <v>0</v>
      </c>
      <c r="VVO208" s="128">
        <f>DATA!VVR35</f>
        <v>0</v>
      </c>
      <c r="VVP208" s="128">
        <f>DATA!VVS35</f>
        <v>0</v>
      </c>
      <c r="VVQ208" s="128">
        <f>DATA!VVT35</f>
        <v>0</v>
      </c>
      <c r="VVR208" s="128">
        <f>DATA!VVU35</f>
        <v>0</v>
      </c>
      <c r="VVS208" s="128">
        <f>DATA!VVV35</f>
        <v>0</v>
      </c>
      <c r="VVT208" s="128">
        <f>DATA!VVW35</f>
        <v>0</v>
      </c>
      <c r="VVU208" s="128">
        <f>DATA!VVX35</f>
        <v>0</v>
      </c>
      <c r="VVV208" s="128">
        <f>DATA!VVY35</f>
        <v>0</v>
      </c>
      <c r="VVW208" s="128">
        <f>DATA!VVZ35</f>
        <v>0</v>
      </c>
      <c r="VVX208" s="128">
        <f>DATA!VWA35</f>
        <v>0</v>
      </c>
      <c r="VVY208" s="128">
        <f>DATA!VWB35</f>
        <v>0</v>
      </c>
      <c r="VVZ208" s="128">
        <f>DATA!VWC35</f>
        <v>0</v>
      </c>
      <c r="VWA208" s="128">
        <f>DATA!VWD35</f>
        <v>0</v>
      </c>
      <c r="VWB208" s="128">
        <f>DATA!VWE35</f>
        <v>0</v>
      </c>
      <c r="VWC208" s="128">
        <f>DATA!VWF35</f>
        <v>0</v>
      </c>
      <c r="VWD208" s="128">
        <f>DATA!VWG35</f>
        <v>0</v>
      </c>
      <c r="VWE208" s="128">
        <f>DATA!VWH35</f>
        <v>0</v>
      </c>
      <c r="VWF208" s="128">
        <f>DATA!VWI35</f>
        <v>0</v>
      </c>
      <c r="VWG208" s="128">
        <f>DATA!VWJ35</f>
        <v>0</v>
      </c>
      <c r="VWH208" s="128">
        <f>DATA!VWK35</f>
        <v>0</v>
      </c>
      <c r="VWI208" s="128">
        <f>DATA!VWL35</f>
        <v>0</v>
      </c>
      <c r="VWJ208" s="128">
        <f>DATA!VWM35</f>
        <v>0</v>
      </c>
      <c r="VWK208" s="128">
        <f>DATA!VWN35</f>
        <v>0</v>
      </c>
      <c r="VWL208" s="128">
        <f>DATA!VWO35</f>
        <v>0</v>
      </c>
      <c r="VWM208" s="128">
        <f>DATA!VWP35</f>
        <v>0</v>
      </c>
      <c r="VWN208" s="128">
        <f>DATA!VWQ35</f>
        <v>0</v>
      </c>
      <c r="VWO208" s="128">
        <f>DATA!VWR35</f>
        <v>0</v>
      </c>
      <c r="VWP208" s="128">
        <f>DATA!VWS35</f>
        <v>0</v>
      </c>
      <c r="VWQ208" s="128">
        <f>DATA!VWT35</f>
        <v>0</v>
      </c>
      <c r="VWR208" s="128">
        <f>DATA!VWU35</f>
        <v>0</v>
      </c>
      <c r="VWS208" s="128">
        <f>DATA!VWV35</f>
        <v>0</v>
      </c>
      <c r="VWT208" s="128">
        <f>DATA!VWW35</f>
        <v>0</v>
      </c>
      <c r="VWU208" s="128">
        <f>DATA!VWX35</f>
        <v>0</v>
      </c>
      <c r="VWV208" s="128">
        <f>DATA!VWY35</f>
        <v>0</v>
      </c>
      <c r="VWW208" s="128">
        <f>DATA!VWZ35</f>
        <v>0</v>
      </c>
      <c r="VWX208" s="128">
        <f>DATA!VXA35</f>
        <v>0</v>
      </c>
      <c r="VWY208" s="128">
        <f>DATA!VXB35</f>
        <v>0</v>
      </c>
      <c r="VWZ208" s="128">
        <f>DATA!VXC35</f>
        <v>0</v>
      </c>
      <c r="VXA208" s="128">
        <f>DATA!VXD35</f>
        <v>0</v>
      </c>
      <c r="VXB208" s="128">
        <f>DATA!VXE35</f>
        <v>0</v>
      </c>
      <c r="VXC208" s="128">
        <f>DATA!VXF35</f>
        <v>0</v>
      </c>
      <c r="VXD208" s="128">
        <f>DATA!VXG35</f>
        <v>0</v>
      </c>
      <c r="VXE208" s="128">
        <f>DATA!VXH35</f>
        <v>0</v>
      </c>
      <c r="VXF208" s="128">
        <f>DATA!VXI35</f>
        <v>0</v>
      </c>
      <c r="VXG208" s="128">
        <f>DATA!VXJ35</f>
        <v>0</v>
      </c>
      <c r="VXH208" s="128">
        <f>DATA!VXK35</f>
        <v>0</v>
      </c>
      <c r="VXI208" s="128">
        <f>DATA!VXL35</f>
        <v>0</v>
      </c>
      <c r="VXJ208" s="128">
        <f>DATA!VXM35</f>
        <v>0</v>
      </c>
      <c r="VXK208" s="128">
        <f>DATA!VXN35</f>
        <v>0</v>
      </c>
      <c r="VXL208" s="128">
        <f>DATA!VXO35</f>
        <v>0</v>
      </c>
      <c r="VXM208" s="128">
        <f>DATA!VXP35</f>
        <v>0</v>
      </c>
      <c r="VXN208" s="128">
        <f>DATA!VXQ35</f>
        <v>0</v>
      </c>
      <c r="VXO208" s="128">
        <f>DATA!VXR35</f>
        <v>0</v>
      </c>
      <c r="VXP208" s="128">
        <f>DATA!VXS35</f>
        <v>0</v>
      </c>
      <c r="VXQ208" s="128">
        <f>DATA!VXT35</f>
        <v>0</v>
      </c>
      <c r="VXR208" s="128">
        <f>DATA!VXU35</f>
        <v>0</v>
      </c>
      <c r="VXS208" s="128">
        <f>DATA!VXV35</f>
        <v>0</v>
      </c>
      <c r="VXT208" s="128">
        <f>DATA!VXW35</f>
        <v>0</v>
      </c>
      <c r="VXU208" s="128">
        <f>DATA!VXX35</f>
        <v>0</v>
      </c>
      <c r="VXV208" s="128">
        <f>DATA!VXY35</f>
        <v>0</v>
      </c>
      <c r="VXW208" s="128">
        <f>DATA!VXZ35</f>
        <v>0</v>
      </c>
      <c r="VXX208" s="128">
        <f>DATA!VYA35</f>
        <v>0</v>
      </c>
      <c r="VXY208" s="128">
        <f>DATA!VYB35</f>
        <v>0</v>
      </c>
      <c r="VXZ208" s="128">
        <f>DATA!VYC35</f>
        <v>0</v>
      </c>
      <c r="VYA208" s="128">
        <f>DATA!VYD35</f>
        <v>0</v>
      </c>
      <c r="VYB208" s="128">
        <f>DATA!VYE35</f>
        <v>0</v>
      </c>
      <c r="VYC208" s="128">
        <f>DATA!VYF35</f>
        <v>0</v>
      </c>
      <c r="VYD208" s="128">
        <f>DATA!VYG35</f>
        <v>0</v>
      </c>
      <c r="VYE208" s="128">
        <f>DATA!VYH35</f>
        <v>0</v>
      </c>
      <c r="VYF208" s="128">
        <f>DATA!VYI35</f>
        <v>0</v>
      </c>
      <c r="VYG208" s="128">
        <f>DATA!VYJ35</f>
        <v>0</v>
      </c>
      <c r="VYH208" s="128">
        <f>DATA!VYK35</f>
        <v>0</v>
      </c>
      <c r="VYI208" s="128">
        <f>DATA!VYL35</f>
        <v>0</v>
      </c>
      <c r="VYJ208" s="128">
        <f>DATA!VYM35</f>
        <v>0</v>
      </c>
      <c r="VYK208" s="128">
        <f>DATA!VYN35</f>
        <v>0</v>
      </c>
      <c r="VYL208" s="128">
        <f>DATA!VYO35</f>
        <v>0</v>
      </c>
      <c r="VYM208" s="128">
        <f>DATA!VYP35</f>
        <v>0</v>
      </c>
      <c r="VYN208" s="128">
        <f>DATA!VYQ35</f>
        <v>0</v>
      </c>
      <c r="VYO208" s="128">
        <f>DATA!VYR35</f>
        <v>0</v>
      </c>
      <c r="VYP208" s="128">
        <f>DATA!VYS35</f>
        <v>0</v>
      </c>
      <c r="VYQ208" s="128">
        <f>DATA!VYT35</f>
        <v>0</v>
      </c>
      <c r="VYR208" s="128">
        <f>DATA!VYU35</f>
        <v>0</v>
      </c>
      <c r="VYS208" s="128">
        <f>DATA!VYV35</f>
        <v>0</v>
      </c>
      <c r="VYT208" s="128">
        <f>DATA!VYW35</f>
        <v>0</v>
      </c>
      <c r="VYU208" s="128">
        <f>DATA!VYX35</f>
        <v>0</v>
      </c>
      <c r="VYV208" s="128">
        <f>DATA!VYY35</f>
        <v>0</v>
      </c>
      <c r="VYW208" s="128">
        <f>DATA!VYZ35</f>
        <v>0</v>
      </c>
      <c r="VYX208" s="128">
        <f>DATA!VZA35</f>
        <v>0</v>
      </c>
      <c r="VYY208" s="128">
        <f>DATA!VZB35</f>
        <v>0</v>
      </c>
      <c r="VYZ208" s="128">
        <f>DATA!VZC35</f>
        <v>0</v>
      </c>
      <c r="VZA208" s="128">
        <f>DATA!VZD35</f>
        <v>0</v>
      </c>
      <c r="VZB208" s="128">
        <f>DATA!VZE35</f>
        <v>0</v>
      </c>
      <c r="VZC208" s="128">
        <f>DATA!VZF35</f>
        <v>0</v>
      </c>
      <c r="VZD208" s="128">
        <f>DATA!VZG35</f>
        <v>0</v>
      </c>
      <c r="VZE208" s="128">
        <f>DATA!VZH35</f>
        <v>0</v>
      </c>
      <c r="VZF208" s="128">
        <f>DATA!VZI35</f>
        <v>0</v>
      </c>
      <c r="VZG208" s="128">
        <f>DATA!VZJ35</f>
        <v>0</v>
      </c>
      <c r="VZH208" s="128">
        <f>DATA!VZK35</f>
        <v>0</v>
      </c>
      <c r="VZI208" s="128">
        <f>DATA!VZL35</f>
        <v>0</v>
      </c>
      <c r="VZJ208" s="128">
        <f>DATA!VZM35</f>
        <v>0</v>
      </c>
      <c r="VZK208" s="128">
        <f>DATA!VZN35</f>
        <v>0</v>
      </c>
      <c r="VZL208" s="128">
        <f>DATA!VZO35</f>
        <v>0</v>
      </c>
      <c r="VZM208" s="128">
        <f>DATA!VZP35</f>
        <v>0</v>
      </c>
      <c r="VZN208" s="128">
        <f>DATA!VZQ35</f>
        <v>0</v>
      </c>
      <c r="VZO208" s="128">
        <f>DATA!VZR35</f>
        <v>0</v>
      </c>
      <c r="VZP208" s="128">
        <f>DATA!VZS35</f>
        <v>0</v>
      </c>
      <c r="VZQ208" s="128">
        <f>DATA!VZT35</f>
        <v>0</v>
      </c>
      <c r="VZR208" s="128">
        <f>DATA!VZU35</f>
        <v>0</v>
      </c>
      <c r="VZS208" s="128">
        <f>DATA!VZV35</f>
        <v>0</v>
      </c>
      <c r="VZT208" s="128">
        <f>DATA!VZW35</f>
        <v>0</v>
      </c>
      <c r="VZU208" s="128">
        <f>DATA!VZX35</f>
        <v>0</v>
      </c>
      <c r="VZV208" s="128">
        <f>DATA!VZY35</f>
        <v>0</v>
      </c>
      <c r="VZW208" s="128">
        <f>DATA!VZZ35</f>
        <v>0</v>
      </c>
      <c r="VZX208" s="128">
        <f>DATA!WAA35</f>
        <v>0</v>
      </c>
      <c r="VZY208" s="128">
        <f>DATA!WAB35</f>
        <v>0</v>
      </c>
      <c r="VZZ208" s="128">
        <f>DATA!WAC35</f>
        <v>0</v>
      </c>
      <c r="WAA208" s="128">
        <f>DATA!WAD35</f>
        <v>0</v>
      </c>
      <c r="WAB208" s="128">
        <f>DATA!WAE35</f>
        <v>0</v>
      </c>
      <c r="WAC208" s="128">
        <f>DATA!WAF35</f>
        <v>0</v>
      </c>
      <c r="WAD208" s="128">
        <f>DATA!WAG35</f>
        <v>0</v>
      </c>
      <c r="WAE208" s="128">
        <f>DATA!WAH35</f>
        <v>0</v>
      </c>
      <c r="WAF208" s="128">
        <f>DATA!WAI35</f>
        <v>0</v>
      </c>
      <c r="WAG208" s="128">
        <f>DATA!WAJ35</f>
        <v>0</v>
      </c>
      <c r="WAH208" s="128">
        <f>DATA!WAK35</f>
        <v>0</v>
      </c>
      <c r="WAI208" s="128">
        <f>DATA!WAL35</f>
        <v>0</v>
      </c>
      <c r="WAJ208" s="128">
        <f>DATA!WAM35</f>
        <v>0</v>
      </c>
      <c r="WAK208" s="128">
        <f>DATA!WAN35</f>
        <v>0</v>
      </c>
      <c r="WAL208" s="128">
        <f>DATA!WAO35</f>
        <v>0</v>
      </c>
      <c r="WAM208" s="128">
        <f>DATA!WAP35</f>
        <v>0</v>
      </c>
      <c r="WAN208" s="128">
        <f>DATA!WAQ35</f>
        <v>0</v>
      </c>
      <c r="WAO208" s="128">
        <f>DATA!WAR35</f>
        <v>0</v>
      </c>
      <c r="WAP208" s="128">
        <f>DATA!WAS35</f>
        <v>0</v>
      </c>
      <c r="WAQ208" s="128">
        <f>DATA!WAT35</f>
        <v>0</v>
      </c>
      <c r="WAR208" s="128">
        <f>DATA!WAU35</f>
        <v>0</v>
      </c>
      <c r="WAS208" s="128">
        <f>DATA!WAV35</f>
        <v>0</v>
      </c>
      <c r="WAT208" s="128">
        <f>DATA!WAW35</f>
        <v>0</v>
      </c>
      <c r="WAU208" s="128">
        <f>DATA!WAX35</f>
        <v>0</v>
      </c>
      <c r="WAV208" s="128">
        <f>DATA!WAY35</f>
        <v>0</v>
      </c>
      <c r="WAW208" s="128">
        <f>DATA!WAZ35</f>
        <v>0</v>
      </c>
      <c r="WAX208" s="128">
        <f>DATA!WBA35</f>
        <v>0</v>
      </c>
      <c r="WAY208" s="128">
        <f>DATA!WBB35</f>
        <v>0</v>
      </c>
      <c r="WAZ208" s="128">
        <f>DATA!WBC35</f>
        <v>0</v>
      </c>
      <c r="WBA208" s="128">
        <f>DATA!WBD35</f>
        <v>0</v>
      </c>
      <c r="WBB208" s="128">
        <f>DATA!WBE35</f>
        <v>0</v>
      </c>
      <c r="WBC208" s="128">
        <f>DATA!WBF35</f>
        <v>0</v>
      </c>
      <c r="WBD208" s="128">
        <f>DATA!WBG35</f>
        <v>0</v>
      </c>
      <c r="WBE208" s="128">
        <f>DATA!WBH35</f>
        <v>0</v>
      </c>
      <c r="WBF208" s="128">
        <f>DATA!WBI35</f>
        <v>0</v>
      </c>
      <c r="WBG208" s="128">
        <f>DATA!WBJ35</f>
        <v>0</v>
      </c>
      <c r="WBH208" s="128">
        <f>DATA!WBK35</f>
        <v>0</v>
      </c>
      <c r="WBI208" s="128">
        <f>DATA!WBL35</f>
        <v>0</v>
      </c>
      <c r="WBJ208" s="128">
        <f>DATA!WBM35</f>
        <v>0</v>
      </c>
      <c r="WBK208" s="128">
        <f>DATA!WBN35</f>
        <v>0</v>
      </c>
      <c r="WBL208" s="128">
        <f>DATA!WBO35</f>
        <v>0</v>
      </c>
      <c r="WBM208" s="128">
        <f>DATA!WBP35</f>
        <v>0</v>
      </c>
      <c r="WBN208" s="128">
        <f>DATA!WBQ35</f>
        <v>0</v>
      </c>
      <c r="WBO208" s="128">
        <f>DATA!WBR35</f>
        <v>0</v>
      </c>
      <c r="WBP208" s="128">
        <f>DATA!WBS35</f>
        <v>0</v>
      </c>
      <c r="WBQ208" s="128">
        <f>DATA!WBT35</f>
        <v>0</v>
      </c>
      <c r="WBR208" s="128">
        <f>DATA!WBU35</f>
        <v>0</v>
      </c>
      <c r="WBS208" s="128">
        <f>DATA!WBV35</f>
        <v>0</v>
      </c>
      <c r="WBT208" s="128">
        <f>DATA!WBW35</f>
        <v>0</v>
      </c>
      <c r="WBU208" s="128">
        <f>DATA!WBX35</f>
        <v>0</v>
      </c>
      <c r="WBV208" s="128">
        <f>DATA!WBY35</f>
        <v>0</v>
      </c>
      <c r="WBW208" s="128">
        <f>DATA!WBZ35</f>
        <v>0</v>
      </c>
      <c r="WBX208" s="128">
        <f>DATA!WCA35</f>
        <v>0</v>
      </c>
      <c r="WBY208" s="128">
        <f>DATA!WCB35</f>
        <v>0</v>
      </c>
      <c r="WBZ208" s="128">
        <f>DATA!WCC35</f>
        <v>0</v>
      </c>
      <c r="WCA208" s="128">
        <f>DATA!WCD35</f>
        <v>0</v>
      </c>
      <c r="WCB208" s="128">
        <f>DATA!WCE35</f>
        <v>0</v>
      </c>
      <c r="WCC208" s="128">
        <f>DATA!WCF35</f>
        <v>0</v>
      </c>
      <c r="WCD208" s="128">
        <f>DATA!WCG35</f>
        <v>0</v>
      </c>
      <c r="WCE208" s="128">
        <f>DATA!WCH35</f>
        <v>0</v>
      </c>
      <c r="WCF208" s="128">
        <f>DATA!WCI35</f>
        <v>0</v>
      </c>
      <c r="WCG208" s="128">
        <f>DATA!WCJ35</f>
        <v>0</v>
      </c>
      <c r="WCH208" s="128">
        <f>DATA!WCK35</f>
        <v>0</v>
      </c>
      <c r="WCI208" s="128">
        <f>DATA!WCL35</f>
        <v>0</v>
      </c>
      <c r="WCJ208" s="128">
        <f>DATA!WCM35</f>
        <v>0</v>
      </c>
      <c r="WCK208" s="128">
        <f>DATA!WCN35</f>
        <v>0</v>
      </c>
      <c r="WCL208" s="128">
        <f>DATA!WCO35</f>
        <v>0</v>
      </c>
      <c r="WCM208" s="128">
        <f>DATA!WCP35</f>
        <v>0</v>
      </c>
      <c r="WCN208" s="128">
        <f>DATA!WCQ35</f>
        <v>0</v>
      </c>
      <c r="WCO208" s="128">
        <f>DATA!WCR35</f>
        <v>0</v>
      </c>
      <c r="WCP208" s="128">
        <f>DATA!WCS35</f>
        <v>0</v>
      </c>
      <c r="WCQ208" s="128">
        <f>DATA!WCT35</f>
        <v>0</v>
      </c>
      <c r="WCR208" s="128">
        <f>DATA!WCU35</f>
        <v>0</v>
      </c>
      <c r="WCS208" s="128">
        <f>DATA!WCV35</f>
        <v>0</v>
      </c>
      <c r="WCT208" s="128">
        <f>DATA!WCW35</f>
        <v>0</v>
      </c>
      <c r="WCU208" s="128">
        <f>DATA!WCX35</f>
        <v>0</v>
      </c>
      <c r="WCV208" s="128">
        <f>DATA!WCY35</f>
        <v>0</v>
      </c>
      <c r="WCW208" s="128">
        <f>DATA!WCZ35</f>
        <v>0</v>
      </c>
      <c r="WCX208" s="128">
        <f>DATA!WDA35</f>
        <v>0</v>
      </c>
      <c r="WCY208" s="128">
        <f>DATA!WDB35</f>
        <v>0</v>
      </c>
      <c r="WCZ208" s="128">
        <f>DATA!WDC35</f>
        <v>0</v>
      </c>
      <c r="WDA208" s="128">
        <f>DATA!WDD35</f>
        <v>0</v>
      </c>
      <c r="WDB208" s="128">
        <f>DATA!WDE35</f>
        <v>0</v>
      </c>
      <c r="WDC208" s="128">
        <f>DATA!WDF35</f>
        <v>0</v>
      </c>
      <c r="WDD208" s="128">
        <f>DATA!WDG35</f>
        <v>0</v>
      </c>
      <c r="WDE208" s="128">
        <f>DATA!WDH35</f>
        <v>0</v>
      </c>
      <c r="WDF208" s="128">
        <f>DATA!WDI35</f>
        <v>0</v>
      </c>
      <c r="WDG208" s="128">
        <f>DATA!WDJ35</f>
        <v>0</v>
      </c>
      <c r="WDH208" s="128">
        <f>DATA!WDK35</f>
        <v>0</v>
      </c>
      <c r="WDI208" s="128">
        <f>DATA!WDL35</f>
        <v>0</v>
      </c>
      <c r="WDJ208" s="128">
        <f>DATA!WDM35</f>
        <v>0</v>
      </c>
      <c r="WDK208" s="128">
        <f>DATA!WDN35</f>
        <v>0</v>
      </c>
      <c r="WDL208" s="128">
        <f>DATA!WDO35</f>
        <v>0</v>
      </c>
      <c r="WDM208" s="128">
        <f>DATA!WDP35</f>
        <v>0</v>
      </c>
      <c r="WDN208" s="128">
        <f>DATA!WDQ35</f>
        <v>0</v>
      </c>
      <c r="WDO208" s="128">
        <f>DATA!WDR35</f>
        <v>0</v>
      </c>
      <c r="WDP208" s="128">
        <f>DATA!WDS35</f>
        <v>0</v>
      </c>
      <c r="WDQ208" s="128">
        <f>DATA!WDT35</f>
        <v>0</v>
      </c>
      <c r="WDR208" s="128">
        <f>DATA!WDU35</f>
        <v>0</v>
      </c>
      <c r="WDS208" s="128">
        <f>DATA!WDV35</f>
        <v>0</v>
      </c>
      <c r="WDT208" s="128">
        <f>DATA!WDW35</f>
        <v>0</v>
      </c>
      <c r="WDU208" s="128">
        <f>DATA!WDX35</f>
        <v>0</v>
      </c>
      <c r="WDV208" s="128">
        <f>DATA!WDY35</f>
        <v>0</v>
      </c>
      <c r="WDW208" s="128">
        <f>DATA!WDZ35</f>
        <v>0</v>
      </c>
      <c r="WDX208" s="128">
        <f>DATA!WEA35</f>
        <v>0</v>
      </c>
      <c r="WDY208" s="128">
        <f>DATA!WEB35</f>
        <v>0</v>
      </c>
      <c r="WDZ208" s="128">
        <f>DATA!WEC35</f>
        <v>0</v>
      </c>
      <c r="WEA208" s="128">
        <f>DATA!WED35</f>
        <v>0</v>
      </c>
      <c r="WEB208" s="128">
        <f>DATA!WEE35</f>
        <v>0</v>
      </c>
      <c r="WEC208" s="128">
        <f>DATA!WEF35</f>
        <v>0</v>
      </c>
      <c r="WED208" s="128">
        <f>DATA!WEG35</f>
        <v>0</v>
      </c>
      <c r="WEE208" s="128">
        <f>DATA!WEH35</f>
        <v>0</v>
      </c>
      <c r="WEF208" s="128">
        <f>DATA!WEI35</f>
        <v>0</v>
      </c>
      <c r="WEG208" s="128">
        <f>DATA!WEJ35</f>
        <v>0</v>
      </c>
      <c r="WEH208" s="128">
        <f>DATA!WEK35</f>
        <v>0</v>
      </c>
      <c r="WEI208" s="128">
        <f>DATA!WEL35</f>
        <v>0</v>
      </c>
      <c r="WEJ208" s="128">
        <f>DATA!WEM35</f>
        <v>0</v>
      </c>
      <c r="WEK208" s="128">
        <f>DATA!WEN35</f>
        <v>0</v>
      </c>
      <c r="WEL208" s="128">
        <f>DATA!WEO35</f>
        <v>0</v>
      </c>
      <c r="WEM208" s="128">
        <f>DATA!WEP35</f>
        <v>0</v>
      </c>
      <c r="WEN208" s="128">
        <f>DATA!WEQ35</f>
        <v>0</v>
      </c>
      <c r="WEO208" s="128">
        <f>DATA!WER35</f>
        <v>0</v>
      </c>
      <c r="WEP208" s="128">
        <f>DATA!WES35</f>
        <v>0</v>
      </c>
      <c r="WEQ208" s="128">
        <f>DATA!WET35</f>
        <v>0</v>
      </c>
      <c r="WER208" s="128">
        <f>DATA!WEU35</f>
        <v>0</v>
      </c>
      <c r="WES208" s="128">
        <f>DATA!WEV35</f>
        <v>0</v>
      </c>
      <c r="WET208" s="128">
        <f>DATA!WEW35</f>
        <v>0</v>
      </c>
      <c r="WEU208" s="128">
        <f>DATA!WEX35</f>
        <v>0</v>
      </c>
      <c r="WEV208" s="128">
        <f>DATA!WEY35</f>
        <v>0</v>
      </c>
      <c r="WEW208" s="128">
        <f>DATA!WEZ35</f>
        <v>0</v>
      </c>
      <c r="WEX208" s="128">
        <f>DATA!WFA35</f>
        <v>0</v>
      </c>
      <c r="WEY208" s="128">
        <f>DATA!WFB35</f>
        <v>0</v>
      </c>
      <c r="WEZ208" s="128">
        <f>DATA!WFC35</f>
        <v>0</v>
      </c>
      <c r="WFA208" s="128">
        <f>DATA!WFD35</f>
        <v>0</v>
      </c>
      <c r="WFB208" s="128">
        <f>DATA!WFE35</f>
        <v>0</v>
      </c>
      <c r="WFC208" s="128">
        <f>DATA!WFF35</f>
        <v>0</v>
      </c>
      <c r="WFD208" s="128">
        <f>DATA!WFG35</f>
        <v>0</v>
      </c>
      <c r="WFE208" s="128">
        <f>DATA!WFH35</f>
        <v>0</v>
      </c>
      <c r="WFF208" s="128">
        <f>DATA!WFI35</f>
        <v>0</v>
      </c>
      <c r="WFG208" s="128">
        <f>DATA!WFJ35</f>
        <v>0</v>
      </c>
      <c r="WFH208" s="128">
        <f>DATA!WFK35</f>
        <v>0</v>
      </c>
      <c r="WFI208" s="128">
        <f>DATA!WFL35</f>
        <v>0</v>
      </c>
      <c r="WFJ208" s="128">
        <f>DATA!WFM35</f>
        <v>0</v>
      </c>
      <c r="WFK208" s="128">
        <f>DATA!WFN35</f>
        <v>0</v>
      </c>
      <c r="WFL208" s="128">
        <f>DATA!WFO35</f>
        <v>0</v>
      </c>
      <c r="WFM208" s="128">
        <f>DATA!WFP35</f>
        <v>0</v>
      </c>
      <c r="WFN208" s="128">
        <f>DATA!WFQ35</f>
        <v>0</v>
      </c>
      <c r="WFO208" s="128">
        <f>DATA!WFR35</f>
        <v>0</v>
      </c>
      <c r="WFP208" s="128">
        <f>DATA!WFS35</f>
        <v>0</v>
      </c>
      <c r="WFQ208" s="128">
        <f>DATA!WFT35</f>
        <v>0</v>
      </c>
      <c r="WFR208" s="128">
        <f>DATA!WFU35</f>
        <v>0</v>
      </c>
      <c r="WFS208" s="128">
        <f>DATA!WFV35</f>
        <v>0</v>
      </c>
      <c r="WFT208" s="128">
        <f>DATA!WFW35</f>
        <v>0</v>
      </c>
      <c r="WFU208" s="128">
        <f>DATA!WFX35</f>
        <v>0</v>
      </c>
      <c r="WFV208" s="128">
        <f>DATA!WFY35</f>
        <v>0</v>
      </c>
      <c r="WFW208" s="128">
        <f>DATA!WFZ35</f>
        <v>0</v>
      </c>
      <c r="WFX208" s="128">
        <f>DATA!WGA35</f>
        <v>0</v>
      </c>
      <c r="WFY208" s="128">
        <f>DATA!WGB35</f>
        <v>0</v>
      </c>
      <c r="WFZ208" s="128">
        <f>DATA!WGC35</f>
        <v>0</v>
      </c>
      <c r="WGA208" s="128">
        <f>DATA!WGD35</f>
        <v>0</v>
      </c>
      <c r="WGB208" s="128">
        <f>DATA!WGE35</f>
        <v>0</v>
      </c>
      <c r="WGC208" s="128">
        <f>DATA!WGF35</f>
        <v>0</v>
      </c>
      <c r="WGD208" s="128">
        <f>DATA!WGG35</f>
        <v>0</v>
      </c>
      <c r="WGE208" s="128">
        <f>DATA!WGH35</f>
        <v>0</v>
      </c>
      <c r="WGF208" s="128">
        <f>DATA!WGI35</f>
        <v>0</v>
      </c>
      <c r="WGG208" s="128">
        <f>DATA!WGJ35</f>
        <v>0</v>
      </c>
      <c r="WGH208" s="128">
        <f>DATA!WGK35</f>
        <v>0</v>
      </c>
      <c r="WGI208" s="128">
        <f>DATA!WGL35</f>
        <v>0</v>
      </c>
      <c r="WGJ208" s="128">
        <f>DATA!WGM35</f>
        <v>0</v>
      </c>
      <c r="WGK208" s="128">
        <f>DATA!WGN35</f>
        <v>0</v>
      </c>
      <c r="WGL208" s="128">
        <f>DATA!WGO35</f>
        <v>0</v>
      </c>
      <c r="WGM208" s="128">
        <f>DATA!WGP35</f>
        <v>0</v>
      </c>
      <c r="WGN208" s="128">
        <f>DATA!WGQ35</f>
        <v>0</v>
      </c>
      <c r="WGO208" s="128">
        <f>DATA!WGR35</f>
        <v>0</v>
      </c>
      <c r="WGP208" s="128">
        <f>DATA!WGS35</f>
        <v>0</v>
      </c>
      <c r="WGQ208" s="128">
        <f>DATA!WGT35</f>
        <v>0</v>
      </c>
      <c r="WGR208" s="128">
        <f>DATA!WGU35</f>
        <v>0</v>
      </c>
      <c r="WGS208" s="128">
        <f>DATA!WGV35</f>
        <v>0</v>
      </c>
      <c r="WGT208" s="128">
        <f>DATA!WGW35</f>
        <v>0</v>
      </c>
      <c r="WGU208" s="128">
        <f>DATA!WGX35</f>
        <v>0</v>
      </c>
      <c r="WGV208" s="128">
        <f>DATA!WGY35</f>
        <v>0</v>
      </c>
      <c r="WGW208" s="128">
        <f>DATA!WGZ35</f>
        <v>0</v>
      </c>
      <c r="WGX208" s="128">
        <f>DATA!WHA35</f>
        <v>0</v>
      </c>
      <c r="WGY208" s="128">
        <f>DATA!WHB35</f>
        <v>0</v>
      </c>
      <c r="WGZ208" s="128">
        <f>DATA!WHC35</f>
        <v>0</v>
      </c>
      <c r="WHA208" s="128">
        <f>DATA!WHD35</f>
        <v>0</v>
      </c>
      <c r="WHB208" s="128">
        <f>DATA!WHE35</f>
        <v>0</v>
      </c>
      <c r="WHC208" s="128">
        <f>DATA!WHF35</f>
        <v>0</v>
      </c>
      <c r="WHD208" s="128">
        <f>DATA!WHG35</f>
        <v>0</v>
      </c>
      <c r="WHE208" s="128">
        <f>DATA!WHH35</f>
        <v>0</v>
      </c>
      <c r="WHF208" s="128">
        <f>DATA!WHI35</f>
        <v>0</v>
      </c>
      <c r="WHG208" s="128">
        <f>DATA!WHJ35</f>
        <v>0</v>
      </c>
      <c r="WHH208" s="128">
        <f>DATA!WHK35</f>
        <v>0</v>
      </c>
      <c r="WHI208" s="128">
        <f>DATA!WHL35</f>
        <v>0</v>
      </c>
      <c r="WHJ208" s="128">
        <f>DATA!WHM35</f>
        <v>0</v>
      </c>
      <c r="WHK208" s="128">
        <f>DATA!WHN35</f>
        <v>0</v>
      </c>
      <c r="WHL208" s="128">
        <f>DATA!WHO35</f>
        <v>0</v>
      </c>
      <c r="WHM208" s="128">
        <f>DATA!WHP35</f>
        <v>0</v>
      </c>
      <c r="WHN208" s="128">
        <f>DATA!WHQ35</f>
        <v>0</v>
      </c>
      <c r="WHO208" s="128">
        <f>DATA!WHR35</f>
        <v>0</v>
      </c>
      <c r="WHP208" s="128">
        <f>DATA!WHS35</f>
        <v>0</v>
      </c>
      <c r="WHQ208" s="128">
        <f>DATA!WHT35</f>
        <v>0</v>
      </c>
      <c r="WHR208" s="128">
        <f>DATA!WHU35</f>
        <v>0</v>
      </c>
      <c r="WHS208" s="128">
        <f>DATA!WHV35</f>
        <v>0</v>
      </c>
      <c r="WHT208" s="128">
        <f>DATA!WHW35</f>
        <v>0</v>
      </c>
      <c r="WHU208" s="128">
        <f>DATA!WHX35</f>
        <v>0</v>
      </c>
      <c r="WHV208" s="128">
        <f>DATA!WHY35</f>
        <v>0</v>
      </c>
      <c r="WHW208" s="128">
        <f>DATA!WHZ35</f>
        <v>0</v>
      </c>
      <c r="WHX208" s="128">
        <f>DATA!WIA35</f>
        <v>0</v>
      </c>
      <c r="WHY208" s="128">
        <f>DATA!WIB35</f>
        <v>0</v>
      </c>
      <c r="WHZ208" s="128">
        <f>DATA!WIC35</f>
        <v>0</v>
      </c>
      <c r="WIA208" s="128">
        <f>DATA!WID35</f>
        <v>0</v>
      </c>
      <c r="WIB208" s="128">
        <f>DATA!WIE35</f>
        <v>0</v>
      </c>
      <c r="WIC208" s="128">
        <f>DATA!WIF35</f>
        <v>0</v>
      </c>
      <c r="WID208" s="128">
        <f>DATA!WIG35</f>
        <v>0</v>
      </c>
      <c r="WIE208" s="128">
        <f>DATA!WIH35</f>
        <v>0</v>
      </c>
      <c r="WIF208" s="128">
        <f>DATA!WII35</f>
        <v>0</v>
      </c>
      <c r="WIG208" s="128">
        <f>DATA!WIJ35</f>
        <v>0</v>
      </c>
      <c r="WIH208" s="128">
        <f>DATA!WIK35</f>
        <v>0</v>
      </c>
      <c r="WII208" s="128">
        <f>DATA!WIL35</f>
        <v>0</v>
      </c>
      <c r="WIJ208" s="128">
        <f>DATA!WIM35</f>
        <v>0</v>
      </c>
      <c r="WIK208" s="128">
        <f>DATA!WIN35</f>
        <v>0</v>
      </c>
      <c r="WIL208" s="128">
        <f>DATA!WIO35</f>
        <v>0</v>
      </c>
      <c r="WIM208" s="128">
        <f>DATA!WIP35</f>
        <v>0</v>
      </c>
      <c r="WIN208" s="128">
        <f>DATA!WIQ35</f>
        <v>0</v>
      </c>
      <c r="WIO208" s="128">
        <f>DATA!WIR35</f>
        <v>0</v>
      </c>
      <c r="WIP208" s="128">
        <f>DATA!WIS35</f>
        <v>0</v>
      </c>
      <c r="WIQ208" s="128">
        <f>DATA!WIT35</f>
        <v>0</v>
      </c>
      <c r="WIR208" s="128">
        <f>DATA!WIU35</f>
        <v>0</v>
      </c>
      <c r="WIS208" s="128">
        <f>DATA!WIV35</f>
        <v>0</v>
      </c>
      <c r="WIT208" s="128">
        <f>DATA!WIW35</f>
        <v>0</v>
      </c>
      <c r="WIU208" s="128">
        <f>DATA!WIX35</f>
        <v>0</v>
      </c>
      <c r="WIV208" s="128">
        <f>DATA!WIY35</f>
        <v>0</v>
      </c>
      <c r="WIW208" s="128">
        <f>DATA!WIZ35</f>
        <v>0</v>
      </c>
      <c r="WIX208" s="128">
        <f>DATA!WJA35</f>
        <v>0</v>
      </c>
      <c r="WIY208" s="128">
        <f>DATA!WJB35</f>
        <v>0</v>
      </c>
      <c r="WIZ208" s="128">
        <f>DATA!WJC35</f>
        <v>0</v>
      </c>
      <c r="WJA208" s="128">
        <f>DATA!WJD35</f>
        <v>0</v>
      </c>
      <c r="WJB208" s="128">
        <f>DATA!WJE35</f>
        <v>0</v>
      </c>
      <c r="WJC208" s="128">
        <f>DATA!WJF35</f>
        <v>0</v>
      </c>
      <c r="WJD208" s="128">
        <f>DATA!WJG35</f>
        <v>0</v>
      </c>
      <c r="WJE208" s="128">
        <f>DATA!WJH35</f>
        <v>0</v>
      </c>
      <c r="WJF208" s="128">
        <f>DATA!WJI35</f>
        <v>0</v>
      </c>
      <c r="WJG208" s="128">
        <f>DATA!WJJ35</f>
        <v>0</v>
      </c>
      <c r="WJH208" s="128">
        <f>DATA!WJK35</f>
        <v>0</v>
      </c>
      <c r="WJI208" s="128">
        <f>DATA!WJL35</f>
        <v>0</v>
      </c>
      <c r="WJJ208" s="128">
        <f>DATA!WJM35</f>
        <v>0</v>
      </c>
      <c r="WJK208" s="128">
        <f>DATA!WJN35</f>
        <v>0</v>
      </c>
      <c r="WJL208" s="128">
        <f>DATA!WJO35</f>
        <v>0</v>
      </c>
      <c r="WJM208" s="128">
        <f>DATA!WJP35</f>
        <v>0</v>
      </c>
      <c r="WJN208" s="128">
        <f>DATA!WJQ35</f>
        <v>0</v>
      </c>
      <c r="WJO208" s="128">
        <f>DATA!WJR35</f>
        <v>0</v>
      </c>
      <c r="WJP208" s="128">
        <f>DATA!WJS35</f>
        <v>0</v>
      </c>
      <c r="WJQ208" s="128">
        <f>DATA!WJT35</f>
        <v>0</v>
      </c>
      <c r="WJR208" s="128">
        <f>DATA!WJU35</f>
        <v>0</v>
      </c>
      <c r="WJS208" s="128">
        <f>DATA!WJV35</f>
        <v>0</v>
      </c>
      <c r="WJT208" s="128">
        <f>DATA!WJW35</f>
        <v>0</v>
      </c>
      <c r="WJU208" s="128">
        <f>DATA!WJX35</f>
        <v>0</v>
      </c>
      <c r="WJV208" s="128">
        <f>DATA!WJY35</f>
        <v>0</v>
      </c>
      <c r="WJW208" s="128">
        <f>DATA!WJZ35</f>
        <v>0</v>
      </c>
      <c r="WJX208" s="128">
        <f>DATA!WKA35</f>
        <v>0</v>
      </c>
      <c r="WJY208" s="128">
        <f>DATA!WKB35</f>
        <v>0</v>
      </c>
      <c r="WJZ208" s="128">
        <f>DATA!WKC35</f>
        <v>0</v>
      </c>
      <c r="WKA208" s="128">
        <f>DATA!WKD35</f>
        <v>0</v>
      </c>
      <c r="WKB208" s="128">
        <f>DATA!WKE35</f>
        <v>0</v>
      </c>
      <c r="WKC208" s="128">
        <f>DATA!WKF35</f>
        <v>0</v>
      </c>
      <c r="WKD208" s="128">
        <f>DATA!WKG35</f>
        <v>0</v>
      </c>
      <c r="WKE208" s="128">
        <f>DATA!WKH35</f>
        <v>0</v>
      </c>
      <c r="WKF208" s="128">
        <f>DATA!WKI35</f>
        <v>0</v>
      </c>
      <c r="WKG208" s="128">
        <f>DATA!WKJ35</f>
        <v>0</v>
      </c>
      <c r="WKH208" s="128">
        <f>DATA!WKK35</f>
        <v>0</v>
      </c>
      <c r="WKI208" s="128">
        <f>DATA!WKL35</f>
        <v>0</v>
      </c>
      <c r="WKJ208" s="128">
        <f>DATA!WKM35</f>
        <v>0</v>
      </c>
      <c r="WKK208" s="128">
        <f>DATA!WKN35</f>
        <v>0</v>
      </c>
      <c r="WKL208" s="128">
        <f>DATA!WKO35</f>
        <v>0</v>
      </c>
      <c r="WKM208" s="128">
        <f>DATA!WKP35</f>
        <v>0</v>
      </c>
      <c r="WKN208" s="128">
        <f>DATA!WKQ35</f>
        <v>0</v>
      </c>
      <c r="WKO208" s="128">
        <f>DATA!WKR35</f>
        <v>0</v>
      </c>
      <c r="WKP208" s="128">
        <f>DATA!WKS35</f>
        <v>0</v>
      </c>
      <c r="WKQ208" s="128">
        <f>DATA!WKT35</f>
        <v>0</v>
      </c>
      <c r="WKR208" s="128">
        <f>DATA!WKU35</f>
        <v>0</v>
      </c>
      <c r="WKS208" s="128">
        <f>DATA!WKV35</f>
        <v>0</v>
      </c>
      <c r="WKT208" s="128">
        <f>DATA!WKW35</f>
        <v>0</v>
      </c>
      <c r="WKU208" s="128">
        <f>DATA!WKX35</f>
        <v>0</v>
      </c>
      <c r="WKV208" s="128">
        <f>DATA!WKY35</f>
        <v>0</v>
      </c>
      <c r="WKW208" s="128">
        <f>DATA!WKZ35</f>
        <v>0</v>
      </c>
      <c r="WKX208" s="128">
        <f>DATA!WLA35</f>
        <v>0</v>
      </c>
      <c r="WKY208" s="128">
        <f>DATA!WLB35</f>
        <v>0</v>
      </c>
      <c r="WKZ208" s="128">
        <f>DATA!WLC35</f>
        <v>0</v>
      </c>
      <c r="WLA208" s="128">
        <f>DATA!WLD35</f>
        <v>0</v>
      </c>
      <c r="WLB208" s="128">
        <f>DATA!WLE35</f>
        <v>0</v>
      </c>
      <c r="WLC208" s="128">
        <f>DATA!WLF35</f>
        <v>0</v>
      </c>
      <c r="WLD208" s="128">
        <f>DATA!WLG35</f>
        <v>0</v>
      </c>
      <c r="WLE208" s="128">
        <f>DATA!WLH35</f>
        <v>0</v>
      </c>
      <c r="WLF208" s="128">
        <f>DATA!WLI35</f>
        <v>0</v>
      </c>
      <c r="WLG208" s="128">
        <f>DATA!WLJ35</f>
        <v>0</v>
      </c>
      <c r="WLH208" s="128">
        <f>DATA!WLK35</f>
        <v>0</v>
      </c>
      <c r="WLI208" s="128">
        <f>DATA!WLL35</f>
        <v>0</v>
      </c>
      <c r="WLJ208" s="128">
        <f>DATA!WLM35</f>
        <v>0</v>
      </c>
      <c r="WLK208" s="128">
        <f>DATA!WLN35</f>
        <v>0</v>
      </c>
      <c r="WLL208" s="128">
        <f>DATA!WLO35</f>
        <v>0</v>
      </c>
      <c r="WLM208" s="128">
        <f>DATA!WLP35</f>
        <v>0</v>
      </c>
      <c r="WLN208" s="128">
        <f>DATA!WLQ35</f>
        <v>0</v>
      </c>
      <c r="WLO208" s="128">
        <f>DATA!WLR35</f>
        <v>0</v>
      </c>
      <c r="WLP208" s="128">
        <f>DATA!WLS35</f>
        <v>0</v>
      </c>
      <c r="WLQ208" s="128">
        <f>DATA!WLT35</f>
        <v>0</v>
      </c>
      <c r="WLR208" s="128">
        <f>DATA!WLU35</f>
        <v>0</v>
      </c>
      <c r="WLS208" s="128">
        <f>DATA!WLV35</f>
        <v>0</v>
      </c>
      <c r="WLT208" s="128">
        <f>DATA!WLW35</f>
        <v>0</v>
      </c>
      <c r="WLU208" s="128">
        <f>DATA!WLX35</f>
        <v>0</v>
      </c>
      <c r="WLV208" s="128">
        <f>DATA!WLY35</f>
        <v>0</v>
      </c>
      <c r="WLW208" s="128">
        <f>DATA!WLZ35</f>
        <v>0</v>
      </c>
      <c r="WLX208" s="128">
        <f>DATA!WMA35</f>
        <v>0</v>
      </c>
      <c r="WLY208" s="128">
        <f>DATA!WMB35</f>
        <v>0</v>
      </c>
      <c r="WLZ208" s="128">
        <f>DATA!WMC35</f>
        <v>0</v>
      </c>
      <c r="WMA208" s="128">
        <f>DATA!WMD35</f>
        <v>0</v>
      </c>
      <c r="WMB208" s="128">
        <f>DATA!WME35</f>
        <v>0</v>
      </c>
      <c r="WMC208" s="128">
        <f>DATA!WMF35</f>
        <v>0</v>
      </c>
      <c r="WMD208" s="128">
        <f>DATA!WMG35</f>
        <v>0</v>
      </c>
      <c r="WME208" s="128">
        <f>DATA!WMH35</f>
        <v>0</v>
      </c>
      <c r="WMF208" s="128">
        <f>DATA!WMI35</f>
        <v>0</v>
      </c>
      <c r="WMG208" s="128">
        <f>DATA!WMJ35</f>
        <v>0</v>
      </c>
      <c r="WMH208" s="128">
        <f>DATA!WMK35</f>
        <v>0</v>
      </c>
      <c r="WMI208" s="128">
        <f>DATA!WML35</f>
        <v>0</v>
      </c>
      <c r="WMJ208" s="128">
        <f>DATA!WMM35</f>
        <v>0</v>
      </c>
      <c r="WMK208" s="128">
        <f>DATA!WMN35</f>
        <v>0</v>
      </c>
      <c r="WML208" s="128">
        <f>DATA!WMO35</f>
        <v>0</v>
      </c>
      <c r="WMM208" s="128">
        <f>DATA!WMP35</f>
        <v>0</v>
      </c>
      <c r="WMN208" s="128">
        <f>DATA!WMQ35</f>
        <v>0</v>
      </c>
      <c r="WMO208" s="128">
        <f>DATA!WMR35</f>
        <v>0</v>
      </c>
      <c r="WMP208" s="128">
        <f>DATA!WMS35</f>
        <v>0</v>
      </c>
      <c r="WMQ208" s="128">
        <f>DATA!WMT35</f>
        <v>0</v>
      </c>
      <c r="WMR208" s="128">
        <f>DATA!WMU35</f>
        <v>0</v>
      </c>
      <c r="WMS208" s="128">
        <f>DATA!WMV35</f>
        <v>0</v>
      </c>
      <c r="WMT208" s="128">
        <f>DATA!WMW35</f>
        <v>0</v>
      </c>
      <c r="WMU208" s="128">
        <f>DATA!WMX35</f>
        <v>0</v>
      </c>
      <c r="WMV208" s="128">
        <f>DATA!WMY35</f>
        <v>0</v>
      </c>
      <c r="WMW208" s="128">
        <f>DATA!WMZ35</f>
        <v>0</v>
      </c>
      <c r="WMX208" s="128">
        <f>DATA!WNA35</f>
        <v>0</v>
      </c>
      <c r="WMY208" s="128">
        <f>DATA!WNB35</f>
        <v>0</v>
      </c>
      <c r="WMZ208" s="128">
        <f>DATA!WNC35</f>
        <v>0</v>
      </c>
      <c r="WNA208" s="128">
        <f>DATA!WND35</f>
        <v>0</v>
      </c>
      <c r="WNB208" s="128">
        <f>DATA!WNE35</f>
        <v>0</v>
      </c>
      <c r="WNC208" s="128">
        <f>DATA!WNF35</f>
        <v>0</v>
      </c>
      <c r="WND208" s="128">
        <f>DATA!WNG35</f>
        <v>0</v>
      </c>
      <c r="WNE208" s="128">
        <f>DATA!WNH35</f>
        <v>0</v>
      </c>
      <c r="WNF208" s="128">
        <f>DATA!WNI35</f>
        <v>0</v>
      </c>
      <c r="WNG208" s="128">
        <f>DATA!WNJ35</f>
        <v>0</v>
      </c>
      <c r="WNH208" s="128">
        <f>DATA!WNK35</f>
        <v>0</v>
      </c>
      <c r="WNI208" s="128">
        <f>DATA!WNL35</f>
        <v>0</v>
      </c>
      <c r="WNJ208" s="128">
        <f>DATA!WNM35</f>
        <v>0</v>
      </c>
      <c r="WNK208" s="128">
        <f>DATA!WNN35</f>
        <v>0</v>
      </c>
      <c r="WNL208" s="128">
        <f>DATA!WNO35</f>
        <v>0</v>
      </c>
      <c r="WNM208" s="128">
        <f>DATA!WNP35</f>
        <v>0</v>
      </c>
      <c r="WNN208" s="128">
        <f>DATA!WNQ35</f>
        <v>0</v>
      </c>
      <c r="WNO208" s="128">
        <f>DATA!WNR35</f>
        <v>0</v>
      </c>
      <c r="WNP208" s="128">
        <f>DATA!WNS35</f>
        <v>0</v>
      </c>
      <c r="WNQ208" s="128">
        <f>DATA!WNT35</f>
        <v>0</v>
      </c>
      <c r="WNR208" s="128">
        <f>DATA!WNU35</f>
        <v>0</v>
      </c>
      <c r="WNS208" s="128">
        <f>DATA!WNV35</f>
        <v>0</v>
      </c>
      <c r="WNT208" s="128">
        <f>DATA!WNW35</f>
        <v>0</v>
      </c>
      <c r="WNU208" s="128">
        <f>DATA!WNX35</f>
        <v>0</v>
      </c>
      <c r="WNV208" s="128">
        <f>DATA!WNY35</f>
        <v>0</v>
      </c>
      <c r="WNW208" s="128">
        <f>DATA!WNZ35</f>
        <v>0</v>
      </c>
      <c r="WNX208" s="128">
        <f>DATA!WOA35</f>
        <v>0</v>
      </c>
      <c r="WNY208" s="128">
        <f>DATA!WOB35</f>
        <v>0</v>
      </c>
      <c r="WNZ208" s="128">
        <f>DATA!WOC35</f>
        <v>0</v>
      </c>
      <c r="WOA208" s="128">
        <f>DATA!WOD35</f>
        <v>0</v>
      </c>
      <c r="WOB208" s="128">
        <f>DATA!WOE35</f>
        <v>0</v>
      </c>
      <c r="WOC208" s="128">
        <f>DATA!WOF35</f>
        <v>0</v>
      </c>
      <c r="WOD208" s="128">
        <f>DATA!WOG35</f>
        <v>0</v>
      </c>
      <c r="WOE208" s="128">
        <f>DATA!WOH35</f>
        <v>0</v>
      </c>
      <c r="WOF208" s="128">
        <f>DATA!WOI35</f>
        <v>0</v>
      </c>
      <c r="WOG208" s="128">
        <f>DATA!WOJ35</f>
        <v>0</v>
      </c>
      <c r="WOH208" s="128">
        <f>DATA!WOK35</f>
        <v>0</v>
      </c>
      <c r="WOI208" s="128">
        <f>DATA!WOL35</f>
        <v>0</v>
      </c>
      <c r="WOJ208" s="128">
        <f>DATA!WOM35</f>
        <v>0</v>
      </c>
      <c r="WOK208" s="128">
        <f>DATA!WON35</f>
        <v>0</v>
      </c>
      <c r="WOL208" s="128">
        <f>DATA!WOO35</f>
        <v>0</v>
      </c>
      <c r="WOM208" s="128">
        <f>DATA!WOP35</f>
        <v>0</v>
      </c>
      <c r="WON208" s="128">
        <f>DATA!WOQ35</f>
        <v>0</v>
      </c>
      <c r="WOO208" s="128">
        <f>DATA!WOR35</f>
        <v>0</v>
      </c>
      <c r="WOP208" s="128">
        <f>DATA!WOS35</f>
        <v>0</v>
      </c>
      <c r="WOQ208" s="128">
        <f>DATA!WOT35</f>
        <v>0</v>
      </c>
      <c r="WOR208" s="128">
        <f>DATA!WOU35</f>
        <v>0</v>
      </c>
      <c r="WOS208" s="128">
        <f>DATA!WOV35</f>
        <v>0</v>
      </c>
      <c r="WOT208" s="128">
        <f>DATA!WOW35</f>
        <v>0</v>
      </c>
      <c r="WOU208" s="128">
        <f>DATA!WOX35</f>
        <v>0</v>
      </c>
      <c r="WOV208" s="128">
        <f>DATA!WOY35</f>
        <v>0</v>
      </c>
      <c r="WOW208" s="128">
        <f>DATA!WOZ35</f>
        <v>0</v>
      </c>
      <c r="WOX208" s="128">
        <f>DATA!WPA35</f>
        <v>0</v>
      </c>
      <c r="WOY208" s="128">
        <f>DATA!WPB35</f>
        <v>0</v>
      </c>
      <c r="WOZ208" s="128">
        <f>DATA!WPC35</f>
        <v>0</v>
      </c>
      <c r="WPA208" s="128">
        <f>DATA!WPD35</f>
        <v>0</v>
      </c>
      <c r="WPB208" s="128">
        <f>DATA!WPE35</f>
        <v>0</v>
      </c>
      <c r="WPC208" s="128">
        <f>DATA!WPF35</f>
        <v>0</v>
      </c>
      <c r="WPD208" s="128">
        <f>DATA!WPG35</f>
        <v>0</v>
      </c>
      <c r="WPE208" s="128">
        <f>DATA!WPH35</f>
        <v>0</v>
      </c>
      <c r="WPF208" s="128">
        <f>DATA!WPI35</f>
        <v>0</v>
      </c>
      <c r="WPG208" s="128">
        <f>DATA!WPJ35</f>
        <v>0</v>
      </c>
      <c r="WPH208" s="128">
        <f>DATA!WPK35</f>
        <v>0</v>
      </c>
      <c r="WPI208" s="128">
        <f>DATA!WPL35</f>
        <v>0</v>
      </c>
      <c r="WPJ208" s="128">
        <f>DATA!WPM35</f>
        <v>0</v>
      </c>
      <c r="WPK208" s="128">
        <f>DATA!WPN35</f>
        <v>0</v>
      </c>
      <c r="WPL208" s="128">
        <f>DATA!WPO35</f>
        <v>0</v>
      </c>
      <c r="WPM208" s="128">
        <f>DATA!WPP35</f>
        <v>0</v>
      </c>
      <c r="WPN208" s="128">
        <f>DATA!WPQ35</f>
        <v>0</v>
      </c>
      <c r="WPO208" s="128">
        <f>DATA!WPR35</f>
        <v>0</v>
      </c>
      <c r="WPP208" s="128">
        <f>DATA!WPS35</f>
        <v>0</v>
      </c>
      <c r="WPQ208" s="128">
        <f>DATA!WPT35</f>
        <v>0</v>
      </c>
      <c r="WPR208" s="128">
        <f>DATA!WPU35</f>
        <v>0</v>
      </c>
      <c r="WPS208" s="128">
        <f>DATA!WPV35</f>
        <v>0</v>
      </c>
      <c r="WPT208" s="128">
        <f>DATA!WPW35</f>
        <v>0</v>
      </c>
      <c r="WPU208" s="128">
        <f>DATA!WPX35</f>
        <v>0</v>
      </c>
      <c r="WPV208" s="128">
        <f>DATA!WPY35</f>
        <v>0</v>
      </c>
      <c r="WPW208" s="128">
        <f>DATA!WPZ35</f>
        <v>0</v>
      </c>
      <c r="WPX208" s="128">
        <f>DATA!WQA35</f>
        <v>0</v>
      </c>
      <c r="WPY208" s="128">
        <f>DATA!WQB35</f>
        <v>0</v>
      </c>
      <c r="WPZ208" s="128">
        <f>DATA!WQC35</f>
        <v>0</v>
      </c>
      <c r="WQA208" s="128">
        <f>DATA!WQD35</f>
        <v>0</v>
      </c>
      <c r="WQB208" s="128">
        <f>DATA!WQE35</f>
        <v>0</v>
      </c>
      <c r="WQC208" s="128">
        <f>DATA!WQF35</f>
        <v>0</v>
      </c>
      <c r="WQD208" s="128">
        <f>DATA!WQG35</f>
        <v>0</v>
      </c>
      <c r="WQE208" s="128">
        <f>DATA!WQH35</f>
        <v>0</v>
      </c>
      <c r="WQF208" s="128">
        <f>DATA!WQI35</f>
        <v>0</v>
      </c>
      <c r="WQG208" s="128">
        <f>DATA!WQJ35</f>
        <v>0</v>
      </c>
      <c r="WQH208" s="128">
        <f>DATA!WQK35</f>
        <v>0</v>
      </c>
      <c r="WQI208" s="128">
        <f>DATA!WQL35</f>
        <v>0</v>
      </c>
      <c r="WQJ208" s="128">
        <f>DATA!WQM35</f>
        <v>0</v>
      </c>
      <c r="WQK208" s="128">
        <f>DATA!WQN35</f>
        <v>0</v>
      </c>
      <c r="WQL208" s="128">
        <f>DATA!WQO35</f>
        <v>0</v>
      </c>
      <c r="WQM208" s="128">
        <f>DATA!WQP35</f>
        <v>0</v>
      </c>
      <c r="WQN208" s="128">
        <f>DATA!WQQ35</f>
        <v>0</v>
      </c>
      <c r="WQO208" s="128">
        <f>DATA!WQR35</f>
        <v>0</v>
      </c>
      <c r="WQP208" s="128">
        <f>DATA!WQS35</f>
        <v>0</v>
      </c>
      <c r="WQQ208" s="128">
        <f>DATA!WQT35</f>
        <v>0</v>
      </c>
      <c r="WQR208" s="128">
        <f>DATA!WQU35</f>
        <v>0</v>
      </c>
      <c r="WQS208" s="128">
        <f>DATA!WQV35</f>
        <v>0</v>
      </c>
      <c r="WQT208" s="128">
        <f>DATA!WQW35</f>
        <v>0</v>
      </c>
      <c r="WQU208" s="128">
        <f>DATA!WQX35</f>
        <v>0</v>
      </c>
      <c r="WQV208" s="128">
        <f>DATA!WQY35</f>
        <v>0</v>
      </c>
      <c r="WQW208" s="128">
        <f>DATA!WQZ35</f>
        <v>0</v>
      </c>
      <c r="WQX208" s="128">
        <f>DATA!WRA35</f>
        <v>0</v>
      </c>
      <c r="WQY208" s="128">
        <f>DATA!WRB35</f>
        <v>0</v>
      </c>
      <c r="WQZ208" s="128">
        <f>DATA!WRC35</f>
        <v>0</v>
      </c>
      <c r="WRA208" s="128">
        <f>DATA!WRD35</f>
        <v>0</v>
      </c>
      <c r="WRB208" s="128">
        <f>DATA!WRE35</f>
        <v>0</v>
      </c>
      <c r="WRC208" s="128">
        <f>DATA!WRF35</f>
        <v>0</v>
      </c>
      <c r="WRD208" s="128">
        <f>DATA!WRG35</f>
        <v>0</v>
      </c>
      <c r="WRE208" s="128">
        <f>DATA!WRH35</f>
        <v>0</v>
      </c>
      <c r="WRF208" s="128">
        <f>DATA!WRI35</f>
        <v>0</v>
      </c>
      <c r="WRG208" s="128">
        <f>DATA!WRJ35</f>
        <v>0</v>
      </c>
      <c r="WRH208" s="128">
        <f>DATA!WRK35</f>
        <v>0</v>
      </c>
      <c r="WRI208" s="128">
        <f>DATA!WRL35</f>
        <v>0</v>
      </c>
      <c r="WRJ208" s="128">
        <f>DATA!WRM35</f>
        <v>0</v>
      </c>
      <c r="WRK208" s="128">
        <f>DATA!WRN35</f>
        <v>0</v>
      </c>
      <c r="WRL208" s="128">
        <f>DATA!WRO35</f>
        <v>0</v>
      </c>
      <c r="WRM208" s="128">
        <f>DATA!WRP35</f>
        <v>0</v>
      </c>
      <c r="WRN208" s="128">
        <f>DATA!WRQ35</f>
        <v>0</v>
      </c>
      <c r="WRO208" s="128">
        <f>DATA!WRR35</f>
        <v>0</v>
      </c>
      <c r="WRP208" s="128">
        <f>DATA!WRS35</f>
        <v>0</v>
      </c>
      <c r="WRQ208" s="128">
        <f>DATA!WRT35</f>
        <v>0</v>
      </c>
      <c r="WRR208" s="128">
        <f>DATA!WRU35</f>
        <v>0</v>
      </c>
      <c r="WRS208" s="128">
        <f>DATA!WRV35</f>
        <v>0</v>
      </c>
      <c r="WRT208" s="128">
        <f>DATA!WRW35</f>
        <v>0</v>
      </c>
      <c r="WRU208" s="128">
        <f>DATA!WRX35</f>
        <v>0</v>
      </c>
      <c r="WRV208" s="128">
        <f>DATA!WRY35</f>
        <v>0</v>
      </c>
      <c r="WRW208" s="128">
        <f>DATA!WRZ35</f>
        <v>0</v>
      </c>
      <c r="WRX208" s="128">
        <f>DATA!WSA35</f>
        <v>0</v>
      </c>
      <c r="WRY208" s="128">
        <f>DATA!WSB35</f>
        <v>0</v>
      </c>
      <c r="WRZ208" s="128">
        <f>DATA!WSC35</f>
        <v>0</v>
      </c>
      <c r="WSA208" s="128">
        <f>DATA!WSD35</f>
        <v>0</v>
      </c>
      <c r="WSB208" s="128">
        <f>DATA!WSE35</f>
        <v>0</v>
      </c>
      <c r="WSC208" s="128">
        <f>DATA!WSF35</f>
        <v>0</v>
      </c>
      <c r="WSD208" s="128">
        <f>DATA!WSG35</f>
        <v>0</v>
      </c>
      <c r="WSE208" s="128">
        <f>DATA!WSH35</f>
        <v>0</v>
      </c>
      <c r="WSF208" s="128">
        <f>DATA!WSI35</f>
        <v>0</v>
      </c>
      <c r="WSG208" s="128">
        <f>DATA!WSJ35</f>
        <v>0</v>
      </c>
      <c r="WSH208" s="128">
        <f>DATA!WSK35</f>
        <v>0</v>
      </c>
      <c r="WSI208" s="128">
        <f>DATA!WSL35</f>
        <v>0</v>
      </c>
      <c r="WSJ208" s="128">
        <f>DATA!WSM35</f>
        <v>0</v>
      </c>
      <c r="WSK208" s="128">
        <f>DATA!WSN35</f>
        <v>0</v>
      </c>
      <c r="WSL208" s="128">
        <f>DATA!WSO35</f>
        <v>0</v>
      </c>
      <c r="WSM208" s="128">
        <f>DATA!WSP35</f>
        <v>0</v>
      </c>
      <c r="WSN208" s="128">
        <f>DATA!WSQ35</f>
        <v>0</v>
      </c>
      <c r="WSO208" s="128">
        <f>DATA!WSR35</f>
        <v>0</v>
      </c>
      <c r="WSP208" s="128">
        <f>DATA!WSS35</f>
        <v>0</v>
      </c>
      <c r="WSQ208" s="128">
        <f>DATA!WST35</f>
        <v>0</v>
      </c>
      <c r="WSR208" s="128">
        <f>DATA!WSU35</f>
        <v>0</v>
      </c>
      <c r="WSS208" s="128">
        <f>DATA!WSV35</f>
        <v>0</v>
      </c>
      <c r="WST208" s="128">
        <f>DATA!WSW35</f>
        <v>0</v>
      </c>
      <c r="WSU208" s="128">
        <f>DATA!WSX35</f>
        <v>0</v>
      </c>
      <c r="WSV208" s="128">
        <f>DATA!WSY35</f>
        <v>0</v>
      </c>
      <c r="WSW208" s="128">
        <f>DATA!WSZ35</f>
        <v>0</v>
      </c>
      <c r="WSX208" s="128">
        <f>DATA!WTA35</f>
        <v>0</v>
      </c>
      <c r="WSY208" s="128">
        <f>DATA!WTB35</f>
        <v>0</v>
      </c>
      <c r="WSZ208" s="128">
        <f>DATA!WTC35</f>
        <v>0</v>
      </c>
      <c r="WTA208" s="128">
        <f>DATA!WTD35</f>
        <v>0</v>
      </c>
      <c r="WTB208" s="128">
        <f>DATA!WTE35</f>
        <v>0</v>
      </c>
      <c r="WTC208" s="128">
        <f>DATA!WTF35</f>
        <v>0</v>
      </c>
      <c r="WTD208" s="128">
        <f>DATA!WTG35</f>
        <v>0</v>
      </c>
      <c r="WTE208" s="128">
        <f>DATA!WTH35</f>
        <v>0</v>
      </c>
      <c r="WTF208" s="128">
        <f>DATA!WTI35</f>
        <v>0</v>
      </c>
      <c r="WTG208" s="128">
        <f>DATA!WTJ35</f>
        <v>0</v>
      </c>
      <c r="WTH208" s="128">
        <f>DATA!WTK35</f>
        <v>0</v>
      </c>
      <c r="WTI208" s="128">
        <f>DATA!WTL35</f>
        <v>0</v>
      </c>
      <c r="WTJ208" s="128">
        <f>DATA!WTM35</f>
        <v>0</v>
      </c>
      <c r="WTK208" s="128">
        <f>DATA!WTN35</f>
        <v>0</v>
      </c>
      <c r="WTL208" s="128">
        <f>DATA!WTO35</f>
        <v>0</v>
      </c>
      <c r="WTM208" s="128">
        <f>DATA!WTP35</f>
        <v>0</v>
      </c>
      <c r="WTN208" s="128">
        <f>DATA!WTQ35</f>
        <v>0</v>
      </c>
      <c r="WTO208" s="128">
        <f>DATA!WTR35</f>
        <v>0</v>
      </c>
      <c r="WTP208" s="128">
        <f>DATA!WTS35</f>
        <v>0</v>
      </c>
      <c r="WTQ208" s="128">
        <f>DATA!WTT35</f>
        <v>0</v>
      </c>
      <c r="WTR208" s="128">
        <f>DATA!WTU35</f>
        <v>0</v>
      </c>
      <c r="WTS208" s="128">
        <f>DATA!WTV35</f>
        <v>0</v>
      </c>
      <c r="WTT208" s="128">
        <f>DATA!WTW35</f>
        <v>0</v>
      </c>
      <c r="WTU208" s="128">
        <f>DATA!WTX35</f>
        <v>0</v>
      </c>
      <c r="WTV208" s="128">
        <f>DATA!WTY35</f>
        <v>0</v>
      </c>
      <c r="WTW208" s="128">
        <f>DATA!WTZ35</f>
        <v>0</v>
      </c>
      <c r="WTX208" s="128">
        <f>DATA!WUA35</f>
        <v>0</v>
      </c>
      <c r="WTY208" s="128">
        <f>DATA!WUB35</f>
        <v>0</v>
      </c>
      <c r="WTZ208" s="128">
        <f>DATA!WUC35</f>
        <v>0</v>
      </c>
      <c r="WUA208" s="128">
        <f>DATA!WUD35</f>
        <v>0</v>
      </c>
      <c r="WUB208" s="128">
        <f>DATA!WUE35</f>
        <v>0</v>
      </c>
      <c r="WUC208" s="128">
        <f>DATA!WUF35</f>
        <v>0</v>
      </c>
      <c r="WUD208" s="128">
        <f>DATA!WUG35</f>
        <v>0</v>
      </c>
      <c r="WUE208" s="128">
        <f>DATA!WUH35</f>
        <v>0</v>
      </c>
      <c r="WUF208" s="128">
        <f>DATA!WUI35</f>
        <v>0</v>
      </c>
      <c r="WUG208" s="128">
        <f>DATA!WUJ35</f>
        <v>0</v>
      </c>
      <c r="WUH208" s="128">
        <f>DATA!WUK35</f>
        <v>0</v>
      </c>
      <c r="WUI208" s="128">
        <f>DATA!WUL35</f>
        <v>0</v>
      </c>
      <c r="WUJ208" s="128">
        <f>DATA!WUM35</f>
        <v>0</v>
      </c>
      <c r="WUK208" s="128">
        <f>DATA!WUN35</f>
        <v>0</v>
      </c>
      <c r="WUL208" s="128">
        <f>DATA!WUO35</f>
        <v>0</v>
      </c>
      <c r="WUM208" s="128">
        <f>DATA!WUP35</f>
        <v>0</v>
      </c>
      <c r="WUN208" s="128">
        <f>DATA!WUQ35</f>
        <v>0</v>
      </c>
      <c r="WUO208" s="128">
        <f>DATA!WUR35</f>
        <v>0</v>
      </c>
      <c r="WUP208" s="128">
        <f>DATA!WUS35</f>
        <v>0</v>
      </c>
      <c r="WUQ208" s="128">
        <f>DATA!WUT35</f>
        <v>0</v>
      </c>
      <c r="WUR208" s="128">
        <f>DATA!WUU35</f>
        <v>0</v>
      </c>
      <c r="WUS208" s="128">
        <f>DATA!WUV35</f>
        <v>0</v>
      </c>
      <c r="WUT208" s="128">
        <f>DATA!WUW35</f>
        <v>0</v>
      </c>
      <c r="WUU208" s="128">
        <f>DATA!WUX35</f>
        <v>0</v>
      </c>
      <c r="WUV208" s="128">
        <f>DATA!WUY35</f>
        <v>0</v>
      </c>
      <c r="WUW208" s="128">
        <f>DATA!WUZ35</f>
        <v>0</v>
      </c>
      <c r="WUX208" s="128">
        <f>DATA!WVA35</f>
        <v>0</v>
      </c>
      <c r="WUY208" s="128">
        <f>DATA!WVB35</f>
        <v>0</v>
      </c>
      <c r="WUZ208" s="128">
        <f>DATA!WVC35</f>
        <v>0</v>
      </c>
      <c r="WVA208" s="128">
        <f>DATA!WVD35</f>
        <v>0</v>
      </c>
      <c r="WVB208" s="128">
        <f>DATA!WVE35</f>
        <v>0</v>
      </c>
      <c r="WVC208" s="128">
        <f>DATA!WVF35</f>
        <v>0</v>
      </c>
      <c r="WVD208" s="128">
        <f>DATA!WVG35</f>
        <v>0</v>
      </c>
      <c r="WVE208" s="128">
        <f>DATA!WVH35</f>
        <v>0</v>
      </c>
      <c r="WVF208" s="128">
        <f>DATA!WVI35</f>
        <v>0</v>
      </c>
      <c r="WVG208" s="128">
        <f>DATA!WVJ35</f>
        <v>0</v>
      </c>
      <c r="WVH208" s="128">
        <f>DATA!WVK35</f>
        <v>0</v>
      </c>
      <c r="WVI208" s="128">
        <f>DATA!WVL35</f>
        <v>0</v>
      </c>
      <c r="WVJ208" s="128">
        <f>DATA!WVM35</f>
        <v>0</v>
      </c>
      <c r="WVK208" s="128">
        <f>DATA!WVN35</f>
        <v>0</v>
      </c>
      <c r="WVL208" s="128">
        <f>DATA!WVO35</f>
        <v>0</v>
      </c>
      <c r="WVM208" s="128">
        <f>DATA!WVP35</f>
        <v>0</v>
      </c>
      <c r="WVN208" s="128">
        <f>DATA!WVQ35</f>
        <v>0</v>
      </c>
      <c r="WVO208" s="128">
        <f>DATA!WVR35</f>
        <v>0</v>
      </c>
      <c r="WVP208" s="128">
        <f>DATA!WVS35</f>
        <v>0</v>
      </c>
      <c r="WVQ208" s="128">
        <f>DATA!WVT35</f>
        <v>0</v>
      </c>
      <c r="WVR208" s="128">
        <f>DATA!WVU35</f>
        <v>0</v>
      </c>
      <c r="WVS208" s="128">
        <f>DATA!WVV35</f>
        <v>0</v>
      </c>
      <c r="WVT208" s="128">
        <f>DATA!WVW35</f>
        <v>0</v>
      </c>
      <c r="WVU208" s="128">
        <f>DATA!WVX35</f>
        <v>0</v>
      </c>
      <c r="WVV208" s="128">
        <f>DATA!WVY35</f>
        <v>0</v>
      </c>
      <c r="WVW208" s="128">
        <f>DATA!WVZ35</f>
        <v>0</v>
      </c>
      <c r="WVX208" s="128">
        <f>DATA!WWA35</f>
        <v>0</v>
      </c>
      <c r="WVY208" s="128">
        <f>DATA!WWB35</f>
        <v>0</v>
      </c>
      <c r="WVZ208" s="128">
        <f>DATA!WWC35</f>
        <v>0</v>
      </c>
      <c r="WWA208" s="128">
        <f>DATA!WWD35</f>
        <v>0</v>
      </c>
      <c r="WWB208" s="128">
        <f>DATA!WWE35</f>
        <v>0</v>
      </c>
      <c r="WWC208" s="128">
        <f>DATA!WWF35</f>
        <v>0</v>
      </c>
      <c r="WWD208" s="128">
        <f>DATA!WWG35</f>
        <v>0</v>
      </c>
      <c r="WWE208" s="128">
        <f>DATA!WWH35</f>
        <v>0</v>
      </c>
      <c r="WWF208" s="128">
        <f>DATA!WWI35</f>
        <v>0</v>
      </c>
      <c r="WWG208" s="128">
        <f>DATA!WWJ35</f>
        <v>0</v>
      </c>
      <c r="WWH208" s="128">
        <f>DATA!WWK35</f>
        <v>0</v>
      </c>
      <c r="WWI208" s="128">
        <f>DATA!WWL35</f>
        <v>0</v>
      </c>
      <c r="WWJ208" s="128">
        <f>DATA!WWM35</f>
        <v>0</v>
      </c>
      <c r="WWK208" s="128">
        <f>DATA!WWN35</f>
        <v>0</v>
      </c>
      <c r="WWL208" s="128">
        <f>DATA!WWO35</f>
        <v>0</v>
      </c>
      <c r="WWM208" s="128">
        <f>DATA!WWP35</f>
        <v>0</v>
      </c>
      <c r="WWN208" s="128">
        <f>DATA!WWQ35</f>
        <v>0</v>
      </c>
      <c r="WWO208" s="128">
        <f>DATA!WWR35</f>
        <v>0</v>
      </c>
      <c r="WWP208" s="128">
        <f>DATA!WWS35</f>
        <v>0</v>
      </c>
      <c r="WWQ208" s="128">
        <f>DATA!WWT35</f>
        <v>0</v>
      </c>
      <c r="WWR208" s="128">
        <f>DATA!WWU35</f>
        <v>0</v>
      </c>
      <c r="WWS208" s="128">
        <f>DATA!WWV35</f>
        <v>0</v>
      </c>
      <c r="WWT208" s="128">
        <f>DATA!WWW35</f>
        <v>0</v>
      </c>
      <c r="WWU208" s="128">
        <f>DATA!WWX35</f>
        <v>0</v>
      </c>
      <c r="WWV208" s="128">
        <f>DATA!WWY35</f>
        <v>0</v>
      </c>
      <c r="WWW208" s="128">
        <f>DATA!WWZ35</f>
        <v>0</v>
      </c>
      <c r="WWX208" s="128">
        <f>DATA!WXA35</f>
        <v>0</v>
      </c>
      <c r="WWY208" s="128">
        <f>DATA!WXB35</f>
        <v>0</v>
      </c>
      <c r="WWZ208" s="128">
        <f>DATA!WXC35</f>
        <v>0</v>
      </c>
      <c r="WXA208" s="128">
        <f>DATA!WXD35</f>
        <v>0</v>
      </c>
      <c r="WXB208" s="128">
        <f>DATA!WXE35</f>
        <v>0</v>
      </c>
      <c r="WXC208" s="128">
        <f>DATA!WXF35</f>
        <v>0</v>
      </c>
      <c r="WXD208" s="128">
        <f>DATA!WXG35</f>
        <v>0</v>
      </c>
      <c r="WXE208" s="128">
        <f>DATA!WXH35</f>
        <v>0</v>
      </c>
      <c r="WXF208" s="128">
        <f>DATA!WXI35</f>
        <v>0</v>
      </c>
      <c r="WXG208" s="128">
        <f>DATA!WXJ35</f>
        <v>0</v>
      </c>
      <c r="WXH208" s="128">
        <f>DATA!WXK35</f>
        <v>0</v>
      </c>
      <c r="WXI208" s="128">
        <f>DATA!WXL35</f>
        <v>0</v>
      </c>
      <c r="WXJ208" s="128">
        <f>DATA!WXM35</f>
        <v>0</v>
      </c>
      <c r="WXK208" s="128">
        <f>DATA!WXN35</f>
        <v>0</v>
      </c>
      <c r="WXL208" s="128">
        <f>DATA!WXO35</f>
        <v>0</v>
      </c>
      <c r="WXM208" s="128">
        <f>DATA!WXP35</f>
        <v>0</v>
      </c>
      <c r="WXN208" s="128">
        <f>DATA!WXQ35</f>
        <v>0</v>
      </c>
      <c r="WXO208" s="128">
        <f>DATA!WXR35</f>
        <v>0</v>
      </c>
      <c r="WXP208" s="128">
        <f>DATA!WXS35</f>
        <v>0</v>
      </c>
      <c r="WXQ208" s="128">
        <f>DATA!WXT35</f>
        <v>0</v>
      </c>
      <c r="WXR208" s="128">
        <f>DATA!WXU35</f>
        <v>0</v>
      </c>
      <c r="WXS208" s="128">
        <f>DATA!WXV35</f>
        <v>0</v>
      </c>
      <c r="WXT208" s="128">
        <f>DATA!WXW35</f>
        <v>0</v>
      </c>
      <c r="WXU208" s="128">
        <f>DATA!WXX35</f>
        <v>0</v>
      </c>
      <c r="WXV208" s="128">
        <f>DATA!WXY35</f>
        <v>0</v>
      </c>
      <c r="WXW208" s="128">
        <f>DATA!WXZ35</f>
        <v>0</v>
      </c>
      <c r="WXX208" s="128">
        <f>DATA!WYA35</f>
        <v>0</v>
      </c>
      <c r="WXY208" s="128">
        <f>DATA!WYB35</f>
        <v>0</v>
      </c>
      <c r="WXZ208" s="128">
        <f>DATA!WYC35</f>
        <v>0</v>
      </c>
      <c r="WYA208" s="128">
        <f>DATA!WYD35</f>
        <v>0</v>
      </c>
      <c r="WYB208" s="128">
        <f>DATA!WYE35</f>
        <v>0</v>
      </c>
      <c r="WYC208" s="128">
        <f>DATA!WYF35</f>
        <v>0</v>
      </c>
      <c r="WYD208" s="128">
        <f>DATA!WYG35</f>
        <v>0</v>
      </c>
      <c r="WYE208" s="128">
        <f>DATA!WYH35</f>
        <v>0</v>
      </c>
      <c r="WYF208" s="128">
        <f>DATA!WYI35</f>
        <v>0</v>
      </c>
      <c r="WYG208" s="128">
        <f>DATA!WYJ35</f>
        <v>0</v>
      </c>
      <c r="WYH208" s="128">
        <f>DATA!WYK35</f>
        <v>0</v>
      </c>
      <c r="WYI208" s="128">
        <f>DATA!WYL35</f>
        <v>0</v>
      </c>
      <c r="WYJ208" s="128">
        <f>DATA!WYM35</f>
        <v>0</v>
      </c>
      <c r="WYK208" s="128">
        <f>DATA!WYN35</f>
        <v>0</v>
      </c>
      <c r="WYL208" s="128">
        <f>DATA!WYO35</f>
        <v>0</v>
      </c>
      <c r="WYM208" s="128">
        <f>DATA!WYP35</f>
        <v>0</v>
      </c>
      <c r="WYN208" s="128">
        <f>DATA!WYQ35</f>
        <v>0</v>
      </c>
      <c r="WYO208" s="128">
        <f>DATA!WYR35</f>
        <v>0</v>
      </c>
      <c r="WYP208" s="128">
        <f>DATA!WYS35</f>
        <v>0</v>
      </c>
      <c r="WYQ208" s="128">
        <f>DATA!WYT35</f>
        <v>0</v>
      </c>
      <c r="WYR208" s="128">
        <f>DATA!WYU35</f>
        <v>0</v>
      </c>
      <c r="WYS208" s="128">
        <f>DATA!WYV35</f>
        <v>0</v>
      </c>
      <c r="WYT208" s="128">
        <f>DATA!WYW35</f>
        <v>0</v>
      </c>
      <c r="WYU208" s="128">
        <f>DATA!WYX35</f>
        <v>0</v>
      </c>
      <c r="WYV208" s="128">
        <f>DATA!WYY35</f>
        <v>0</v>
      </c>
      <c r="WYW208" s="128">
        <f>DATA!WYZ35</f>
        <v>0</v>
      </c>
      <c r="WYX208" s="128">
        <f>DATA!WZA35</f>
        <v>0</v>
      </c>
      <c r="WYY208" s="128">
        <f>DATA!WZB35</f>
        <v>0</v>
      </c>
      <c r="WYZ208" s="128">
        <f>DATA!WZC35</f>
        <v>0</v>
      </c>
      <c r="WZA208" s="128">
        <f>DATA!WZD35</f>
        <v>0</v>
      </c>
      <c r="WZB208" s="128">
        <f>DATA!WZE35</f>
        <v>0</v>
      </c>
      <c r="WZC208" s="128">
        <f>DATA!WZF35</f>
        <v>0</v>
      </c>
      <c r="WZD208" s="128">
        <f>DATA!WZG35</f>
        <v>0</v>
      </c>
      <c r="WZE208" s="128">
        <f>DATA!WZH35</f>
        <v>0</v>
      </c>
      <c r="WZF208" s="128">
        <f>DATA!WZI35</f>
        <v>0</v>
      </c>
      <c r="WZG208" s="128">
        <f>DATA!WZJ35</f>
        <v>0</v>
      </c>
      <c r="WZH208" s="128">
        <f>DATA!WZK35</f>
        <v>0</v>
      </c>
      <c r="WZI208" s="128">
        <f>DATA!WZL35</f>
        <v>0</v>
      </c>
      <c r="WZJ208" s="128">
        <f>DATA!WZM35</f>
        <v>0</v>
      </c>
      <c r="WZK208" s="128">
        <f>DATA!WZN35</f>
        <v>0</v>
      </c>
      <c r="WZL208" s="128">
        <f>DATA!WZO35</f>
        <v>0</v>
      </c>
      <c r="WZM208" s="128">
        <f>DATA!WZP35</f>
        <v>0</v>
      </c>
      <c r="WZN208" s="128">
        <f>DATA!WZQ35</f>
        <v>0</v>
      </c>
      <c r="WZO208" s="128">
        <f>DATA!WZR35</f>
        <v>0</v>
      </c>
      <c r="WZP208" s="128">
        <f>DATA!WZS35</f>
        <v>0</v>
      </c>
      <c r="WZQ208" s="128">
        <f>DATA!WZT35</f>
        <v>0</v>
      </c>
      <c r="WZR208" s="128">
        <f>DATA!WZU35</f>
        <v>0</v>
      </c>
      <c r="WZS208" s="128">
        <f>DATA!WZV35</f>
        <v>0</v>
      </c>
      <c r="WZT208" s="128">
        <f>DATA!WZW35</f>
        <v>0</v>
      </c>
      <c r="WZU208" s="128">
        <f>DATA!WZX35</f>
        <v>0</v>
      </c>
      <c r="WZV208" s="128">
        <f>DATA!WZY35</f>
        <v>0</v>
      </c>
      <c r="WZW208" s="128">
        <f>DATA!WZZ35</f>
        <v>0</v>
      </c>
      <c r="WZX208" s="128">
        <f>DATA!XAA35</f>
        <v>0</v>
      </c>
      <c r="WZY208" s="128">
        <f>DATA!XAB35</f>
        <v>0</v>
      </c>
      <c r="WZZ208" s="128">
        <f>DATA!XAC35</f>
        <v>0</v>
      </c>
      <c r="XAA208" s="128">
        <f>DATA!XAD35</f>
        <v>0</v>
      </c>
      <c r="XAB208" s="128">
        <f>DATA!XAE35</f>
        <v>0</v>
      </c>
      <c r="XAC208" s="128">
        <f>DATA!XAF35</f>
        <v>0</v>
      </c>
      <c r="XAD208" s="128">
        <f>DATA!XAG35</f>
        <v>0</v>
      </c>
      <c r="XAE208" s="128">
        <f>DATA!XAH35</f>
        <v>0</v>
      </c>
      <c r="XAF208" s="128">
        <f>DATA!XAI35</f>
        <v>0</v>
      </c>
      <c r="XAG208" s="128">
        <f>DATA!XAJ35</f>
        <v>0</v>
      </c>
      <c r="XAH208" s="128">
        <f>DATA!XAK35</f>
        <v>0</v>
      </c>
      <c r="XAI208" s="128">
        <f>DATA!XAL35</f>
        <v>0</v>
      </c>
      <c r="XAJ208" s="128">
        <f>DATA!XAM35</f>
        <v>0</v>
      </c>
      <c r="XAK208" s="128">
        <f>DATA!XAN35</f>
        <v>0</v>
      </c>
      <c r="XAL208" s="128">
        <f>DATA!XAO35</f>
        <v>0</v>
      </c>
      <c r="XAM208" s="128">
        <f>DATA!XAP35</f>
        <v>0</v>
      </c>
      <c r="XAN208" s="128">
        <f>DATA!XAQ35</f>
        <v>0</v>
      </c>
      <c r="XAO208" s="128">
        <f>DATA!XAR35</f>
        <v>0</v>
      </c>
      <c r="XAP208" s="128">
        <f>DATA!XAS35</f>
        <v>0</v>
      </c>
      <c r="XAQ208" s="128">
        <f>DATA!XAT35</f>
        <v>0</v>
      </c>
      <c r="XAR208" s="128">
        <f>DATA!XAU35</f>
        <v>0</v>
      </c>
      <c r="XAS208" s="128">
        <f>DATA!XAV35</f>
        <v>0</v>
      </c>
      <c r="XAT208" s="128">
        <f>DATA!XAW35</f>
        <v>0</v>
      </c>
      <c r="XAU208" s="128">
        <f>DATA!XAX35</f>
        <v>0</v>
      </c>
      <c r="XAV208" s="128">
        <f>DATA!XAY35</f>
        <v>0</v>
      </c>
      <c r="XAW208" s="128">
        <f>DATA!XAZ35</f>
        <v>0</v>
      </c>
      <c r="XAX208" s="128">
        <f>DATA!XBA35</f>
        <v>0</v>
      </c>
      <c r="XAY208" s="128">
        <f>DATA!XBB35</f>
        <v>0</v>
      </c>
      <c r="XAZ208" s="128">
        <f>DATA!XBC35</f>
        <v>0</v>
      </c>
      <c r="XBA208" s="128">
        <f>DATA!XBD35</f>
        <v>0</v>
      </c>
      <c r="XBB208" s="128">
        <f>DATA!XBE35</f>
        <v>0</v>
      </c>
      <c r="XBC208" s="128">
        <f>DATA!XBF35</f>
        <v>0</v>
      </c>
      <c r="XBD208" s="128">
        <f>DATA!XBG35</f>
        <v>0</v>
      </c>
      <c r="XBE208" s="128">
        <f>DATA!XBH35</f>
        <v>0</v>
      </c>
      <c r="XBF208" s="128">
        <f>DATA!XBI35</f>
        <v>0</v>
      </c>
      <c r="XBG208" s="128">
        <f>DATA!XBJ35</f>
        <v>0</v>
      </c>
      <c r="XBH208" s="128">
        <f>DATA!XBK35</f>
        <v>0</v>
      </c>
      <c r="XBI208" s="128">
        <f>DATA!XBL35</f>
        <v>0</v>
      </c>
      <c r="XBJ208" s="128">
        <f>DATA!XBM35</f>
        <v>0</v>
      </c>
      <c r="XBK208" s="128">
        <f>DATA!XBN35</f>
        <v>0</v>
      </c>
      <c r="XBL208" s="128">
        <f>DATA!XBO35</f>
        <v>0</v>
      </c>
      <c r="XBM208" s="128">
        <f>DATA!XBP35</f>
        <v>0</v>
      </c>
      <c r="XBN208" s="128">
        <f>DATA!XBQ35</f>
        <v>0</v>
      </c>
      <c r="XBO208" s="128">
        <f>DATA!XBR35</f>
        <v>0</v>
      </c>
      <c r="XBP208" s="128">
        <f>DATA!XBS35</f>
        <v>0</v>
      </c>
      <c r="XBQ208" s="128">
        <f>DATA!XBT35</f>
        <v>0</v>
      </c>
      <c r="XBR208" s="128">
        <f>DATA!XBU35</f>
        <v>0</v>
      </c>
      <c r="XBS208" s="128">
        <f>DATA!XBV35</f>
        <v>0</v>
      </c>
      <c r="XBT208" s="128">
        <f>DATA!XBW35</f>
        <v>0</v>
      </c>
      <c r="XBU208" s="128">
        <f>DATA!XBX35</f>
        <v>0</v>
      </c>
      <c r="XBV208" s="128">
        <f>DATA!XBY35</f>
        <v>0</v>
      </c>
      <c r="XBW208" s="128">
        <f>DATA!XBZ35</f>
        <v>0</v>
      </c>
      <c r="XBX208" s="128">
        <f>DATA!XCA35</f>
        <v>0</v>
      </c>
      <c r="XBY208" s="128">
        <f>DATA!XCB35</f>
        <v>0</v>
      </c>
      <c r="XBZ208" s="128">
        <f>DATA!XCC35</f>
        <v>0</v>
      </c>
      <c r="XCA208" s="128">
        <f>DATA!XCD35</f>
        <v>0</v>
      </c>
      <c r="XCB208" s="128">
        <f>DATA!XCE35</f>
        <v>0</v>
      </c>
      <c r="XCC208" s="128">
        <f>DATA!XCF35</f>
        <v>0</v>
      </c>
      <c r="XCD208" s="128">
        <f>DATA!XCG35</f>
        <v>0</v>
      </c>
      <c r="XCE208" s="128">
        <f>DATA!XCH35</f>
        <v>0</v>
      </c>
      <c r="XCF208" s="128">
        <f>DATA!XCI35</f>
        <v>0</v>
      </c>
      <c r="XCG208" s="128">
        <f>DATA!XCJ35</f>
        <v>0</v>
      </c>
      <c r="XCH208" s="128">
        <f>DATA!XCK35</f>
        <v>0</v>
      </c>
      <c r="XCI208" s="128">
        <f>DATA!XCL35</f>
        <v>0</v>
      </c>
      <c r="XCJ208" s="128">
        <f>DATA!XCM35</f>
        <v>0</v>
      </c>
      <c r="XCK208" s="128">
        <f>DATA!XCN35</f>
        <v>0</v>
      </c>
      <c r="XCL208" s="128">
        <f>DATA!XCO35</f>
        <v>0</v>
      </c>
      <c r="XCM208" s="128">
        <f>DATA!XCP35</f>
        <v>0</v>
      </c>
      <c r="XCN208" s="128">
        <f>DATA!XCQ35</f>
        <v>0</v>
      </c>
      <c r="XCO208" s="128">
        <f>DATA!XCR35</f>
        <v>0</v>
      </c>
      <c r="XCP208" s="128">
        <f>DATA!XCS35</f>
        <v>0</v>
      </c>
      <c r="XCQ208" s="128">
        <f>DATA!XCT35</f>
        <v>0</v>
      </c>
      <c r="XCR208" s="128">
        <f>DATA!XCU35</f>
        <v>0</v>
      </c>
      <c r="XCS208" s="128">
        <f>DATA!XCV35</f>
        <v>0</v>
      </c>
      <c r="XCT208" s="128">
        <f>DATA!XCW35</f>
        <v>0</v>
      </c>
      <c r="XCU208" s="128">
        <f>DATA!XCX35</f>
        <v>0</v>
      </c>
      <c r="XCV208" s="128">
        <f>DATA!XCY35</f>
        <v>0</v>
      </c>
      <c r="XCW208" s="128">
        <f>DATA!XCZ35</f>
        <v>0</v>
      </c>
      <c r="XCX208" s="128">
        <f>DATA!XDA35</f>
        <v>0</v>
      </c>
      <c r="XCY208" s="128">
        <f>DATA!XDB35</f>
        <v>0</v>
      </c>
      <c r="XCZ208" s="128">
        <f>DATA!XDC35</f>
        <v>0</v>
      </c>
      <c r="XDA208" s="128">
        <f>DATA!XDD35</f>
        <v>0</v>
      </c>
      <c r="XDB208" s="128">
        <f>DATA!XDE35</f>
        <v>0</v>
      </c>
      <c r="XDC208" s="128">
        <f>DATA!XDF35</f>
        <v>0</v>
      </c>
      <c r="XDD208" s="128">
        <f>DATA!XDG35</f>
        <v>0</v>
      </c>
      <c r="XDE208" s="128">
        <f>DATA!XDH35</f>
        <v>0</v>
      </c>
      <c r="XDF208" s="128">
        <f>DATA!XDI35</f>
        <v>0</v>
      </c>
      <c r="XDG208" s="128">
        <f>DATA!XDJ35</f>
        <v>0</v>
      </c>
      <c r="XDH208" s="128">
        <f>DATA!XDK35</f>
        <v>0</v>
      </c>
      <c r="XDI208" s="128">
        <f>DATA!XDL35</f>
        <v>0</v>
      </c>
      <c r="XDJ208" s="128">
        <f>DATA!XDM35</f>
        <v>0</v>
      </c>
      <c r="XDK208" s="128">
        <f>DATA!XDN35</f>
        <v>0</v>
      </c>
      <c r="XDL208" s="128">
        <f>DATA!XDO35</f>
        <v>0</v>
      </c>
      <c r="XDM208" s="128">
        <f>DATA!XDP35</f>
        <v>0</v>
      </c>
      <c r="XDN208" s="128">
        <f>DATA!XDQ35</f>
        <v>0</v>
      </c>
      <c r="XDO208" s="128">
        <f>DATA!XDR35</f>
        <v>0</v>
      </c>
      <c r="XDP208" s="128">
        <f>DATA!XDS35</f>
        <v>0</v>
      </c>
      <c r="XDQ208" s="128">
        <f>DATA!XDT35</f>
        <v>0</v>
      </c>
      <c r="XDR208" s="128">
        <f>DATA!XDU35</f>
        <v>0</v>
      </c>
      <c r="XDS208" s="128">
        <f>DATA!XDV35</f>
        <v>0</v>
      </c>
      <c r="XDT208" s="128">
        <f>DATA!XDW35</f>
        <v>0</v>
      </c>
      <c r="XDU208" s="128">
        <f>DATA!XDX35</f>
        <v>0</v>
      </c>
      <c r="XDV208" s="128">
        <f>DATA!XDY35</f>
        <v>0</v>
      </c>
      <c r="XDW208" s="128">
        <f>DATA!XDZ35</f>
        <v>0</v>
      </c>
      <c r="XDX208" s="128">
        <f>DATA!XEA35</f>
        <v>0</v>
      </c>
      <c r="XDY208" s="128">
        <f>DATA!XEB35</f>
        <v>0</v>
      </c>
      <c r="XDZ208" s="128">
        <f>DATA!XEC35</f>
        <v>0</v>
      </c>
      <c r="XEA208" s="128">
        <f>DATA!XED35</f>
        <v>0</v>
      </c>
      <c r="XEB208" s="128">
        <f>DATA!XEE35</f>
        <v>0</v>
      </c>
      <c r="XEC208" s="128">
        <f>DATA!XEF35</f>
        <v>0</v>
      </c>
      <c r="XED208" s="128">
        <f>DATA!XEG35</f>
        <v>0</v>
      </c>
      <c r="XEE208" s="128">
        <f>DATA!XEH35</f>
        <v>0</v>
      </c>
      <c r="XEF208" s="128">
        <f>DATA!XEI35</f>
        <v>0</v>
      </c>
      <c r="XEG208" s="128">
        <f>DATA!XEJ35</f>
        <v>0</v>
      </c>
      <c r="XEH208" s="128">
        <f>DATA!XEK35</f>
        <v>0</v>
      </c>
      <c r="XEI208" s="128">
        <f>DATA!XEL35</f>
        <v>0</v>
      </c>
      <c r="XEJ208" s="128">
        <f>DATA!XEM35</f>
        <v>0</v>
      </c>
      <c r="XEK208" s="128">
        <f>DATA!XEN35</f>
        <v>0</v>
      </c>
      <c r="XEL208" s="128">
        <f>DATA!XEO35</f>
        <v>0</v>
      </c>
      <c r="XEM208" s="128">
        <f>DATA!XEP35</f>
        <v>0</v>
      </c>
      <c r="XEN208" s="128">
        <f>DATA!XEQ35</f>
        <v>0</v>
      </c>
      <c r="XEO208" s="128">
        <f>DATA!XER35</f>
        <v>0</v>
      </c>
      <c r="XEP208" s="128">
        <f>DATA!XES35</f>
        <v>0</v>
      </c>
      <c r="XEQ208" s="128">
        <f>DATA!XET35</f>
        <v>0</v>
      </c>
      <c r="XER208" s="128">
        <f>DATA!XEU35</f>
        <v>0</v>
      </c>
      <c r="XES208" s="128">
        <f>DATA!XEV35</f>
        <v>0</v>
      </c>
      <c r="XET208" s="128">
        <f>DATA!XEW35</f>
        <v>0</v>
      </c>
      <c r="XEU208" s="128">
        <f>DATA!XEX35</f>
        <v>0</v>
      </c>
      <c r="XEV208" s="128">
        <f>DATA!XEY35</f>
        <v>0</v>
      </c>
      <c r="XEW208" s="128">
        <f>DATA!XEZ35</f>
        <v>0</v>
      </c>
      <c r="XEX208" s="128">
        <f>DATA!XFA35</f>
        <v>0</v>
      </c>
      <c r="XEY208" s="128">
        <f>DATA!XFB35</f>
        <v>0</v>
      </c>
      <c r="XEZ208" s="128">
        <f>DATA!XFC35</f>
        <v>0</v>
      </c>
      <c r="XFA208" s="128">
        <f>DATA!XFD35</f>
        <v>0</v>
      </c>
      <c r="XFB208" s="128" t="e">
        <f>DATA!#REF!</f>
        <v>#REF!</v>
      </c>
      <c r="XFC208" s="128" t="e">
        <f>DATA!#REF!</f>
        <v>#REF!</v>
      </c>
      <c r="XFD208" s="128" t="e">
        <f>DATA!#REF!</f>
        <v>#REF!</v>
      </c>
    </row>
    <row r="209" spans="1:1" ht="15.75" hidden="1" customHeight="1" x14ac:dyDescent="0.25">
      <c r="A209" s="128" t="str">
        <f>DATA!E35</f>
        <v>VII B</v>
      </c>
    </row>
    <row r="210" spans="1:1" ht="15.75" hidden="1" customHeight="1" x14ac:dyDescent="0.25">
      <c r="A210" s="128">
        <f>DATA!F35</f>
        <v>0</v>
      </c>
    </row>
    <row r="211" spans="1:1" ht="15.75" hidden="1" customHeight="1" x14ac:dyDescent="0.25">
      <c r="A211" s="128">
        <f>DATA!G35</f>
        <v>0</v>
      </c>
    </row>
    <row r="212" spans="1:1" ht="15.75" hidden="1" customHeight="1" x14ac:dyDescent="0.25">
      <c r="A212" s="128" t="str">
        <f>DATA!H35</f>
        <v>VIII A</v>
      </c>
    </row>
    <row r="213" spans="1:1" ht="15.75" hidden="1" customHeight="1" x14ac:dyDescent="0.25">
      <c r="A213" s="128" t="str">
        <f>DATA!I35</f>
        <v>VIII B</v>
      </c>
    </row>
    <row r="214" spans="1:1" ht="15.75" hidden="1" customHeight="1" x14ac:dyDescent="0.25">
      <c r="A214" s="128">
        <f>DATA!J35</f>
        <v>0</v>
      </c>
    </row>
    <row r="215" spans="1:1" ht="15.75" hidden="1" customHeight="1" x14ac:dyDescent="0.25">
      <c r="A215" s="128">
        <f>DATA!K35</f>
        <v>0</v>
      </c>
    </row>
    <row r="216" spans="1:1" ht="15.75" hidden="1" customHeight="1" x14ac:dyDescent="0.25">
      <c r="A216" s="128">
        <f>DATA!L35</f>
        <v>0</v>
      </c>
    </row>
    <row r="217" spans="1:1" ht="15.75" hidden="1" customHeight="1" x14ac:dyDescent="0.25">
      <c r="A217" s="128" t="str">
        <f>DATA!M35</f>
        <v>IX A</v>
      </c>
    </row>
    <row r="218" spans="1:1" ht="15.75" hidden="1" customHeight="1" x14ac:dyDescent="0.25">
      <c r="A218" s="128" t="str">
        <f>DATA!N35</f>
        <v>IX B</v>
      </c>
    </row>
    <row r="219" spans="1:1" ht="15.75" hidden="1" customHeight="1" x14ac:dyDescent="0.25">
      <c r="A219" s="128" t="str">
        <f>DATA!O35</f>
        <v>IX C</v>
      </c>
    </row>
    <row r="220" spans="1:1" ht="15.75" hidden="1" customHeight="1" x14ac:dyDescent="0.25">
      <c r="A220" s="128">
        <f>DATA!P35</f>
        <v>0</v>
      </c>
    </row>
    <row r="221" spans="1:1" ht="15.75" hidden="1" customHeight="1" x14ac:dyDescent="0.25">
      <c r="A221" s="128">
        <f>DATA!Q35</f>
        <v>0</v>
      </c>
    </row>
    <row r="222" spans="1:1" ht="15.75" hidden="1" customHeight="1" x14ac:dyDescent="0.25">
      <c r="A222" s="145" t="str">
        <f>DATA!J40</f>
        <v>OP</v>
      </c>
    </row>
    <row r="223" spans="1:1" ht="15.75" hidden="1" customHeight="1" x14ac:dyDescent="0.25">
      <c r="A223" s="145" t="str">
        <f>DATA!K40</f>
        <v>AH</v>
      </c>
    </row>
    <row r="224" spans="1:1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  <row r="1001" ht="15.75" hidden="1" customHeight="1" x14ac:dyDescent="0.25"/>
    <row r="1002" ht="15.75" hidden="1" customHeight="1" x14ac:dyDescent="0.25"/>
    <row r="1003" ht="15.75" hidden="1" customHeight="1" x14ac:dyDescent="0.25"/>
    <row r="1004" ht="15.75" hidden="1" customHeight="1" x14ac:dyDescent="0.25"/>
    <row r="1005" ht="15.75" hidden="1" customHeight="1" x14ac:dyDescent="0.25"/>
    <row r="1006" ht="15.75" hidden="1" customHeight="1" x14ac:dyDescent="0.25"/>
    <row r="1007" ht="15.75" hidden="1" customHeight="1" x14ac:dyDescent="0.25"/>
    <row r="1008" ht="15.75" hidden="1" customHeight="1" x14ac:dyDescent="0.25"/>
    <row r="1009" ht="15.75" hidden="1" customHeight="1" x14ac:dyDescent="0.25"/>
    <row r="1010" ht="15.75" hidden="1" customHeight="1" x14ac:dyDescent="0.25"/>
    <row r="1011" ht="15.75" hidden="1" customHeight="1" x14ac:dyDescent="0.25"/>
    <row r="1012" ht="15.75" hidden="1" customHeight="1" x14ac:dyDescent="0.25"/>
    <row r="1013" ht="15.75" hidden="1" customHeight="1" x14ac:dyDescent="0.25"/>
    <row r="1014" ht="15.75" hidden="1" customHeight="1" x14ac:dyDescent="0.25"/>
    <row r="1015" ht="15.75" hidden="1" customHeight="1" x14ac:dyDescent="0.25"/>
    <row r="1016" ht="15.75" hidden="1" customHeight="1" x14ac:dyDescent="0.25"/>
    <row r="1017" ht="15.75" hidden="1" customHeight="1" x14ac:dyDescent="0.25"/>
    <row r="1018" ht="15.75" hidden="1" customHeight="1" x14ac:dyDescent="0.25"/>
    <row r="1019" ht="15.75" hidden="1" customHeight="1" x14ac:dyDescent="0.25"/>
    <row r="1020" ht="15.75" hidden="1" customHeight="1" x14ac:dyDescent="0.25"/>
    <row r="1021" ht="15.75" hidden="1" customHeight="1" x14ac:dyDescent="0.25"/>
    <row r="1022" ht="15.75" hidden="1" customHeight="1" x14ac:dyDescent="0.25"/>
    <row r="1023" ht="15.75" hidden="1" customHeight="1" x14ac:dyDescent="0.25"/>
    <row r="1024" ht="15.75" hidden="1" customHeight="1" x14ac:dyDescent="0.25"/>
    <row r="1025" ht="15.75" hidden="1" customHeight="1" x14ac:dyDescent="0.25"/>
    <row r="1026" ht="15.75" hidden="1" customHeight="1" x14ac:dyDescent="0.25"/>
    <row r="1027" ht="15.75" hidden="1" customHeight="1" x14ac:dyDescent="0.25"/>
    <row r="1028" ht="15.75" hidden="1" customHeight="1" x14ac:dyDescent="0.25"/>
    <row r="1029" ht="15.75" hidden="1" customHeight="1" x14ac:dyDescent="0.25"/>
    <row r="1030" ht="15.75" hidden="1" customHeight="1" x14ac:dyDescent="0.25"/>
    <row r="1031" ht="15.75" hidden="1" customHeight="1" x14ac:dyDescent="0.25"/>
    <row r="1032" ht="15.75" hidden="1" customHeight="1" x14ac:dyDescent="0.25"/>
    <row r="1033" ht="15.75" hidden="1" customHeight="1" x14ac:dyDescent="0.25"/>
    <row r="1034" ht="15.75" hidden="1" customHeight="1" x14ac:dyDescent="0.25"/>
    <row r="1035" ht="15.75" hidden="1" customHeight="1" x14ac:dyDescent="0.25"/>
    <row r="1036" ht="15.75" hidden="1" customHeight="1" x14ac:dyDescent="0.25"/>
    <row r="1037" ht="15.75" hidden="1" customHeight="1" x14ac:dyDescent="0.25"/>
    <row r="1038" ht="15.75" hidden="1" customHeight="1" x14ac:dyDescent="0.25"/>
    <row r="1039" ht="15.75" hidden="1" customHeight="1" x14ac:dyDescent="0.25"/>
    <row r="1040" ht="15.75" hidden="1" customHeight="1" x14ac:dyDescent="0.25"/>
    <row r="1041" ht="15.75" hidden="1" customHeight="1" x14ac:dyDescent="0.25"/>
    <row r="1042" ht="15.75" hidden="1" customHeight="1" x14ac:dyDescent="0.25"/>
    <row r="1043" ht="15.75" hidden="1" customHeight="1" x14ac:dyDescent="0.25"/>
    <row r="1044" ht="15.75" hidden="1" customHeight="1" x14ac:dyDescent="0.25"/>
    <row r="1045" ht="15.75" hidden="1" customHeight="1" x14ac:dyDescent="0.25"/>
    <row r="1046" ht="15.75" hidden="1" customHeight="1" x14ac:dyDescent="0.25"/>
    <row r="1047" ht="15.75" hidden="1" customHeight="1" x14ac:dyDescent="0.25"/>
    <row r="1048" ht="15.75" hidden="1" customHeight="1" x14ac:dyDescent="0.25"/>
    <row r="1049" ht="15.75" hidden="1" customHeight="1" x14ac:dyDescent="0.25"/>
    <row r="1050" ht="15.75" hidden="1" customHeight="1" x14ac:dyDescent="0.25"/>
    <row r="1051" ht="15.75" hidden="1" customHeight="1" x14ac:dyDescent="0.25"/>
    <row r="1052" ht="15.75" hidden="1" customHeight="1" x14ac:dyDescent="0.25"/>
    <row r="1053" ht="15.75" hidden="1" customHeight="1" x14ac:dyDescent="0.25"/>
    <row r="1054" ht="15.75" hidden="1" customHeight="1" x14ac:dyDescent="0.25"/>
    <row r="1055" ht="15.75" hidden="1" customHeight="1" x14ac:dyDescent="0.25"/>
    <row r="1056" ht="15.75" hidden="1" customHeight="1" x14ac:dyDescent="0.25"/>
    <row r="1057" ht="15.75" hidden="1" customHeight="1" x14ac:dyDescent="0.25"/>
    <row r="1058" ht="15.75" hidden="1" customHeight="1" x14ac:dyDescent="0.25"/>
    <row r="1059" ht="15.75" hidden="1" customHeight="1" x14ac:dyDescent="0.25"/>
    <row r="1060" ht="15.75" hidden="1" customHeight="1" x14ac:dyDescent="0.25"/>
    <row r="1061" ht="15.75" hidden="1" customHeight="1" x14ac:dyDescent="0.25"/>
    <row r="1062" ht="15.75" hidden="1" customHeight="1" x14ac:dyDescent="0.25"/>
    <row r="1063" ht="15.75" hidden="1" customHeight="1" x14ac:dyDescent="0.25"/>
    <row r="1064" ht="15.75" hidden="1" customHeight="1" x14ac:dyDescent="0.25"/>
    <row r="1065" ht="15.75" hidden="1" customHeight="1" x14ac:dyDescent="0.25"/>
    <row r="1066" ht="15.75" hidden="1" customHeight="1" x14ac:dyDescent="0.25"/>
    <row r="1067" ht="15.75" hidden="1" customHeight="1" x14ac:dyDescent="0.25"/>
    <row r="1068" ht="15.75" hidden="1" customHeight="1" x14ac:dyDescent="0.25"/>
    <row r="1069" ht="15.75" hidden="1" customHeight="1" x14ac:dyDescent="0.25"/>
    <row r="1070" ht="15.75" hidden="1" customHeight="1" x14ac:dyDescent="0.25"/>
    <row r="1071" ht="15.75" hidden="1" customHeight="1" x14ac:dyDescent="0.25"/>
    <row r="1072" ht="15.75" hidden="1" customHeight="1" x14ac:dyDescent="0.25"/>
    <row r="1073" ht="15.75" hidden="1" customHeight="1" x14ac:dyDescent="0.25"/>
    <row r="1074" ht="15.75" hidden="1" customHeight="1" x14ac:dyDescent="0.25"/>
    <row r="1075" ht="15.75" hidden="1" customHeight="1" x14ac:dyDescent="0.25"/>
    <row r="1076" ht="15.75" hidden="1" customHeight="1" x14ac:dyDescent="0.25"/>
    <row r="1077" ht="15.75" hidden="1" customHeight="1" x14ac:dyDescent="0.25"/>
    <row r="1078" ht="15.75" hidden="1" customHeight="1" x14ac:dyDescent="0.25"/>
    <row r="1079" ht="15.75" hidden="1" customHeight="1" x14ac:dyDescent="0.25"/>
    <row r="1080" ht="15.75" hidden="1" customHeight="1" x14ac:dyDescent="0.25"/>
    <row r="1081" ht="15.75" hidden="1" customHeight="1" x14ac:dyDescent="0.25"/>
    <row r="1082" ht="15.75" hidden="1" customHeight="1" x14ac:dyDescent="0.25"/>
    <row r="1083" ht="15.75" hidden="1" customHeight="1" x14ac:dyDescent="0.25"/>
    <row r="1084" ht="15.75" hidden="1" customHeight="1" x14ac:dyDescent="0.25"/>
    <row r="1085" ht="15.75" hidden="1" customHeight="1" x14ac:dyDescent="0.25"/>
    <row r="1086" ht="15.75" hidden="1" customHeight="1" x14ac:dyDescent="0.25"/>
    <row r="1087" ht="15.75" hidden="1" customHeight="1" x14ac:dyDescent="0.25"/>
    <row r="1088" ht="15.75" hidden="1" customHeight="1" x14ac:dyDescent="0.25"/>
    <row r="1089" ht="15.75" hidden="1" customHeight="1" x14ac:dyDescent="0.25"/>
    <row r="1090" ht="15.75" hidden="1" customHeight="1" x14ac:dyDescent="0.25"/>
    <row r="1091" ht="15.75" hidden="1" customHeight="1" x14ac:dyDescent="0.25"/>
    <row r="1092" ht="15.75" hidden="1" customHeight="1" x14ac:dyDescent="0.25"/>
    <row r="1093" ht="15.75" hidden="1" customHeight="1" x14ac:dyDescent="0.25"/>
    <row r="1094" ht="15.75" hidden="1" customHeight="1" x14ac:dyDescent="0.25"/>
    <row r="1095" ht="15.75" hidden="1" customHeight="1" x14ac:dyDescent="0.25"/>
    <row r="1096" ht="15.75" hidden="1" customHeight="1" x14ac:dyDescent="0.25"/>
    <row r="1097" ht="15.75" hidden="1" customHeight="1" x14ac:dyDescent="0.25"/>
    <row r="1098" ht="15.75" hidden="1" customHeight="1" x14ac:dyDescent="0.25"/>
    <row r="1099" ht="15.75" hidden="1" customHeight="1" x14ac:dyDescent="0.25"/>
    <row r="1100" ht="15.75" hidden="1" customHeight="1" x14ac:dyDescent="0.25"/>
    <row r="1101" ht="15.75" hidden="1" customHeight="1" x14ac:dyDescent="0.25"/>
    <row r="1102" ht="15.75" hidden="1" customHeight="1" x14ac:dyDescent="0.25"/>
    <row r="1103" ht="15.75" hidden="1" customHeight="1" x14ac:dyDescent="0.25"/>
    <row r="1104" ht="15.75" hidden="1" customHeight="1" x14ac:dyDescent="0.25"/>
    <row r="1105" ht="15.75" hidden="1" customHeight="1" x14ac:dyDescent="0.25"/>
    <row r="1106" ht="15.75" hidden="1" customHeight="1" x14ac:dyDescent="0.25"/>
    <row r="1107" ht="15.75" hidden="1" customHeight="1" x14ac:dyDescent="0.25"/>
    <row r="1108" ht="15.75" hidden="1" customHeight="1" x14ac:dyDescent="0.25"/>
    <row r="1109" ht="15.75" hidden="1" customHeight="1" x14ac:dyDescent="0.25"/>
    <row r="1110" ht="15.75" hidden="1" customHeight="1" x14ac:dyDescent="0.25"/>
    <row r="1111" ht="15.75" hidden="1" customHeight="1" x14ac:dyDescent="0.25"/>
    <row r="1112" ht="15.75" hidden="1" customHeight="1" x14ac:dyDescent="0.25"/>
    <row r="1113" ht="15.75" hidden="1" customHeight="1" x14ac:dyDescent="0.25"/>
    <row r="1114" ht="15.75" hidden="1" customHeight="1" x14ac:dyDescent="0.25"/>
    <row r="1115" ht="15.75" hidden="1" customHeight="1" x14ac:dyDescent="0.25"/>
    <row r="1116" ht="15.75" hidden="1" customHeight="1" x14ac:dyDescent="0.25"/>
    <row r="1117" ht="15.75" hidden="1" customHeight="1" x14ac:dyDescent="0.25"/>
    <row r="1118" ht="15.75" hidden="1" customHeight="1" x14ac:dyDescent="0.25"/>
    <row r="1119" ht="15.75" hidden="1" customHeight="1" x14ac:dyDescent="0.25"/>
    <row r="1120" ht="15.75" hidden="1" customHeight="1" x14ac:dyDescent="0.25"/>
    <row r="1121" ht="15.75" hidden="1" customHeight="1" x14ac:dyDescent="0.25"/>
    <row r="1122" ht="15.75" hidden="1" customHeight="1" x14ac:dyDescent="0.25"/>
    <row r="1123" ht="15.75" hidden="1" customHeight="1" x14ac:dyDescent="0.25"/>
    <row r="1124" ht="15.75" hidden="1" customHeight="1" x14ac:dyDescent="0.25"/>
    <row r="1125" ht="15.75" hidden="1" customHeight="1" x14ac:dyDescent="0.25"/>
    <row r="1126" ht="15.75" hidden="1" customHeight="1" x14ac:dyDescent="0.25"/>
    <row r="1127" ht="15.75" hidden="1" customHeight="1" x14ac:dyDescent="0.25"/>
    <row r="1128" ht="15.75" hidden="1" customHeight="1" x14ac:dyDescent="0.25"/>
    <row r="1129" ht="15.75" hidden="1" customHeight="1" x14ac:dyDescent="0.25"/>
    <row r="1130" ht="15.75" hidden="1" customHeight="1" x14ac:dyDescent="0.25"/>
    <row r="1131" ht="15.75" hidden="1" customHeight="1" x14ac:dyDescent="0.25"/>
    <row r="1132" ht="15.75" hidden="1" customHeight="1" x14ac:dyDescent="0.25"/>
    <row r="1133" ht="15.75" hidden="1" customHeight="1" x14ac:dyDescent="0.25"/>
    <row r="1134" ht="15.75" hidden="1" customHeight="1" x14ac:dyDescent="0.25"/>
    <row r="1135" ht="15.75" hidden="1" customHeight="1" x14ac:dyDescent="0.25"/>
    <row r="1136" ht="15.75" hidden="1" customHeight="1" x14ac:dyDescent="0.25"/>
    <row r="1137" ht="15.75" hidden="1" customHeight="1" x14ac:dyDescent="0.25"/>
    <row r="1138" ht="15.75" hidden="1" customHeight="1" x14ac:dyDescent="0.25"/>
    <row r="1139" ht="15.75" hidden="1" customHeight="1" x14ac:dyDescent="0.25"/>
    <row r="1140" ht="15.75" hidden="1" customHeight="1" x14ac:dyDescent="0.25"/>
    <row r="1141" ht="15.75" hidden="1" customHeight="1" x14ac:dyDescent="0.25"/>
    <row r="1142" ht="15.75" hidden="1" customHeight="1" x14ac:dyDescent="0.25"/>
    <row r="1143" ht="15.75" hidden="1" customHeight="1" x14ac:dyDescent="0.25"/>
    <row r="1144" ht="15.75" hidden="1" customHeight="1" x14ac:dyDescent="0.25"/>
    <row r="1145" ht="15.75" hidden="1" customHeight="1" x14ac:dyDescent="0.25"/>
    <row r="1146" ht="15.75" hidden="1" customHeight="1" x14ac:dyDescent="0.25"/>
    <row r="1147" ht="15.75" hidden="1" customHeight="1" x14ac:dyDescent="0.25"/>
    <row r="1148" ht="15.75" hidden="1" customHeight="1" x14ac:dyDescent="0.25"/>
    <row r="1149" ht="15.75" hidden="1" customHeight="1" x14ac:dyDescent="0.25"/>
    <row r="1150" ht="15.75" hidden="1" customHeight="1" x14ac:dyDescent="0.25"/>
    <row r="1151" ht="15.75" hidden="1" customHeight="1" x14ac:dyDescent="0.25"/>
    <row r="1152" ht="15.75" hidden="1" customHeight="1" x14ac:dyDescent="0.25"/>
    <row r="1153" ht="15.75" hidden="1" customHeight="1" x14ac:dyDescent="0.25"/>
    <row r="1154" ht="15.75" hidden="1" customHeight="1" x14ac:dyDescent="0.25"/>
    <row r="1155" ht="15.75" hidden="1" customHeight="1" x14ac:dyDescent="0.25"/>
    <row r="1156" ht="15.75" hidden="1" customHeight="1" x14ac:dyDescent="0.25"/>
    <row r="1157" ht="15.75" hidden="1" customHeight="1" x14ac:dyDescent="0.25"/>
    <row r="1158" ht="15.75" hidden="1" customHeight="1" x14ac:dyDescent="0.25"/>
    <row r="1159" ht="15.75" hidden="1" customHeight="1" x14ac:dyDescent="0.25"/>
    <row r="1160" ht="15.75" hidden="1" customHeight="1" x14ac:dyDescent="0.25"/>
    <row r="1161" ht="15.75" hidden="1" customHeight="1" x14ac:dyDescent="0.25"/>
    <row r="1162" ht="15.75" hidden="1" customHeight="1" x14ac:dyDescent="0.25"/>
    <row r="1163" ht="15.75" hidden="1" customHeight="1" x14ac:dyDescent="0.25"/>
    <row r="1164" ht="15.75" hidden="1" customHeight="1" x14ac:dyDescent="0.25"/>
    <row r="1165" ht="15.75" hidden="1" customHeight="1" x14ac:dyDescent="0.25"/>
    <row r="1166" ht="15.75" hidden="1" customHeight="1" x14ac:dyDescent="0.25"/>
    <row r="1167" ht="15.75" hidden="1" customHeight="1" x14ac:dyDescent="0.25"/>
    <row r="1168" ht="15.75" hidden="1" customHeight="1" x14ac:dyDescent="0.25"/>
    <row r="1169" ht="15.75" hidden="1" customHeight="1" x14ac:dyDescent="0.25"/>
    <row r="1170" ht="15.75" hidden="1" customHeight="1" x14ac:dyDescent="0.25"/>
    <row r="1171" ht="15.75" hidden="1" customHeight="1" x14ac:dyDescent="0.25"/>
    <row r="1172" ht="15.75" hidden="1" customHeight="1" x14ac:dyDescent="0.25"/>
    <row r="1173" ht="15.75" hidden="1" customHeight="1" x14ac:dyDescent="0.25"/>
    <row r="1174" ht="15.75" hidden="1" customHeight="1" x14ac:dyDescent="0.25"/>
    <row r="1175" ht="15.75" hidden="1" customHeight="1" x14ac:dyDescent="0.25"/>
    <row r="1176" ht="15.75" hidden="1" customHeight="1" x14ac:dyDescent="0.25"/>
    <row r="1177" ht="15.75" hidden="1" customHeight="1" x14ac:dyDescent="0.25"/>
    <row r="1178" ht="15.75" hidden="1" customHeight="1" x14ac:dyDescent="0.25"/>
    <row r="1179" ht="15.75" hidden="1" customHeight="1" x14ac:dyDescent="0.25"/>
    <row r="1180" ht="15.75" hidden="1" customHeight="1" x14ac:dyDescent="0.25"/>
    <row r="1181" ht="15.75" hidden="1" customHeight="1" x14ac:dyDescent="0.25"/>
    <row r="1182" ht="15.75" hidden="1" customHeight="1" x14ac:dyDescent="0.25"/>
    <row r="1183" ht="15.75" hidden="1" customHeight="1" x14ac:dyDescent="0.25"/>
    <row r="1184" ht="15.75" hidden="1" customHeight="1" x14ac:dyDescent="0.25"/>
    <row r="1185" ht="15.75" hidden="1" customHeight="1" x14ac:dyDescent="0.25"/>
    <row r="1186" ht="15.75" hidden="1" customHeight="1" x14ac:dyDescent="0.25"/>
    <row r="1187" ht="15.75" hidden="1" customHeight="1" x14ac:dyDescent="0.25"/>
    <row r="1188" ht="15.75" hidden="1" customHeight="1" x14ac:dyDescent="0.25"/>
    <row r="1189" ht="15.75" hidden="1" customHeight="1" x14ac:dyDescent="0.25"/>
    <row r="1190" ht="15.75" hidden="1" customHeight="1" x14ac:dyDescent="0.25"/>
    <row r="1191" ht="15.75" hidden="1" customHeight="1" x14ac:dyDescent="0.25"/>
    <row r="1192" ht="15.75" hidden="1" customHeight="1" x14ac:dyDescent="0.25"/>
    <row r="1193" ht="15.75" hidden="1" customHeight="1" x14ac:dyDescent="0.25"/>
    <row r="1194" ht="15.75" hidden="1" customHeight="1" x14ac:dyDescent="0.25"/>
    <row r="1195" ht="15.75" hidden="1" customHeight="1" x14ac:dyDescent="0.25"/>
    <row r="1196" ht="15.75" hidden="1" customHeight="1" x14ac:dyDescent="0.25"/>
    <row r="1197" ht="15.75" hidden="1" customHeight="1" x14ac:dyDescent="0.25"/>
    <row r="1198" ht="15.75" hidden="1" customHeight="1" x14ac:dyDescent="0.25"/>
    <row r="1199" ht="15.75" hidden="1" customHeight="1" x14ac:dyDescent="0.25"/>
    <row r="1200" ht="15.75" hidden="1" customHeight="1" x14ac:dyDescent="0.25"/>
    <row r="1201" ht="15.75" hidden="1" customHeight="1" x14ac:dyDescent="0.25"/>
    <row r="1202" ht="15.75" hidden="1" customHeight="1" x14ac:dyDescent="0.25"/>
    <row r="1203" ht="15.75" hidden="1" customHeight="1" x14ac:dyDescent="0.25"/>
  </sheetData>
  <sheetProtection formatRows="0" autoFilter="0"/>
  <mergeCells count="29">
    <mergeCell ref="H19:H20"/>
    <mergeCell ref="C20:D20"/>
    <mergeCell ref="I19:I20"/>
    <mergeCell ref="A1:O1"/>
    <mergeCell ref="A2:O2"/>
    <mergeCell ref="A3:O3"/>
    <mergeCell ref="A4:O4"/>
    <mergeCell ref="A5:O5"/>
    <mergeCell ref="I11:J11"/>
    <mergeCell ref="I13:J13"/>
    <mergeCell ref="I14:J14"/>
    <mergeCell ref="I15:J15"/>
    <mergeCell ref="I12:J12"/>
    <mergeCell ref="K195:O195"/>
    <mergeCell ref="K196:O196"/>
    <mergeCell ref="B199:D199"/>
    <mergeCell ref="G199:I199"/>
    <mergeCell ref="A8:O8"/>
    <mergeCell ref="E10:H10"/>
    <mergeCell ref="A9:O9"/>
    <mergeCell ref="J19:J20"/>
    <mergeCell ref="K19:K20"/>
    <mergeCell ref="L19:N19"/>
    <mergeCell ref="O19:O20"/>
    <mergeCell ref="A19:A20"/>
    <mergeCell ref="B19:D19"/>
    <mergeCell ref="E19:E20"/>
    <mergeCell ref="F19:F20"/>
    <mergeCell ref="G19:G20"/>
  </mergeCells>
  <phoneticPr fontId="32" type="noConversion"/>
  <dataValidations xWindow="69" yWindow="547" count="4">
    <dataValidation allowBlank="1" showInputMessage="1" showErrorMessage="1" promptTitle="4. Isi nama MAPEL." sqref="G21:G35 H50:H53 G40:G188" xr:uid="{00000000-0002-0000-0400-000000000000}"/>
    <dataValidation allowBlank="1" showInputMessage="1" showErrorMessage="1" promptTitle="5. Isi nomor KI/KD" sqref="H54:H61 H21:H49 H84 H87:H96 H63:H82 H129:H188 H98 H126 H101:H124" xr:uid="{00000000-0002-0000-0400-000001000000}"/>
    <dataValidation allowBlank="1" showErrorMessage="1" promptTitle="Tidak perlu diisi" prompt="Terisi otomatis saat Anda mengisi tanggal." sqref="A19" xr:uid="{00000000-0002-0000-0400-000002000000}"/>
    <dataValidation type="decimal" allowBlank="1" showErrorMessage="1" sqref="C21:C188" xr:uid="{00000000-0002-0000-0400-000003000000}">
      <formula1>1</formula1>
      <formula2>31</formula2>
    </dataValidation>
  </dataValidations>
  <pageMargins left="0.31496062992125984" right="0.31496062992125984" top="0.39370078740157483" bottom="0.39370078740157483" header="0.23622047244094491" footer="0.11811023622047245"/>
  <pageSetup paperSize="9" scale="88" fitToHeight="0" orientation="landscape" horizontalDpi="4294967293" r:id="rId1"/>
  <headerFooter>
    <oddFooter xml:space="preserve">&amp;L&amp;8MTs.Al-Ihsan Tanah Grogot&amp;C&amp;8
JURNAL MENGAJAR DAN LAPORAN KINERJA HARIAN&amp;R&amp;8halaman &amp;P dari &amp;N 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xWindow="69" yWindow="547" count="1">
        <x14:dataValidation type="list" allowBlank="1" showErrorMessage="1" xr:uid="{A335FC60-FF74-4736-A464-83B77CFE2B6B}">
          <x14:formula1>
            <xm:f>DATA!$Y$30:$Y$43</xm:f>
          </x14:formula1>
          <xm:sqref>F21:F188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E3D1-611C-4565-A7AC-C61859DA04C8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77</v>
      </c>
      <c r="B1" t="s">
        <v>234</v>
      </c>
    </row>
    <row r="2" spans="1:2" x14ac:dyDescent="0.25">
      <c r="B2">
        <f>A2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DF1001"/>
  <sheetViews>
    <sheetView showRuler="0" view="pageLayout" topLeftCell="A15" zoomScale="115" zoomScalePageLayoutView="115" workbookViewId="0">
      <selection activeCell="C21" sqref="C21"/>
    </sheetView>
  </sheetViews>
  <sheetFormatPr defaultColWidth="0" defaultRowHeight="21.6" customHeight="1" zeroHeight="1" x14ac:dyDescent="0.2"/>
  <cols>
    <col min="1" max="1" width="16.140625" style="121" customWidth="1"/>
    <col min="2" max="2" width="8.7109375" style="121" customWidth="1"/>
    <col min="3" max="4" width="13.28515625" style="121" customWidth="1"/>
    <col min="5" max="7" width="8" style="121" customWidth="1"/>
    <col min="8" max="8" width="5.28515625" style="123" customWidth="1"/>
    <col min="9" max="9" width="6.7109375" style="121" customWidth="1"/>
    <col min="10" max="10" width="5.28515625" style="123" customWidth="1"/>
    <col min="11" max="11" width="6.7109375" style="121" customWidth="1"/>
    <col min="12" max="12" width="5.28515625" style="123" customWidth="1"/>
    <col min="13" max="13" width="6.7109375" style="121" customWidth="1"/>
    <col min="14" max="14" width="5.28515625" style="123" customWidth="1"/>
    <col min="15" max="15" width="6.7109375" style="121" customWidth="1"/>
    <col min="16" max="16" width="5.28515625" style="123" customWidth="1"/>
    <col min="17" max="17" width="6.7109375" style="121" customWidth="1"/>
    <col min="18" max="18" width="5.28515625" style="123" customWidth="1"/>
    <col min="19" max="19" width="6.7109375" style="121" customWidth="1"/>
    <col min="20" max="20" width="11.7109375" style="121" customWidth="1"/>
    <col min="21" max="21" width="12.85546875" style="181" hidden="1" customWidth="1"/>
    <col min="22" max="22" width="7.5703125" style="181" hidden="1" customWidth="1"/>
    <col min="23" max="23" width="2.42578125" style="182" hidden="1" customWidth="1"/>
    <col min="24" max="24" width="14.85546875" style="182" hidden="1" customWidth="1"/>
    <col min="25" max="25" width="2.42578125" style="124" hidden="1" customWidth="1"/>
    <col min="26" max="16384" width="9.140625" style="121" hidden="1"/>
  </cols>
  <sheetData>
    <row r="1" spans="1:110" s="3" customFormat="1" ht="20.25" x14ac:dyDescent="0.25">
      <c r="A1" s="345" t="s">
        <v>94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171" t="s">
        <v>123</v>
      </c>
      <c r="V1" s="171"/>
      <c r="W1" s="172"/>
      <c r="X1" s="172"/>
      <c r="Y1"/>
    </row>
    <row r="2" spans="1:110" s="3" customFormat="1" ht="20.25" x14ac:dyDescent="0.25">
      <c r="A2" s="347" t="s">
        <v>95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171" t="s">
        <v>123</v>
      </c>
      <c r="V2" s="171"/>
      <c r="W2" s="172"/>
      <c r="X2" s="172"/>
      <c r="Y2"/>
    </row>
    <row r="3" spans="1:110" s="3" customFormat="1" ht="15" x14ac:dyDescent="0.25">
      <c r="A3" s="349" t="s">
        <v>96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171" t="s">
        <v>123</v>
      </c>
      <c r="V3" s="171"/>
      <c r="W3" s="172"/>
      <c r="X3" s="172"/>
      <c r="Y3"/>
    </row>
    <row r="4" spans="1:110" s="3" customFormat="1" ht="12.2" customHeight="1" x14ac:dyDescent="0.25">
      <c r="A4" s="351" t="s">
        <v>97</v>
      </c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171" t="s">
        <v>123</v>
      </c>
      <c r="V4" s="171"/>
      <c r="W4" s="172"/>
      <c r="X4" s="172"/>
      <c r="Y4"/>
    </row>
    <row r="5" spans="1:110" s="3" customFormat="1" ht="13.7" customHeight="1" thickBot="1" x14ac:dyDescent="0.3">
      <c r="A5" s="353" t="s">
        <v>98</v>
      </c>
      <c r="B5" s="354"/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171" t="s">
        <v>123</v>
      </c>
      <c r="V5" s="171"/>
      <c r="W5" s="172"/>
      <c r="X5" s="172"/>
      <c r="Y5"/>
    </row>
    <row r="6" spans="1:110" s="3" customFormat="1" ht="1.5" customHeight="1" x14ac:dyDescent="0.25">
      <c r="A6" s="359"/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171" t="s">
        <v>123</v>
      </c>
      <c r="V6" s="171"/>
      <c r="W6" s="172"/>
      <c r="X6" s="172"/>
      <c r="Y6"/>
    </row>
    <row r="7" spans="1:110" s="3" customFormat="1" ht="6" customHeight="1" x14ac:dyDescent="0.25">
      <c r="A7" s="4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71" t="s">
        <v>123</v>
      </c>
      <c r="V7" s="171"/>
      <c r="W7" s="172"/>
      <c r="X7" s="172"/>
      <c r="Y7"/>
    </row>
    <row r="8" spans="1:110" s="34" customFormat="1" ht="15" customHeight="1" x14ac:dyDescent="0.25">
      <c r="A8" s="361" t="str">
        <f>"LAPORAN BULANAN"&amp;" "&amp;"TAHUN AJARAN : "&amp;DATA!E15</f>
        <v>LAPORAN BULANAN TAHUN AJARAN : 2026/2027</v>
      </c>
      <c r="B8" s="362"/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2"/>
      <c r="R8" s="362"/>
      <c r="S8" s="362"/>
      <c r="T8" s="362"/>
      <c r="U8" s="171" t="s">
        <v>123</v>
      </c>
      <c r="V8" s="173"/>
      <c r="W8" s="174"/>
      <c r="X8" s="174"/>
      <c r="Y8" s="116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</row>
    <row r="9" spans="1:110" s="35" customFormat="1" ht="22.5" customHeight="1" x14ac:dyDescent="0.25">
      <c r="A9" s="360" t="str">
        <f>JURNAL_LKH!A9</f>
        <v>BULAN : JULI 2026</v>
      </c>
      <c r="B9" s="360"/>
      <c r="C9" s="360"/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171" t="s">
        <v>123</v>
      </c>
      <c r="V9" s="173"/>
      <c r="W9" s="174"/>
      <c r="X9" s="174"/>
      <c r="Y9" s="116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</row>
    <row r="10" spans="1:110" s="3" customFormat="1" ht="15" customHeight="1" x14ac:dyDescent="0.25">
      <c r="A10" s="68" t="s">
        <v>0</v>
      </c>
      <c r="B10" s="69"/>
      <c r="C10" s="69"/>
      <c r="D10" s="358"/>
      <c r="E10" s="358"/>
      <c r="F10" s="358"/>
      <c r="G10" s="70"/>
      <c r="H10" s="71"/>
      <c r="I10" s="68" t="s">
        <v>16</v>
      </c>
      <c r="J10" s="72"/>
      <c r="K10" s="73"/>
      <c r="L10" s="71"/>
      <c r="M10" s="70"/>
      <c r="N10" s="71"/>
      <c r="O10" s="70"/>
      <c r="P10" s="71"/>
      <c r="Q10" s="70"/>
      <c r="R10" s="71"/>
      <c r="S10" s="70"/>
      <c r="T10" s="70"/>
      <c r="U10" s="171" t="s">
        <v>123</v>
      </c>
      <c r="V10" s="171"/>
      <c r="W10" s="172"/>
      <c r="X10" s="172"/>
      <c r="Y10"/>
    </row>
    <row r="11" spans="1:110" s="3" customFormat="1" ht="15" customHeight="1" x14ac:dyDescent="0.25">
      <c r="A11" s="70" t="str">
        <f>JURNAL_LKH!A11</f>
        <v>Nama Guru              : Nurlailatul Hasanah, S.Ag</v>
      </c>
      <c r="B11" s="70"/>
      <c r="C11" s="70"/>
      <c r="D11" s="70"/>
      <c r="E11" s="72"/>
      <c r="F11" s="72"/>
      <c r="G11" s="72"/>
      <c r="H11" s="71"/>
      <c r="I11" s="70" t="str">
        <f>JURNAL_LKH!I11</f>
        <v xml:space="preserve">  Nama Madrasah       : MTs. AL IHSAN TANAH GROGOT</v>
      </c>
      <c r="J11" s="72"/>
      <c r="K11" s="70"/>
      <c r="L11" s="70"/>
      <c r="M11" s="70"/>
      <c r="N11" s="70"/>
      <c r="O11" s="70"/>
      <c r="P11" s="74"/>
      <c r="Q11" s="74"/>
      <c r="R11" s="74"/>
      <c r="S11" s="74"/>
      <c r="T11" s="74"/>
      <c r="U11" s="171" t="s">
        <v>123</v>
      </c>
      <c r="V11" s="171"/>
      <c r="W11" s="172"/>
      <c r="X11" s="172"/>
      <c r="Y11"/>
    </row>
    <row r="12" spans="1:110" s="3" customFormat="1" ht="15" customHeight="1" x14ac:dyDescent="0.25">
      <c r="A12" s="70" t="str">
        <f>JURNAL_LKH!A12</f>
        <v>NIP                         : 197311272005012002</v>
      </c>
      <c r="B12" s="70"/>
      <c r="C12" s="70"/>
      <c r="D12" s="70"/>
      <c r="E12" s="72"/>
      <c r="F12" s="72"/>
      <c r="G12" s="72"/>
      <c r="H12" s="71"/>
      <c r="I12" s="70" t="str">
        <f>JURNAL_LKH!I12</f>
        <v xml:space="preserve">  Alamat Madrasah     : Jl. Cendrawasih RT. 04 Desa Senaken Tanah Grogot</v>
      </c>
      <c r="J12" s="72"/>
      <c r="K12" s="70"/>
      <c r="L12" s="70"/>
      <c r="M12" s="70"/>
      <c r="N12" s="70"/>
      <c r="O12" s="70"/>
      <c r="P12" s="74"/>
      <c r="Q12" s="74"/>
      <c r="R12" s="74"/>
      <c r="S12" s="74"/>
      <c r="T12" s="74"/>
      <c r="U12" s="171" t="s">
        <v>123</v>
      </c>
      <c r="V12" s="171"/>
      <c r="W12" s="172"/>
      <c r="X12" s="172"/>
      <c r="Y12"/>
    </row>
    <row r="13" spans="1:110" s="3" customFormat="1" ht="15" customHeight="1" x14ac:dyDescent="0.25">
      <c r="A13" s="70" t="str">
        <f>JURNAL_LKH!A13</f>
        <v>No Sertifikasi           : 2111423801163</v>
      </c>
      <c r="B13" s="70"/>
      <c r="C13" s="70"/>
      <c r="D13" s="70"/>
      <c r="E13" s="72"/>
      <c r="F13" s="72"/>
      <c r="G13" s="72"/>
      <c r="H13" s="71"/>
      <c r="I13" s="70" t="str">
        <f>JURNAL_LKH!I13</f>
        <v xml:space="preserve">  Jumlah Ruang Kelas : 6 (Enam)</v>
      </c>
      <c r="J13" s="72"/>
      <c r="K13" s="70"/>
      <c r="L13" s="70"/>
      <c r="M13" s="70"/>
      <c r="N13" s="70"/>
      <c r="O13" s="70"/>
      <c r="P13" s="74"/>
      <c r="Q13" s="74"/>
      <c r="R13" s="74"/>
      <c r="S13" s="74"/>
      <c r="T13" s="74"/>
      <c r="U13" s="171" t="s">
        <v>123</v>
      </c>
      <c r="V13" s="171"/>
      <c r="W13" s="172"/>
      <c r="X13" s="172"/>
      <c r="Y13"/>
    </row>
    <row r="14" spans="1:110" s="3" customFormat="1" ht="15" customHeight="1" x14ac:dyDescent="0.25">
      <c r="A14" s="70" t="str">
        <f>JURNAL_LKH!A14</f>
        <v>Pangkat/Gol Ruang  : Guru madya pembina tingkat I, golongan IV/b</v>
      </c>
      <c r="B14" s="70"/>
      <c r="C14" s="70"/>
      <c r="D14" s="70"/>
      <c r="E14" s="72"/>
      <c r="F14" s="72"/>
      <c r="G14" s="72"/>
      <c r="H14" s="71"/>
      <c r="I14" s="70" t="str">
        <f>JURNAL_LKH!I14</f>
        <v xml:space="preserve">  Status Madrasah       : Terakreditasi A</v>
      </c>
      <c r="J14" s="72"/>
      <c r="K14" s="70"/>
      <c r="L14" s="70"/>
      <c r="M14" s="70"/>
      <c r="N14" s="70"/>
      <c r="O14" s="70"/>
      <c r="P14" s="74"/>
      <c r="Q14" s="74"/>
      <c r="R14" s="74"/>
      <c r="S14" s="74"/>
      <c r="T14" s="74"/>
      <c r="U14" s="171" t="s">
        <v>123</v>
      </c>
      <c r="V14" s="171"/>
      <c r="W14" s="172"/>
      <c r="X14" s="172"/>
      <c r="Y14"/>
    </row>
    <row r="15" spans="1:110" s="3" customFormat="1" ht="15" customHeight="1" x14ac:dyDescent="0.25">
      <c r="A15" s="70" t="str">
        <f>JURNAL_LKH!A15</f>
        <v>Pendidikan               : S.1 Tarbiyah</v>
      </c>
      <c r="B15" s="70"/>
      <c r="C15" s="70"/>
      <c r="D15" s="70"/>
      <c r="E15" s="72"/>
      <c r="F15" s="72"/>
      <c r="G15" s="72"/>
      <c r="H15" s="71"/>
      <c r="I15" s="70" t="str">
        <f>JURNAL_LKH!I15</f>
        <v xml:space="preserve">  Internet                     : Ada</v>
      </c>
      <c r="J15" s="72"/>
      <c r="K15" s="70"/>
      <c r="L15" s="70"/>
      <c r="M15" s="70"/>
      <c r="N15" s="70"/>
      <c r="O15" s="70"/>
      <c r="P15" s="74"/>
      <c r="Q15" s="74"/>
      <c r="R15" s="74"/>
      <c r="S15" s="74"/>
      <c r="T15" s="74"/>
      <c r="U15" s="171" t="s">
        <v>123</v>
      </c>
      <c r="V15" s="171"/>
      <c r="W15" s="172"/>
      <c r="X15" s="172"/>
      <c r="Y15"/>
    </row>
    <row r="16" spans="1:110" s="3" customFormat="1" ht="22.5" customHeight="1" x14ac:dyDescent="0.25">
      <c r="A16" s="70" t="str">
        <f>JURNAL_LKH!A16</f>
        <v>Status Guru              : Sejarah Kebudayaan Islam (SKI) dan Akidah Akhlak</v>
      </c>
      <c r="B16" s="70"/>
      <c r="C16" s="70"/>
      <c r="D16" s="70"/>
      <c r="E16" s="72"/>
      <c r="F16" s="72"/>
      <c r="G16" s="72"/>
      <c r="H16" s="71"/>
      <c r="I16" s="70"/>
      <c r="J16" s="75"/>
      <c r="K16" s="70"/>
      <c r="L16" s="71"/>
      <c r="M16" s="70"/>
      <c r="N16" s="71"/>
      <c r="O16" s="70"/>
      <c r="P16" s="71"/>
      <c r="Q16" s="70"/>
      <c r="R16" s="71"/>
      <c r="S16" s="70"/>
      <c r="T16" s="70"/>
      <c r="U16" s="171" t="s">
        <v>123</v>
      </c>
      <c r="V16" s="171"/>
      <c r="W16" s="172"/>
      <c r="X16" s="172"/>
      <c r="Y16"/>
    </row>
    <row r="17" spans="1:27" s="32" customFormat="1" ht="15" customHeight="1" thickBot="1" x14ac:dyDescent="0.3">
      <c r="A17" s="78" t="s">
        <v>7</v>
      </c>
      <c r="B17" s="76"/>
      <c r="C17" s="76"/>
      <c r="D17" s="76"/>
      <c r="E17" s="76"/>
      <c r="F17" s="76"/>
      <c r="G17" s="76"/>
      <c r="H17" s="77"/>
      <c r="I17" s="76"/>
      <c r="J17" s="77"/>
      <c r="K17" s="76"/>
      <c r="L17" s="77"/>
      <c r="M17" s="76"/>
      <c r="N17" s="77"/>
      <c r="O17" s="76"/>
      <c r="P17" s="77"/>
      <c r="Q17" s="76"/>
      <c r="R17" s="77"/>
      <c r="S17" s="76"/>
      <c r="T17" s="76"/>
      <c r="U17" s="175" t="s">
        <v>123</v>
      </c>
      <c r="V17" s="175"/>
      <c r="W17" s="176"/>
      <c r="X17" s="176"/>
      <c r="Y17" s="117"/>
    </row>
    <row r="18" spans="1:27" s="3" customFormat="1" ht="15" customHeight="1" x14ac:dyDescent="0.25">
      <c r="A18" s="363" t="s">
        <v>8</v>
      </c>
      <c r="B18" s="364"/>
      <c r="C18" s="365"/>
      <c r="D18" s="369" t="s">
        <v>11</v>
      </c>
      <c r="E18" s="370"/>
      <c r="F18" s="370"/>
      <c r="G18" s="371"/>
      <c r="H18" s="375" t="s">
        <v>15</v>
      </c>
      <c r="I18" s="375"/>
      <c r="J18" s="375"/>
      <c r="K18" s="375"/>
      <c r="L18" s="375"/>
      <c r="M18" s="375"/>
      <c r="N18" s="376" t="s">
        <v>60</v>
      </c>
      <c r="O18" s="376"/>
      <c r="P18" s="376"/>
      <c r="Q18" s="376"/>
      <c r="R18" s="376"/>
      <c r="S18" s="376"/>
      <c r="T18" s="377" t="s">
        <v>22</v>
      </c>
      <c r="U18" s="171" t="s">
        <v>123</v>
      </c>
      <c r="V18" s="177"/>
      <c r="W18" s="172"/>
      <c r="X18" s="172"/>
      <c r="Y18"/>
    </row>
    <row r="19" spans="1:27" s="3" customFormat="1" ht="15" customHeight="1" x14ac:dyDescent="0.25">
      <c r="A19" s="366"/>
      <c r="B19" s="367"/>
      <c r="C19" s="368"/>
      <c r="D19" s="372"/>
      <c r="E19" s="373"/>
      <c r="F19" s="373"/>
      <c r="G19" s="374"/>
      <c r="H19" s="355" t="s">
        <v>49</v>
      </c>
      <c r="I19" s="355"/>
      <c r="J19" s="355" t="s">
        <v>51</v>
      </c>
      <c r="K19" s="355"/>
      <c r="L19" s="355" t="s">
        <v>52</v>
      </c>
      <c r="M19" s="355"/>
      <c r="N19" s="355" t="s">
        <v>49</v>
      </c>
      <c r="O19" s="355"/>
      <c r="P19" s="355" t="s">
        <v>51</v>
      </c>
      <c r="Q19" s="355"/>
      <c r="R19" s="355" t="s">
        <v>52</v>
      </c>
      <c r="S19" s="355"/>
      <c r="T19" s="378"/>
      <c r="U19" s="171" t="s">
        <v>123</v>
      </c>
      <c r="V19" s="177"/>
      <c r="W19" s="172"/>
      <c r="X19" s="172"/>
      <c r="Y19"/>
    </row>
    <row r="20" spans="1:27" s="3" customFormat="1" ht="11.25" customHeight="1" thickBot="1" x14ac:dyDescent="0.3">
      <c r="A20" s="64" t="s">
        <v>9</v>
      </c>
      <c r="B20" s="67" t="s">
        <v>127</v>
      </c>
      <c r="C20" s="65" t="s">
        <v>10</v>
      </c>
      <c r="D20" s="66" t="s">
        <v>14</v>
      </c>
      <c r="E20" s="66" t="s">
        <v>12</v>
      </c>
      <c r="F20" s="66" t="s">
        <v>13</v>
      </c>
      <c r="G20" s="66" t="s">
        <v>47</v>
      </c>
      <c r="H20" s="66" t="s">
        <v>59</v>
      </c>
      <c r="I20" s="66" t="s">
        <v>50</v>
      </c>
      <c r="J20" s="66" t="s">
        <v>59</v>
      </c>
      <c r="K20" s="66" t="s">
        <v>50</v>
      </c>
      <c r="L20" s="66" t="s">
        <v>59</v>
      </c>
      <c r="M20" s="66" t="s">
        <v>50</v>
      </c>
      <c r="N20" s="66" t="s">
        <v>59</v>
      </c>
      <c r="O20" s="66" t="s">
        <v>50</v>
      </c>
      <c r="P20" s="66" t="s">
        <v>59</v>
      </c>
      <c r="Q20" s="66" t="s">
        <v>50</v>
      </c>
      <c r="R20" s="66" t="s">
        <v>59</v>
      </c>
      <c r="S20" s="66" t="s">
        <v>50</v>
      </c>
      <c r="T20" s="379"/>
      <c r="U20" s="171" t="s">
        <v>123</v>
      </c>
      <c r="V20" s="177" t="s">
        <v>54</v>
      </c>
      <c r="W20" s="172"/>
      <c r="X20" s="172"/>
      <c r="Y20"/>
    </row>
    <row r="21" spans="1:27" s="32" customFormat="1" ht="15" customHeight="1" thickTop="1" x14ac:dyDescent="0.25">
      <c r="A21" s="357" t="s">
        <v>26</v>
      </c>
      <c r="B21" s="109">
        <v>2</v>
      </c>
      <c r="C21" s="110" t="s">
        <v>162</v>
      </c>
      <c r="D21" s="111" t="s">
        <v>32</v>
      </c>
      <c r="E21" s="80">
        <f t="shared" ref="E21:E43" si="0">VLOOKUP(D21,$E$67:$G$82,2,FALSE)</f>
        <v>24</v>
      </c>
      <c r="F21" s="80">
        <f t="shared" ref="F21:F43" si="1">VLOOKUP(D21,$E$67:$G$82,3,FALSE)</f>
        <v>0</v>
      </c>
      <c r="G21" s="81">
        <f>SUM(E21:F21)</f>
        <v>24</v>
      </c>
      <c r="H21" s="79">
        <v>0</v>
      </c>
      <c r="I21" s="82">
        <f t="shared" ref="I21:I45" si="2">IF(H21=0,0%,H21/V21)</f>
        <v>0</v>
      </c>
      <c r="J21" s="79">
        <v>0</v>
      </c>
      <c r="K21" s="83">
        <f>IF(J21=0,0%,J21/V21)</f>
        <v>0</v>
      </c>
      <c r="L21" s="84">
        <v>0</v>
      </c>
      <c r="M21" s="85">
        <f t="shared" ref="M21:M45" si="3">IF(L21=0,0%,L21/V21)</f>
        <v>0</v>
      </c>
      <c r="N21" s="86">
        <f>SUMIF(proses!$C$21:$C$188,'LAPORAN BULANAN'!X21,JURNAL_LKH!$L$21:$L$188)</f>
        <v>0</v>
      </c>
      <c r="O21" s="87">
        <f t="shared" ref="O21:O37" si="4">N21/(G21*V21)</f>
        <v>0</v>
      </c>
      <c r="P21" s="88">
        <f>SUMIF(proses!$C$21:$C$188,'LAPORAN BULANAN'!X21,JURNAL_LKH!$M$21:$M$188)</f>
        <v>0</v>
      </c>
      <c r="Q21" s="87">
        <f t="shared" ref="Q21:Q37" si="5">P21/(G21*V21)</f>
        <v>0</v>
      </c>
      <c r="R21" s="88">
        <f>SUMIF(proses!$C$21:$C$188,'LAPORAN BULANAN'!X21,JURNAL_LKH!$N$21:$N$188)</f>
        <v>0</v>
      </c>
      <c r="S21" s="87">
        <f t="shared" ref="S21:S37" si="6">R21/(G21*V21)</f>
        <v>0</v>
      </c>
      <c r="T21" s="89"/>
      <c r="U21" s="175" t="s">
        <v>123</v>
      </c>
      <c r="V21" s="175">
        <f>DATA!G47</f>
        <v>3</v>
      </c>
      <c r="W21" s="176"/>
      <c r="X21" s="176" t="str">
        <f>$A$21&amp;C21&amp;D21</f>
        <v>SENIN3-4VII A</v>
      </c>
      <c r="Y21" s="117"/>
      <c r="AA21" s="32" t="s">
        <v>175</v>
      </c>
    </row>
    <row r="22" spans="1:27" s="32" customFormat="1" ht="15" customHeight="1" x14ac:dyDescent="0.25">
      <c r="A22" s="356"/>
      <c r="B22" s="112">
        <v>2</v>
      </c>
      <c r="C22" s="113" t="s">
        <v>164</v>
      </c>
      <c r="D22" s="114" t="s">
        <v>36</v>
      </c>
      <c r="E22" s="92">
        <f t="shared" si="0"/>
        <v>12</v>
      </c>
      <c r="F22" s="92">
        <f t="shared" si="1"/>
        <v>11</v>
      </c>
      <c r="G22" s="93">
        <f t="shared" ref="G22:G37" si="7">SUM(E22:F22)</f>
        <v>23</v>
      </c>
      <c r="H22" s="91">
        <v>0</v>
      </c>
      <c r="I22" s="83">
        <f t="shared" si="2"/>
        <v>0</v>
      </c>
      <c r="J22" s="91">
        <v>0</v>
      </c>
      <c r="K22" s="83">
        <f t="shared" ref="K22:K45" si="8">IF(J22=0,0%,J22/V22)</f>
        <v>0</v>
      </c>
      <c r="L22" s="94">
        <v>0</v>
      </c>
      <c r="M22" s="95">
        <f t="shared" si="3"/>
        <v>0</v>
      </c>
      <c r="N22" s="96">
        <f>SUMIF(proses!$C$21:$C$188,'LAPORAN BULANAN'!X22,JURNAL_LKH!$L$21:$L$188)</f>
        <v>0</v>
      </c>
      <c r="O22" s="97">
        <f t="shared" si="4"/>
        <v>0</v>
      </c>
      <c r="P22" s="98">
        <f>SUMIF(proses!$C$21:$C$188,'LAPORAN BULANAN'!X22,JURNAL_LKH!$M$21:$M$188)</f>
        <v>0</v>
      </c>
      <c r="Q22" s="97">
        <f t="shared" si="5"/>
        <v>0</v>
      </c>
      <c r="R22" s="98">
        <f>SUMIF(proses!$C$21:$C$188,'LAPORAN BULANAN'!X22,JURNAL_LKH!$N$21:$N$188)</f>
        <v>0</v>
      </c>
      <c r="S22" s="97">
        <f t="shared" si="6"/>
        <v>0</v>
      </c>
      <c r="T22" s="99"/>
      <c r="U22" s="175" t="s">
        <v>123</v>
      </c>
      <c r="V22" s="175">
        <f>DATA!G47</f>
        <v>3</v>
      </c>
      <c r="W22" s="176"/>
      <c r="X22" s="176" t="str">
        <f>$A$21&amp;C22&amp;D22</f>
        <v>SENIN7-8VIII B</v>
      </c>
      <c r="Y22" s="117"/>
      <c r="AA22" s="32" t="s">
        <v>175</v>
      </c>
    </row>
    <row r="23" spans="1:27" s="32" customFormat="1" ht="15" hidden="1" customHeight="1" x14ac:dyDescent="0.25">
      <c r="A23" s="356"/>
      <c r="B23" s="112"/>
      <c r="C23" s="113"/>
      <c r="D23" s="114"/>
      <c r="E23" s="92">
        <f t="shared" si="0"/>
        <v>0</v>
      </c>
      <c r="F23" s="92">
        <f t="shared" si="1"/>
        <v>0</v>
      </c>
      <c r="G23" s="93">
        <f t="shared" si="7"/>
        <v>0</v>
      </c>
      <c r="H23" s="91">
        <v>0</v>
      </c>
      <c r="I23" s="83">
        <f t="shared" si="2"/>
        <v>0</v>
      </c>
      <c r="J23" s="91">
        <v>0</v>
      </c>
      <c r="K23" s="83">
        <f t="shared" si="8"/>
        <v>0</v>
      </c>
      <c r="L23" s="94">
        <v>0</v>
      </c>
      <c r="M23" s="95">
        <f t="shared" si="3"/>
        <v>0</v>
      </c>
      <c r="N23" s="96">
        <f>SUMIF(proses!$C$21:$C$188,'LAPORAN BULANAN'!X23,JURNAL_LKH!$L$21:$L$188)</f>
        <v>0</v>
      </c>
      <c r="O23" s="97" t="e">
        <f t="shared" si="4"/>
        <v>#DIV/0!</v>
      </c>
      <c r="P23" s="98">
        <f>SUMIF(proses!$C$21:$C$188,'LAPORAN BULANAN'!X23,JURNAL_LKH!$M$21:$M$188)</f>
        <v>0</v>
      </c>
      <c r="Q23" s="97" t="e">
        <f t="shared" si="5"/>
        <v>#DIV/0!</v>
      </c>
      <c r="R23" s="98">
        <f>SUMIF(proses!$C$21:$C$188,'LAPORAN BULANAN'!X23,JURNAL_LKH!$N$21:$N$188)</f>
        <v>0</v>
      </c>
      <c r="S23" s="97" t="e">
        <f t="shared" si="6"/>
        <v>#DIV/0!</v>
      </c>
      <c r="T23" s="99"/>
      <c r="U23" s="175" t="s">
        <v>123</v>
      </c>
      <c r="V23" s="175">
        <f>DATA!G47</f>
        <v>3</v>
      </c>
      <c r="W23" s="176"/>
      <c r="X23" s="176" t="str">
        <f>$A$21&amp;C23&amp;D23</f>
        <v>SENIN</v>
      </c>
      <c r="Y23" s="117"/>
    </row>
    <row r="24" spans="1:27" s="32" customFormat="1" ht="15" hidden="1" customHeight="1" x14ac:dyDescent="0.25">
      <c r="A24" s="356"/>
      <c r="B24" s="112"/>
      <c r="C24" s="113"/>
      <c r="D24" s="114"/>
      <c r="E24" s="92">
        <f t="shared" si="0"/>
        <v>0</v>
      </c>
      <c r="F24" s="92">
        <f t="shared" si="1"/>
        <v>0</v>
      </c>
      <c r="G24" s="93">
        <f t="shared" si="7"/>
        <v>0</v>
      </c>
      <c r="H24" s="91">
        <v>0</v>
      </c>
      <c r="I24" s="83">
        <f t="shared" si="2"/>
        <v>0</v>
      </c>
      <c r="J24" s="91">
        <v>0</v>
      </c>
      <c r="K24" s="83">
        <f t="shared" si="8"/>
        <v>0</v>
      </c>
      <c r="L24" s="94">
        <v>0</v>
      </c>
      <c r="M24" s="95">
        <f t="shared" si="3"/>
        <v>0</v>
      </c>
      <c r="N24" s="96">
        <f>SUMIF(proses!$C$21:$C$188,'LAPORAN BULANAN'!X24,JURNAL_LKH!$L$21:$L$188)</f>
        <v>0</v>
      </c>
      <c r="O24" s="97" t="e">
        <f t="shared" si="4"/>
        <v>#DIV/0!</v>
      </c>
      <c r="P24" s="98">
        <f>SUMIF(proses!$C$21:$C$188,'LAPORAN BULANAN'!X24,JURNAL_LKH!$M$21:$M$188)</f>
        <v>0</v>
      </c>
      <c r="Q24" s="97" t="e">
        <f t="shared" si="5"/>
        <v>#DIV/0!</v>
      </c>
      <c r="R24" s="98">
        <f>SUMIF(proses!$C$21:$C$188,'LAPORAN BULANAN'!X24,JURNAL_LKH!$N$21:$N$188)</f>
        <v>0</v>
      </c>
      <c r="S24" s="97" t="e">
        <f t="shared" si="6"/>
        <v>#DIV/0!</v>
      </c>
      <c r="T24" s="99"/>
      <c r="U24" s="175" t="s">
        <v>123</v>
      </c>
      <c r="V24" s="175">
        <f>DATA!G47</f>
        <v>3</v>
      </c>
      <c r="W24" s="176"/>
      <c r="X24" s="176" t="str">
        <f>$A$21&amp;C24&amp;D24</f>
        <v>SENIN</v>
      </c>
      <c r="Y24" s="117"/>
    </row>
    <row r="25" spans="1:27" s="32" customFormat="1" ht="15" customHeight="1" x14ac:dyDescent="0.25">
      <c r="A25" s="356" t="s">
        <v>27</v>
      </c>
      <c r="B25" s="112">
        <v>2</v>
      </c>
      <c r="C25" s="113" t="s">
        <v>161</v>
      </c>
      <c r="D25" s="114" t="s">
        <v>33</v>
      </c>
      <c r="E25" s="92">
        <f t="shared" si="0"/>
        <v>0</v>
      </c>
      <c r="F25" s="92">
        <f t="shared" si="1"/>
        <v>20</v>
      </c>
      <c r="G25" s="93">
        <f t="shared" si="7"/>
        <v>20</v>
      </c>
      <c r="H25" s="91">
        <v>0</v>
      </c>
      <c r="I25" s="83">
        <f t="shared" si="2"/>
        <v>0</v>
      </c>
      <c r="J25" s="91">
        <v>0</v>
      </c>
      <c r="K25" s="83">
        <f t="shared" si="8"/>
        <v>0</v>
      </c>
      <c r="L25" s="94">
        <v>0</v>
      </c>
      <c r="M25" s="95">
        <f t="shared" si="3"/>
        <v>0</v>
      </c>
      <c r="N25" s="96">
        <f>SUMIF(proses!$C$21:$C$188,'LAPORAN BULANAN'!X25,JURNAL_LKH!$L$21:$L$188)</f>
        <v>0</v>
      </c>
      <c r="O25" s="97">
        <f t="shared" si="4"/>
        <v>0</v>
      </c>
      <c r="P25" s="98">
        <f>SUMIF(proses!$C$21:$C$188,'LAPORAN BULANAN'!X25,JURNAL_LKH!$M$21:$M$188)</f>
        <v>0</v>
      </c>
      <c r="Q25" s="97">
        <f t="shared" si="5"/>
        <v>0</v>
      </c>
      <c r="R25" s="98">
        <f>SUMIF(proses!$C$21:$C$188,'LAPORAN BULANAN'!X25,JURNAL_LKH!$N$21:$N$188)</f>
        <v>0</v>
      </c>
      <c r="S25" s="97">
        <f t="shared" si="6"/>
        <v>0</v>
      </c>
      <c r="T25" s="99"/>
      <c r="U25" s="175" t="s">
        <v>123</v>
      </c>
      <c r="V25" s="175">
        <f>DATA!H47</f>
        <v>3</v>
      </c>
      <c r="W25" s="176"/>
      <c r="X25" s="176" t="str">
        <f>$A$25&amp;C25&amp;D25</f>
        <v>SELASA1-2VII B</v>
      </c>
      <c r="Y25" s="117"/>
      <c r="AA25" s="32" t="s">
        <v>175</v>
      </c>
    </row>
    <row r="26" spans="1:27" s="32" customFormat="1" ht="15" customHeight="1" x14ac:dyDescent="0.25">
      <c r="A26" s="356"/>
      <c r="B26" s="112">
        <v>2</v>
      </c>
      <c r="C26" s="113" t="s">
        <v>174</v>
      </c>
      <c r="D26" s="114" t="s">
        <v>104</v>
      </c>
      <c r="E26" s="92">
        <f t="shared" si="0"/>
        <v>0</v>
      </c>
      <c r="F26" s="92">
        <f t="shared" si="1"/>
        <v>0</v>
      </c>
      <c r="G26" s="93">
        <f t="shared" si="7"/>
        <v>0</v>
      </c>
      <c r="H26" s="91">
        <v>0</v>
      </c>
      <c r="I26" s="83">
        <f t="shared" si="2"/>
        <v>0</v>
      </c>
      <c r="J26" s="91">
        <v>0</v>
      </c>
      <c r="K26" s="83">
        <f t="shared" si="8"/>
        <v>0</v>
      </c>
      <c r="L26" s="94">
        <v>0</v>
      </c>
      <c r="M26" s="95">
        <f t="shared" si="3"/>
        <v>0</v>
      </c>
      <c r="N26" s="96">
        <f>SUMIF(proses!$C$21:$C$188,'LAPORAN BULANAN'!X26,JURNAL_LKH!$L$21:$L$188)</f>
        <v>0</v>
      </c>
      <c r="O26" s="97" t="e">
        <f t="shared" si="4"/>
        <v>#DIV/0!</v>
      </c>
      <c r="P26" s="98">
        <f>SUMIF(proses!$C$21:$C$188,'LAPORAN BULANAN'!X26,JURNAL_LKH!$M$21:$M$188)</f>
        <v>0</v>
      </c>
      <c r="Q26" s="97" t="e">
        <f t="shared" si="5"/>
        <v>#DIV/0!</v>
      </c>
      <c r="R26" s="98">
        <f>SUMIF(proses!$C$21:$C$188,'LAPORAN BULANAN'!X26,JURNAL_LKH!$N$21:$N$188)</f>
        <v>0</v>
      </c>
      <c r="S26" s="97" t="e">
        <f t="shared" si="6"/>
        <v>#DIV/0!</v>
      </c>
      <c r="T26" s="99"/>
      <c r="U26" s="175" t="s">
        <v>123</v>
      </c>
      <c r="V26" s="175">
        <f>DATA!H47</f>
        <v>3</v>
      </c>
      <c r="W26" s="176"/>
      <c r="X26" s="176" t="str">
        <f>$A$25&amp;C26&amp;D26</f>
        <v>SELASA5-6IX C</v>
      </c>
      <c r="Y26" s="117"/>
      <c r="AA26" s="32" t="s">
        <v>175</v>
      </c>
    </row>
    <row r="27" spans="1:27" s="32" customFormat="1" ht="15" customHeight="1" x14ac:dyDescent="0.25">
      <c r="A27" s="356"/>
      <c r="B27" s="112">
        <v>2</v>
      </c>
      <c r="C27" s="113" t="s">
        <v>164</v>
      </c>
      <c r="D27" s="114" t="s">
        <v>102</v>
      </c>
      <c r="E27" s="92">
        <f t="shared" si="0"/>
        <v>23</v>
      </c>
      <c r="F27" s="92">
        <f t="shared" si="1"/>
        <v>0</v>
      </c>
      <c r="G27" s="93">
        <f t="shared" si="7"/>
        <v>23</v>
      </c>
      <c r="H27" s="91">
        <v>0</v>
      </c>
      <c r="I27" s="83">
        <f t="shared" si="2"/>
        <v>0</v>
      </c>
      <c r="J27" s="91">
        <v>0</v>
      </c>
      <c r="K27" s="83">
        <f t="shared" si="8"/>
        <v>0</v>
      </c>
      <c r="L27" s="94">
        <v>0</v>
      </c>
      <c r="M27" s="95">
        <f t="shared" si="3"/>
        <v>0</v>
      </c>
      <c r="N27" s="96">
        <f>SUMIF(proses!$C$21:$C$188,'LAPORAN BULANAN'!X27,JURNAL_LKH!$L$21:$L$188)</f>
        <v>0</v>
      </c>
      <c r="O27" s="97">
        <f t="shared" si="4"/>
        <v>0</v>
      </c>
      <c r="P27" s="98">
        <f>SUMIF(proses!$C$21:$C$188,'LAPORAN BULANAN'!X27,JURNAL_LKH!$M$21:$M$188)</f>
        <v>0</v>
      </c>
      <c r="Q27" s="97">
        <f t="shared" si="5"/>
        <v>0</v>
      </c>
      <c r="R27" s="98">
        <f>SUMIF(proses!$C$21:$C$188,'LAPORAN BULANAN'!X27,JURNAL_LKH!$N$21:$N$188)</f>
        <v>0</v>
      </c>
      <c r="S27" s="97">
        <f t="shared" si="6"/>
        <v>0</v>
      </c>
      <c r="T27" s="99"/>
      <c r="U27" s="175" t="s">
        <v>123</v>
      </c>
      <c r="V27" s="175">
        <f>DATA!H47</f>
        <v>3</v>
      </c>
      <c r="W27" s="176"/>
      <c r="X27" s="176" t="str">
        <f>$A$25&amp;C27&amp;D27</f>
        <v>SELASA7-8IX A</v>
      </c>
      <c r="Y27" s="117"/>
      <c r="AA27" s="32" t="s">
        <v>175</v>
      </c>
    </row>
    <row r="28" spans="1:27" s="32" customFormat="1" ht="15" hidden="1" customHeight="1" x14ac:dyDescent="0.25">
      <c r="A28" s="356"/>
      <c r="B28" s="112"/>
      <c r="C28" s="113"/>
      <c r="D28" s="114"/>
      <c r="E28" s="92">
        <f t="shared" si="0"/>
        <v>0</v>
      </c>
      <c r="F28" s="92">
        <f t="shared" si="1"/>
        <v>0</v>
      </c>
      <c r="G28" s="93">
        <f t="shared" si="7"/>
        <v>0</v>
      </c>
      <c r="H28" s="91">
        <v>0</v>
      </c>
      <c r="I28" s="83">
        <f t="shared" si="2"/>
        <v>0</v>
      </c>
      <c r="J28" s="91">
        <v>0</v>
      </c>
      <c r="K28" s="83">
        <f t="shared" si="8"/>
        <v>0</v>
      </c>
      <c r="L28" s="94">
        <v>0</v>
      </c>
      <c r="M28" s="95">
        <f t="shared" si="3"/>
        <v>0</v>
      </c>
      <c r="N28" s="96">
        <f>SUMIF(proses!$C$21:$C$188,'LAPORAN BULANAN'!X28,JURNAL_LKH!$L$21:$L$188)</f>
        <v>0</v>
      </c>
      <c r="O28" s="97" t="e">
        <f t="shared" si="4"/>
        <v>#DIV/0!</v>
      </c>
      <c r="P28" s="98">
        <f>SUMIF(proses!$C$21:$C$188,'LAPORAN BULANAN'!X28,JURNAL_LKH!$M$21:$M$188)</f>
        <v>0</v>
      </c>
      <c r="Q28" s="97" t="e">
        <f t="shared" si="5"/>
        <v>#DIV/0!</v>
      </c>
      <c r="R28" s="98">
        <f>SUMIF(proses!$C$21:$C$188,'LAPORAN BULANAN'!X28,JURNAL_LKH!$N$21:$N$188)</f>
        <v>0</v>
      </c>
      <c r="S28" s="97" t="e">
        <f t="shared" si="6"/>
        <v>#DIV/0!</v>
      </c>
      <c r="T28" s="99"/>
      <c r="U28" s="175" t="s">
        <v>123</v>
      </c>
      <c r="V28" s="175">
        <f>DATA!H47</f>
        <v>3</v>
      </c>
      <c r="W28" s="176"/>
      <c r="X28" s="176" t="str">
        <f>$A$25&amp;C28&amp;D28</f>
        <v>SELASA</v>
      </c>
      <c r="Y28" s="117"/>
      <c r="AA28" s="32" t="s">
        <v>175</v>
      </c>
    </row>
    <row r="29" spans="1:27" s="32" customFormat="1" ht="15" hidden="1" customHeight="1" x14ac:dyDescent="0.25">
      <c r="A29" s="356" t="s">
        <v>28</v>
      </c>
      <c r="B29" s="112"/>
      <c r="C29" s="113"/>
      <c r="D29" s="114"/>
      <c r="E29" s="92">
        <f t="shared" si="0"/>
        <v>0</v>
      </c>
      <c r="F29" s="92">
        <f t="shared" si="1"/>
        <v>0</v>
      </c>
      <c r="G29" s="93">
        <f t="shared" si="7"/>
        <v>0</v>
      </c>
      <c r="H29" s="91">
        <v>0</v>
      </c>
      <c r="I29" s="83">
        <f t="shared" si="2"/>
        <v>0</v>
      </c>
      <c r="J29" s="91">
        <v>0</v>
      </c>
      <c r="K29" s="83">
        <f t="shared" si="8"/>
        <v>0</v>
      </c>
      <c r="L29" s="94">
        <v>0</v>
      </c>
      <c r="M29" s="95">
        <f t="shared" si="3"/>
        <v>0</v>
      </c>
      <c r="N29" s="96">
        <f>SUMIF(proses!$C$21:$C$188,'LAPORAN BULANAN'!X29,JURNAL_LKH!$L$21:$L$188)</f>
        <v>0</v>
      </c>
      <c r="O29" s="97" t="e">
        <f t="shared" si="4"/>
        <v>#DIV/0!</v>
      </c>
      <c r="P29" s="98">
        <f>SUMIF(proses!$C$21:$C$188,'LAPORAN BULANAN'!X29,JURNAL_LKH!$M$21:$M$188)</f>
        <v>0</v>
      </c>
      <c r="Q29" s="97" t="e">
        <f t="shared" si="5"/>
        <v>#DIV/0!</v>
      </c>
      <c r="R29" s="98">
        <f>SUMIF(proses!$C$21:$C$188,'LAPORAN BULANAN'!X29,JURNAL_LKH!$N$21:$N$188)</f>
        <v>0</v>
      </c>
      <c r="S29" s="97" t="e">
        <f t="shared" si="6"/>
        <v>#DIV/0!</v>
      </c>
      <c r="T29" s="99"/>
      <c r="U29" s="175" t="s">
        <v>123</v>
      </c>
      <c r="V29" s="175">
        <f>DATA!I47</f>
        <v>3</v>
      </c>
      <c r="W29" s="176"/>
      <c r="X29" s="176" t="str">
        <f>$A$29&amp;C29&amp;D29</f>
        <v>RABU</v>
      </c>
      <c r="Y29" s="117"/>
      <c r="AA29" s="32" t="s">
        <v>175</v>
      </c>
    </row>
    <row r="30" spans="1:27" s="32" customFormat="1" ht="14.25" hidden="1" customHeight="1" x14ac:dyDescent="0.25">
      <c r="A30" s="356"/>
      <c r="B30" s="112"/>
      <c r="C30" s="113"/>
      <c r="D30" s="114"/>
      <c r="E30" s="92">
        <f t="shared" si="0"/>
        <v>0</v>
      </c>
      <c r="F30" s="92">
        <f t="shared" si="1"/>
        <v>0</v>
      </c>
      <c r="G30" s="93">
        <f t="shared" si="7"/>
        <v>0</v>
      </c>
      <c r="H30" s="91">
        <v>0</v>
      </c>
      <c r="I30" s="83">
        <f t="shared" si="2"/>
        <v>0</v>
      </c>
      <c r="J30" s="91">
        <v>0</v>
      </c>
      <c r="K30" s="83">
        <f t="shared" si="8"/>
        <v>0</v>
      </c>
      <c r="L30" s="94">
        <v>0</v>
      </c>
      <c r="M30" s="95">
        <f t="shared" si="3"/>
        <v>0</v>
      </c>
      <c r="N30" s="96">
        <f>SUMIF(proses!$C$21:$C$188,'LAPORAN BULANAN'!X30,JURNAL_LKH!$L$21:$L$188)</f>
        <v>0</v>
      </c>
      <c r="O30" s="97" t="e">
        <f t="shared" si="4"/>
        <v>#DIV/0!</v>
      </c>
      <c r="P30" s="98">
        <f>SUMIF(proses!$C$21:$C$188,'LAPORAN BULANAN'!X30,JURNAL_LKH!$M$21:$M$188)</f>
        <v>0</v>
      </c>
      <c r="Q30" s="97" t="e">
        <f t="shared" si="5"/>
        <v>#DIV/0!</v>
      </c>
      <c r="R30" s="98">
        <f>SUMIF(proses!$C$21:$C$188,'LAPORAN BULANAN'!X30,JURNAL_LKH!$N$21:$N$188)</f>
        <v>0</v>
      </c>
      <c r="S30" s="97" t="e">
        <f t="shared" si="6"/>
        <v>#DIV/0!</v>
      </c>
      <c r="T30" s="99"/>
      <c r="U30" s="175" t="s">
        <v>123</v>
      </c>
      <c r="V30" s="175">
        <f>DATA!I47</f>
        <v>3</v>
      </c>
      <c r="W30" s="176"/>
      <c r="X30" s="176" t="str">
        <f>$A$29&amp;C30&amp;D30</f>
        <v>RABU</v>
      </c>
      <c r="Y30" s="117"/>
    </row>
    <row r="31" spans="1:27" s="32" customFormat="1" ht="15" hidden="1" customHeight="1" x14ac:dyDescent="0.25">
      <c r="A31" s="356"/>
      <c r="B31" s="112"/>
      <c r="C31" s="113"/>
      <c r="D31" s="114" t="s">
        <v>35</v>
      </c>
      <c r="E31" s="92">
        <f t="shared" si="0"/>
        <v>22</v>
      </c>
      <c r="F31" s="92">
        <f t="shared" si="1"/>
        <v>0</v>
      </c>
      <c r="G31" s="93">
        <f t="shared" si="7"/>
        <v>22</v>
      </c>
      <c r="H31" s="91">
        <v>0</v>
      </c>
      <c r="I31" s="83">
        <f t="shared" si="2"/>
        <v>0</v>
      </c>
      <c r="J31" s="91">
        <v>0</v>
      </c>
      <c r="K31" s="83">
        <f t="shared" si="8"/>
        <v>0</v>
      </c>
      <c r="L31" s="94">
        <v>0</v>
      </c>
      <c r="M31" s="95">
        <f t="shared" si="3"/>
        <v>0</v>
      </c>
      <c r="N31" s="96">
        <f>SUMIF(proses!$C$21:$C$188,'LAPORAN BULANAN'!X31,JURNAL_LKH!$L$21:$L$188)</f>
        <v>0</v>
      </c>
      <c r="O31" s="97">
        <f t="shared" si="4"/>
        <v>0</v>
      </c>
      <c r="P31" s="98">
        <f>SUMIF(proses!$C$21:$C$188,'LAPORAN BULANAN'!X31,JURNAL_LKH!$M$21:$M$188)</f>
        <v>0</v>
      </c>
      <c r="Q31" s="97">
        <f t="shared" si="5"/>
        <v>0</v>
      </c>
      <c r="R31" s="98">
        <f>SUMIF(proses!$C$21:$C$188,'LAPORAN BULANAN'!X31,JURNAL_LKH!$N$21:$N$188)</f>
        <v>0</v>
      </c>
      <c r="S31" s="97">
        <f t="shared" si="6"/>
        <v>0</v>
      </c>
      <c r="T31" s="99"/>
      <c r="U31" s="175" t="s">
        <v>123</v>
      </c>
      <c r="V31" s="175">
        <f>DATA!I47</f>
        <v>3</v>
      </c>
      <c r="W31" s="176"/>
      <c r="X31" s="176" t="str">
        <f>$A$29&amp;C31&amp;D31</f>
        <v>RABUVIII A</v>
      </c>
      <c r="Y31" s="117"/>
    </row>
    <row r="32" spans="1:27" s="32" customFormat="1" ht="15" hidden="1" customHeight="1" x14ac:dyDescent="0.25">
      <c r="A32" s="356"/>
      <c r="B32" s="112"/>
      <c r="C32" s="113"/>
      <c r="D32" s="114"/>
      <c r="E32" s="92">
        <f t="shared" si="0"/>
        <v>0</v>
      </c>
      <c r="F32" s="92">
        <f t="shared" si="1"/>
        <v>0</v>
      </c>
      <c r="G32" s="93">
        <f t="shared" si="7"/>
        <v>0</v>
      </c>
      <c r="H32" s="91">
        <v>0</v>
      </c>
      <c r="I32" s="83">
        <f t="shared" si="2"/>
        <v>0</v>
      </c>
      <c r="J32" s="91">
        <v>0</v>
      </c>
      <c r="K32" s="83">
        <f t="shared" si="8"/>
        <v>0</v>
      </c>
      <c r="L32" s="94">
        <v>0</v>
      </c>
      <c r="M32" s="95">
        <f t="shared" si="3"/>
        <v>0</v>
      </c>
      <c r="N32" s="96">
        <f>SUMIF(proses!$C$21:$C$188,'LAPORAN BULANAN'!X32,JURNAL_LKH!$L$21:$L$188)</f>
        <v>0</v>
      </c>
      <c r="O32" s="97" t="e">
        <f t="shared" si="4"/>
        <v>#DIV/0!</v>
      </c>
      <c r="P32" s="98">
        <f>SUMIF(proses!$C$21:$C$188,'LAPORAN BULANAN'!X32,JURNAL_LKH!$M$21:$M$188)</f>
        <v>0</v>
      </c>
      <c r="Q32" s="97" t="e">
        <f t="shared" si="5"/>
        <v>#DIV/0!</v>
      </c>
      <c r="R32" s="98">
        <f>SUMIF(proses!$C$21:$C$188,'LAPORAN BULANAN'!X32,JURNAL_LKH!$N$21:$N$188)</f>
        <v>0</v>
      </c>
      <c r="S32" s="97" t="e">
        <f t="shared" si="6"/>
        <v>#DIV/0!</v>
      </c>
      <c r="T32" s="99"/>
      <c r="U32" s="175" t="s">
        <v>123</v>
      </c>
      <c r="V32" s="175">
        <f>DATA!I47</f>
        <v>3</v>
      </c>
      <c r="W32" s="176"/>
      <c r="X32" s="176" t="str">
        <f>$A$29&amp;C32&amp;D32</f>
        <v>RABU</v>
      </c>
      <c r="Y32" s="117"/>
    </row>
    <row r="33" spans="1:27" s="32" customFormat="1" ht="15" customHeight="1" x14ac:dyDescent="0.25">
      <c r="A33" s="356" t="s">
        <v>29</v>
      </c>
      <c r="B33" s="112">
        <v>2</v>
      </c>
      <c r="C33" s="113" t="s">
        <v>161</v>
      </c>
      <c r="D33" s="114" t="s">
        <v>35</v>
      </c>
      <c r="E33" s="92">
        <f t="shared" si="0"/>
        <v>22</v>
      </c>
      <c r="F33" s="92">
        <f t="shared" si="1"/>
        <v>0</v>
      </c>
      <c r="G33" s="93">
        <f t="shared" si="7"/>
        <v>22</v>
      </c>
      <c r="H33" s="91">
        <v>0</v>
      </c>
      <c r="I33" s="83">
        <f t="shared" si="2"/>
        <v>0</v>
      </c>
      <c r="J33" s="91">
        <v>0</v>
      </c>
      <c r="K33" s="83">
        <f t="shared" si="8"/>
        <v>0</v>
      </c>
      <c r="L33" s="94">
        <v>0</v>
      </c>
      <c r="M33" s="95">
        <f t="shared" si="3"/>
        <v>0</v>
      </c>
      <c r="N33" s="96">
        <f>SUMIF(proses!$C$21:$C$188,'LAPORAN BULANAN'!X33,JURNAL_LKH!$L$21:$L$188)</f>
        <v>0</v>
      </c>
      <c r="O33" s="97">
        <f t="shared" si="4"/>
        <v>0</v>
      </c>
      <c r="P33" s="98">
        <f>SUMIF(proses!$C$21:$C$188,'LAPORAN BULANAN'!X33,JURNAL_LKH!$M$21:$M$188)</f>
        <v>0</v>
      </c>
      <c r="Q33" s="97">
        <f t="shared" si="5"/>
        <v>0</v>
      </c>
      <c r="R33" s="98">
        <f>SUMIF(proses!$C$21:$C$188,'LAPORAN BULANAN'!X33,JURNAL_LKH!$N$21:$N$188)</f>
        <v>0</v>
      </c>
      <c r="S33" s="97">
        <f t="shared" si="6"/>
        <v>0</v>
      </c>
      <c r="T33" s="99"/>
      <c r="U33" s="175" t="s">
        <v>123</v>
      </c>
      <c r="V33" s="175">
        <f>DATA!J47</f>
        <v>3</v>
      </c>
      <c r="W33" s="176"/>
      <c r="X33" s="176" t="str">
        <f>$A$33&amp;C33&amp;D33</f>
        <v>KAMIS1-2VIII A</v>
      </c>
      <c r="Y33" s="117"/>
      <c r="AA33" s="32" t="s">
        <v>175</v>
      </c>
    </row>
    <row r="34" spans="1:27" s="32" customFormat="1" ht="15" customHeight="1" x14ac:dyDescent="0.25">
      <c r="A34" s="356"/>
      <c r="B34" s="112">
        <v>2</v>
      </c>
      <c r="C34" s="113" t="s">
        <v>162</v>
      </c>
      <c r="D34" s="114" t="s">
        <v>103</v>
      </c>
      <c r="E34" s="92">
        <f t="shared" si="0"/>
        <v>0</v>
      </c>
      <c r="F34" s="92">
        <f t="shared" si="1"/>
        <v>31</v>
      </c>
      <c r="G34" s="93">
        <f t="shared" si="7"/>
        <v>31</v>
      </c>
      <c r="H34" s="91">
        <v>0</v>
      </c>
      <c r="I34" s="83">
        <f t="shared" si="2"/>
        <v>0</v>
      </c>
      <c r="J34" s="91">
        <v>0</v>
      </c>
      <c r="K34" s="83">
        <f t="shared" si="8"/>
        <v>0</v>
      </c>
      <c r="L34" s="94">
        <v>0</v>
      </c>
      <c r="M34" s="95">
        <f t="shared" si="3"/>
        <v>0</v>
      </c>
      <c r="N34" s="96">
        <f>SUMIF(proses!$C$21:$C$188,'LAPORAN BULANAN'!X34,JURNAL_LKH!$L$21:$L$188)</f>
        <v>0</v>
      </c>
      <c r="O34" s="97">
        <f t="shared" si="4"/>
        <v>0</v>
      </c>
      <c r="P34" s="98">
        <f>SUMIF(proses!$C$21:$C$188,'LAPORAN BULANAN'!X34,JURNAL_LKH!$M$21:$M$188)</f>
        <v>0</v>
      </c>
      <c r="Q34" s="97">
        <f t="shared" si="5"/>
        <v>0</v>
      </c>
      <c r="R34" s="98">
        <f>SUMIF(proses!$C$21:$C$188,'LAPORAN BULANAN'!X34,JURNAL_LKH!$N$21:$N$188)</f>
        <v>0</v>
      </c>
      <c r="S34" s="97">
        <f t="shared" si="6"/>
        <v>0</v>
      </c>
      <c r="T34" s="99"/>
      <c r="U34" s="175" t="s">
        <v>123</v>
      </c>
      <c r="V34" s="175">
        <f>DATA!J47</f>
        <v>3</v>
      </c>
      <c r="W34" s="176"/>
      <c r="X34" s="176" t="str">
        <f>$A$33&amp;C34&amp;D34</f>
        <v>KAMIS3-4IX B</v>
      </c>
      <c r="Y34" s="117"/>
      <c r="AA34" s="32" t="s">
        <v>175</v>
      </c>
    </row>
    <row r="35" spans="1:27" s="32" customFormat="1" ht="15" customHeight="1" x14ac:dyDescent="0.25">
      <c r="A35" s="356"/>
      <c r="B35" s="112">
        <v>2</v>
      </c>
      <c r="C35" s="113" t="s">
        <v>164</v>
      </c>
      <c r="D35" s="114" t="s">
        <v>104</v>
      </c>
      <c r="E35" s="92">
        <f t="shared" si="0"/>
        <v>0</v>
      </c>
      <c r="F35" s="92">
        <f t="shared" si="1"/>
        <v>0</v>
      </c>
      <c r="G35" s="93">
        <f t="shared" si="7"/>
        <v>0</v>
      </c>
      <c r="H35" s="91">
        <v>0</v>
      </c>
      <c r="I35" s="83">
        <f t="shared" si="2"/>
        <v>0</v>
      </c>
      <c r="J35" s="91">
        <v>0</v>
      </c>
      <c r="K35" s="83">
        <f t="shared" si="8"/>
        <v>0</v>
      </c>
      <c r="L35" s="94">
        <v>0</v>
      </c>
      <c r="M35" s="95">
        <f t="shared" si="3"/>
        <v>0</v>
      </c>
      <c r="N35" s="96">
        <f>SUMIF(proses!$C$21:$C$188,'LAPORAN BULANAN'!X35,JURNAL_LKH!$L$21:$L$188)</f>
        <v>0</v>
      </c>
      <c r="O35" s="97" t="e">
        <f t="shared" si="4"/>
        <v>#DIV/0!</v>
      </c>
      <c r="P35" s="98">
        <f>SUMIF(proses!$C$21:$C$188,'LAPORAN BULANAN'!X35,JURNAL_LKH!$M$21:$M$188)</f>
        <v>0</v>
      </c>
      <c r="Q35" s="97" t="e">
        <f t="shared" si="5"/>
        <v>#DIV/0!</v>
      </c>
      <c r="R35" s="98">
        <f>SUMIF(proses!$C$21:$C$188,'LAPORAN BULANAN'!X35,JURNAL_LKH!$N$21:$N$188)</f>
        <v>0</v>
      </c>
      <c r="S35" s="97" t="e">
        <f t="shared" si="6"/>
        <v>#DIV/0!</v>
      </c>
      <c r="T35" s="99"/>
      <c r="U35" s="175" t="s">
        <v>123</v>
      </c>
      <c r="V35" s="175">
        <f>DATA!J47</f>
        <v>3</v>
      </c>
      <c r="W35" s="176"/>
      <c r="X35" s="176" t="str">
        <f>$A$33&amp;C35&amp;D35</f>
        <v>KAMIS7-8IX C</v>
      </c>
      <c r="Y35" s="117"/>
      <c r="AA35" s="32" t="s">
        <v>175</v>
      </c>
    </row>
    <row r="36" spans="1:27" s="32" customFormat="1" ht="15" hidden="1" customHeight="1" x14ac:dyDescent="0.25">
      <c r="A36" s="356"/>
      <c r="B36" s="112"/>
      <c r="C36" s="113"/>
      <c r="D36" s="114"/>
      <c r="E36" s="92">
        <f t="shared" si="0"/>
        <v>0</v>
      </c>
      <c r="F36" s="92">
        <f t="shared" si="1"/>
        <v>0</v>
      </c>
      <c r="G36" s="93">
        <f t="shared" si="7"/>
        <v>0</v>
      </c>
      <c r="H36" s="91">
        <v>0</v>
      </c>
      <c r="I36" s="83">
        <f t="shared" si="2"/>
        <v>0</v>
      </c>
      <c r="J36" s="91">
        <v>0</v>
      </c>
      <c r="K36" s="83">
        <f t="shared" si="8"/>
        <v>0</v>
      </c>
      <c r="L36" s="94">
        <v>0</v>
      </c>
      <c r="M36" s="95">
        <f t="shared" si="3"/>
        <v>0</v>
      </c>
      <c r="N36" s="96">
        <f>SUMIF(proses!$C$21:$C$188,'LAPORAN BULANAN'!X36,JURNAL_LKH!$L$21:$L$188)</f>
        <v>0</v>
      </c>
      <c r="O36" s="97" t="e">
        <f t="shared" si="4"/>
        <v>#DIV/0!</v>
      </c>
      <c r="P36" s="98">
        <f>SUMIF(proses!$C$21:$C$188,'LAPORAN BULANAN'!X36,JURNAL_LKH!$M$21:$M$188)</f>
        <v>0</v>
      </c>
      <c r="Q36" s="97" t="e">
        <f t="shared" si="5"/>
        <v>#DIV/0!</v>
      </c>
      <c r="R36" s="98">
        <f>SUMIF(proses!$C$21:$C$188,'LAPORAN BULANAN'!X36,JURNAL_LKH!$N$21:$N$188)</f>
        <v>0</v>
      </c>
      <c r="S36" s="97" t="e">
        <f t="shared" si="6"/>
        <v>#DIV/0!</v>
      </c>
      <c r="T36" s="99"/>
      <c r="U36" s="175" t="s">
        <v>123</v>
      </c>
      <c r="V36" s="175">
        <f>DATA!J47</f>
        <v>3</v>
      </c>
      <c r="W36" s="176"/>
      <c r="X36" s="176" t="str">
        <f>$A$33&amp;C36&amp;D36</f>
        <v>KAMIS</v>
      </c>
      <c r="Y36" s="117"/>
      <c r="AA36" s="32" t="s">
        <v>175</v>
      </c>
    </row>
    <row r="37" spans="1:27" s="32" customFormat="1" ht="15" hidden="1" customHeight="1" x14ac:dyDescent="0.25">
      <c r="A37" s="356" t="s">
        <v>105</v>
      </c>
      <c r="B37" s="112"/>
      <c r="C37" s="113"/>
      <c r="D37" s="114"/>
      <c r="E37" s="92">
        <f t="shared" si="0"/>
        <v>0</v>
      </c>
      <c r="F37" s="92">
        <f t="shared" si="1"/>
        <v>0</v>
      </c>
      <c r="G37" s="93">
        <f t="shared" si="7"/>
        <v>0</v>
      </c>
      <c r="H37" s="91">
        <v>0</v>
      </c>
      <c r="I37" s="83">
        <f t="shared" si="2"/>
        <v>0</v>
      </c>
      <c r="J37" s="91">
        <v>0</v>
      </c>
      <c r="K37" s="83">
        <f t="shared" si="8"/>
        <v>0</v>
      </c>
      <c r="L37" s="94">
        <v>0</v>
      </c>
      <c r="M37" s="95">
        <f t="shared" si="3"/>
        <v>0</v>
      </c>
      <c r="N37" s="96">
        <f>SUMIF(proses!$C$21:$C$188,'LAPORAN BULANAN'!X37,JURNAL_LKH!$L$21:$L$188)</f>
        <v>0</v>
      </c>
      <c r="O37" s="97" t="e">
        <f t="shared" si="4"/>
        <v>#DIV/0!</v>
      </c>
      <c r="P37" s="98">
        <f>SUMIF(proses!$C$21:$C$188,'LAPORAN BULANAN'!X37,JURNAL_LKH!$M$21:$M$188)</f>
        <v>0</v>
      </c>
      <c r="Q37" s="97" t="e">
        <f t="shared" si="5"/>
        <v>#DIV/0!</v>
      </c>
      <c r="R37" s="98">
        <f>SUMIF(proses!$C$21:$C$188,'LAPORAN BULANAN'!X37,JURNAL_LKH!$N$21:$N$188)</f>
        <v>0</v>
      </c>
      <c r="S37" s="97" t="e">
        <f t="shared" si="6"/>
        <v>#DIV/0!</v>
      </c>
      <c r="T37" s="99"/>
      <c r="U37" s="175" t="s">
        <v>123</v>
      </c>
      <c r="V37" s="175">
        <f>DATA!K47</f>
        <v>3</v>
      </c>
      <c r="W37" s="176"/>
      <c r="X37" s="176" t="str">
        <f>$A$37&amp;C37&amp;D37</f>
        <v>JUMAT</v>
      </c>
      <c r="Y37" s="117"/>
      <c r="AA37" s="32" t="s">
        <v>175</v>
      </c>
    </row>
    <row r="38" spans="1:27" s="32" customFormat="1" ht="15" hidden="1" customHeight="1" x14ac:dyDescent="0.25">
      <c r="A38" s="356"/>
      <c r="B38" s="112"/>
      <c r="C38" s="113"/>
      <c r="D38" s="114"/>
      <c r="E38" s="92">
        <f t="shared" si="0"/>
        <v>0</v>
      </c>
      <c r="F38" s="92">
        <f t="shared" si="1"/>
        <v>0</v>
      </c>
      <c r="G38" s="93">
        <f t="shared" ref="G38:G43" si="9">SUM(E38:F38)</f>
        <v>0</v>
      </c>
      <c r="H38" s="91">
        <v>0</v>
      </c>
      <c r="I38" s="83">
        <f t="shared" ref="I38:I43" si="10">IF(H38=0,0%,H38/V38)</f>
        <v>0</v>
      </c>
      <c r="J38" s="91">
        <v>0</v>
      </c>
      <c r="K38" s="83">
        <f t="shared" ref="K38:K43" si="11">IF(J38=0,0%,J38/V38)</f>
        <v>0</v>
      </c>
      <c r="L38" s="94">
        <v>0</v>
      </c>
      <c r="M38" s="95">
        <f t="shared" ref="M38:M43" si="12">IF(L38=0,0%,L38/V38)</f>
        <v>0</v>
      </c>
      <c r="N38" s="96">
        <f>SUMIF(proses!$C$21:$C$188,'LAPORAN BULANAN'!X38,JURNAL_LKH!$L$21:$L$188)</f>
        <v>0</v>
      </c>
      <c r="O38" s="97" t="e">
        <f t="shared" ref="O38:O43" si="13">N38/(G38*V38)</f>
        <v>#DIV/0!</v>
      </c>
      <c r="P38" s="98">
        <f>SUMIF(proses!$C$21:$C$188,'LAPORAN BULANAN'!X38,JURNAL_LKH!$M$21:$M$188)</f>
        <v>0</v>
      </c>
      <c r="Q38" s="97" t="e">
        <f t="shared" ref="Q38:Q43" si="14">P38/(G38*V38)</f>
        <v>#DIV/0!</v>
      </c>
      <c r="R38" s="98">
        <f>SUMIF(proses!$C$21:$C$188,'LAPORAN BULANAN'!X38,JURNAL_LKH!$N$21:$N$188)</f>
        <v>0</v>
      </c>
      <c r="S38" s="97" t="e">
        <f t="shared" ref="S38:S43" si="15">R38/(G38*V38)</f>
        <v>#DIV/0!</v>
      </c>
      <c r="T38" s="99"/>
      <c r="U38" s="175"/>
      <c r="V38" s="175">
        <f>DATA!K47</f>
        <v>3</v>
      </c>
      <c r="W38" s="176"/>
      <c r="X38" s="176" t="str">
        <f>$A$37&amp;C38&amp;D38</f>
        <v>JUMAT</v>
      </c>
      <c r="Y38" s="117"/>
    </row>
    <row r="39" spans="1:27" s="32" customFormat="1" ht="15" hidden="1" customHeight="1" x14ac:dyDescent="0.25">
      <c r="A39" s="356"/>
      <c r="B39" s="112"/>
      <c r="C39" s="113"/>
      <c r="D39" s="114"/>
      <c r="E39" s="92">
        <f t="shared" si="0"/>
        <v>0</v>
      </c>
      <c r="F39" s="92">
        <f t="shared" si="1"/>
        <v>0</v>
      </c>
      <c r="G39" s="93">
        <f t="shared" si="9"/>
        <v>0</v>
      </c>
      <c r="H39" s="91">
        <v>0</v>
      </c>
      <c r="I39" s="83">
        <f t="shared" si="10"/>
        <v>0</v>
      </c>
      <c r="J39" s="91">
        <v>0</v>
      </c>
      <c r="K39" s="83">
        <f t="shared" si="11"/>
        <v>0</v>
      </c>
      <c r="L39" s="94">
        <v>0</v>
      </c>
      <c r="M39" s="95">
        <f t="shared" si="12"/>
        <v>0</v>
      </c>
      <c r="N39" s="96">
        <f>SUMIF(proses!$C$21:$C$188,'LAPORAN BULANAN'!X39,JURNAL_LKH!$L$21:$L$188)</f>
        <v>0</v>
      </c>
      <c r="O39" s="97" t="e">
        <f t="shared" si="13"/>
        <v>#DIV/0!</v>
      </c>
      <c r="P39" s="98">
        <f>SUMIF(proses!$C$21:$C$188,'LAPORAN BULANAN'!X39,JURNAL_LKH!$M$21:$M$188)</f>
        <v>0</v>
      </c>
      <c r="Q39" s="97" t="e">
        <f t="shared" si="14"/>
        <v>#DIV/0!</v>
      </c>
      <c r="R39" s="98">
        <f>SUMIF(proses!$C$21:$C$188,'LAPORAN BULANAN'!X39,JURNAL_LKH!$N$21:$N$188)</f>
        <v>0</v>
      </c>
      <c r="S39" s="97" t="e">
        <f t="shared" si="15"/>
        <v>#DIV/0!</v>
      </c>
      <c r="T39" s="99"/>
      <c r="U39" s="175" t="s">
        <v>123</v>
      </c>
      <c r="V39" s="175">
        <f>DATA!K47</f>
        <v>3</v>
      </c>
      <c r="W39" s="176"/>
      <c r="X39" s="176" t="str">
        <f>$A$37&amp;C39&amp;D39</f>
        <v>JUMAT</v>
      </c>
      <c r="Y39" s="117"/>
    </row>
    <row r="40" spans="1:27" s="32" customFormat="1" ht="15" customHeight="1" x14ac:dyDescent="0.25">
      <c r="A40" s="356" t="s">
        <v>30</v>
      </c>
      <c r="B40" s="112">
        <v>2</v>
      </c>
      <c r="C40" s="113" t="s">
        <v>174</v>
      </c>
      <c r="D40" s="114" t="s">
        <v>103</v>
      </c>
      <c r="E40" s="92">
        <f t="shared" si="0"/>
        <v>0</v>
      </c>
      <c r="F40" s="92">
        <f t="shared" si="1"/>
        <v>31</v>
      </c>
      <c r="G40" s="93">
        <f t="shared" si="9"/>
        <v>31</v>
      </c>
      <c r="H40" s="91">
        <v>0</v>
      </c>
      <c r="I40" s="83">
        <f t="shared" si="10"/>
        <v>0</v>
      </c>
      <c r="J40" s="91">
        <v>0</v>
      </c>
      <c r="K40" s="83">
        <f t="shared" si="11"/>
        <v>0</v>
      </c>
      <c r="L40" s="94">
        <v>0</v>
      </c>
      <c r="M40" s="95">
        <f t="shared" si="12"/>
        <v>0</v>
      </c>
      <c r="N40" s="96">
        <f>SUMIF(proses!$C$21:$C$188,'LAPORAN BULANAN'!X40,JURNAL_LKH!$L$21:$L$188)</f>
        <v>0</v>
      </c>
      <c r="O40" s="97">
        <f t="shared" si="13"/>
        <v>0</v>
      </c>
      <c r="P40" s="98">
        <f>SUMIF(proses!$C$21:$C$188,'LAPORAN BULANAN'!X40,JURNAL_LKH!$M$21:$M$188)</f>
        <v>0</v>
      </c>
      <c r="Q40" s="97">
        <f t="shared" si="14"/>
        <v>0</v>
      </c>
      <c r="R40" s="98">
        <f>SUMIF(proses!$C$21:$C$188,'LAPORAN BULANAN'!X40,JURNAL_LKH!$N$21:$N$188)</f>
        <v>0</v>
      </c>
      <c r="S40" s="97">
        <f t="shared" si="15"/>
        <v>0</v>
      </c>
      <c r="T40" s="99"/>
      <c r="U40" s="175" t="s">
        <v>123</v>
      </c>
      <c r="V40" s="175">
        <f>DATA!L47</f>
        <v>2</v>
      </c>
      <c r="W40" s="176"/>
      <c r="X40" s="176" t="str">
        <f>$A$40&amp;C40&amp;D40</f>
        <v>SABTU5-6IX B</v>
      </c>
      <c r="Y40" s="117"/>
      <c r="AA40" s="32" t="s">
        <v>175</v>
      </c>
    </row>
    <row r="41" spans="1:27" s="32" customFormat="1" ht="15" customHeight="1" x14ac:dyDescent="0.25">
      <c r="A41" s="356"/>
      <c r="B41" s="112">
        <v>2</v>
      </c>
      <c r="C41" s="113" t="s">
        <v>164</v>
      </c>
      <c r="D41" s="114" t="s">
        <v>102</v>
      </c>
      <c r="E41" s="92">
        <f t="shared" si="0"/>
        <v>23</v>
      </c>
      <c r="F41" s="92">
        <f t="shared" si="1"/>
        <v>0</v>
      </c>
      <c r="G41" s="93">
        <f t="shared" si="9"/>
        <v>23</v>
      </c>
      <c r="H41" s="91">
        <v>0</v>
      </c>
      <c r="I41" s="83">
        <f t="shared" si="10"/>
        <v>0</v>
      </c>
      <c r="J41" s="91">
        <v>0</v>
      </c>
      <c r="K41" s="83">
        <f t="shared" si="11"/>
        <v>0</v>
      </c>
      <c r="L41" s="94">
        <v>0</v>
      </c>
      <c r="M41" s="95">
        <f t="shared" si="12"/>
        <v>0</v>
      </c>
      <c r="N41" s="96">
        <f>SUMIF(proses!$C$21:$C$188,'LAPORAN BULANAN'!X41,JURNAL_LKH!$L$21:$L$188)</f>
        <v>0</v>
      </c>
      <c r="O41" s="97">
        <f t="shared" si="13"/>
        <v>0</v>
      </c>
      <c r="P41" s="98">
        <f>SUMIF(proses!$C$21:$C$188,'LAPORAN BULANAN'!X41,JURNAL_LKH!$M$21:$M$188)</f>
        <v>0</v>
      </c>
      <c r="Q41" s="97">
        <f t="shared" si="14"/>
        <v>0</v>
      </c>
      <c r="R41" s="98">
        <f>SUMIF(proses!$C$21:$C$188,'LAPORAN BULANAN'!X41,JURNAL_LKH!$N$21:$N$188)</f>
        <v>0</v>
      </c>
      <c r="S41" s="97">
        <f t="shared" si="15"/>
        <v>0</v>
      </c>
      <c r="T41" s="99"/>
      <c r="U41" s="175" t="s">
        <v>123</v>
      </c>
      <c r="V41" s="175">
        <f>DATA!L47</f>
        <v>2</v>
      </c>
      <c r="W41" s="176"/>
      <c r="X41" s="176" t="str">
        <f>$A$40&amp;C41&amp;D41</f>
        <v>SABTU7-8IX A</v>
      </c>
      <c r="Y41" s="117"/>
    </row>
    <row r="42" spans="1:27" s="32" customFormat="1" ht="18" hidden="1" customHeight="1" x14ac:dyDescent="0.25">
      <c r="A42" s="356"/>
      <c r="B42" s="112"/>
      <c r="C42" s="113"/>
      <c r="D42" s="114"/>
      <c r="E42" s="92">
        <f t="shared" si="0"/>
        <v>0</v>
      </c>
      <c r="F42" s="92">
        <f t="shared" si="1"/>
        <v>0</v>
      </c>
      <c r="G42" s="93">
        <f t="shared" si="9"/>
        <v>0</v>
      </c>
      <c r="H42" s="91">
        <v>0</v>
      </c>
      <c r="I42" s="83">
        <f t="shared" si="10"/>
        <v>0</v>
      </c>
      <c r="J42" s="91">
        <v>0</v>
      </c>
      <c r="K42" s="83">
        <f t="shared" si="11"/>
        <v>0</v>
      </c>
      <c r="L42" s="91">
        <v>0</v>
      </c>
      <c r="M42" s="95">
        <f t="shared" si="12"/>
        <v>0</v>
      </c>
      <c r="N42" s="96">
        <f>SUMIF(proses!$C$21:$C$188,'LAPORAN BULANAN'!X42,JURNAL_LKH!$L$21:$L$188)</f>
        <v>0</v>
      </c>
      <c r="O42" s="97" t="e">
        <f t="shared" si="13"/>
        <v>#DIV/0!</v>
      </c>
      <c r="P42" s="98">
        <f>SUMIF(proses!$C$21:$C$188,'LAPORAN BULANAN'!X42,JURNAL_LKH!$M$21:$M$188)</f>
        <v>0</v>
      </c>
      <c r="Q42" s="97" t="e">
        <f t="shared" si="14"/>
        <v>#DIV/0!</v>
      </c>
      <c r="R42" s="98">
        <f>SUMIF(proses!$C$21:$C$188,'LAPORAN BULANAN'!X42,JURNAL_LKH!$N$21:$N$188)</f>
        <v>0</v>
      </c>
      <c r="S42" s="97" t="e">
        <f t="shared" si="15"/>
        <v>#DIV/0!</v>
      </c>
      <c r="T42" s="99"/>
      <c r="U42" s="175" t="s">
        <v>123</v>
      </c>
      <c r="V42" s="175">
        <f>DATA!L47</f>
        <v>2</v>
      </c>
      <c r="W42" s="176"/>
      <c r="X42" s="176" t="str">
        <f>$A$40&amp;C42&amp;D42</f>
        <v>SABTU</v>
      </c>
      <c r="Y42" s="117"/>
    </row>
    <row r="43" spans="1:27" s="32" customFormat="1" ht="15" hidden="1" customHeight="1" x14ac:dyDescent="0.25">
      <c r="A43" s="356"/>
      <c r="B43" s="112"/>
      <c r="C43" s="113"/>
      <c r="D43" s="114"/>
      <c r="E43" s="92">
        <f t="shared" si="0"/>
        <v>0</v>
      </c>
      <c r="F43" s="92">
        <f t="shared" si="1"/>
        <v>0</v>
      </c>
      <c r="G43" s="93">
        <f t="shared" si="9"/>
        <v>0</v>
      </c>
      <c r="H43" s="91">
        <v>0</v>
      </c>
      <c r="I43" s="83">
        <f t="shared" si="10"/>
        <v>0</v>
      </c>
      <c r="J43" s="91">
        <v>0</v>
      </c>
      <c r="K43" s="83">
        <f t="shared" si="11"/>
        <v>0</v>
      </c>
      <c r="L43" s="94">
        <v>0</v>
      </c>
      <c r="M43" s="95">
        <f t="shared" si="12"/>
        <v>0</v>
      </c>
      <c r="N43" s="96">
        <f>SUMIF(proses!$C$21:$C$188,'LAPORAN BULANAN'!X43,JURNAL_LKH!$L$21:$L$188)</f>
        <v>0</v>
      </c>
      <c r="O43" s="97" t="e">
        <f t="shared" si="13"/>
        <v>#DIV/0!</v>
      </c>
      <c r="P43" s="98">
        <f>SUMIF(proses!$C$21:$C$188,'LAPORAN BULANAN'!X43,JURNAL_LKH!$M$21:$M$188)</f>
        <v>0</v>
      </c>
      <c r="Q43" s="97" t="e">
        <f t="shared" si="14"/>
        <v>#DIV/0!</v>
      </c>
      <c r="R43" s="98">
        <f>SUMIF(proses!$C$21:$C$188,'LAPORAN BULANAN'!X43,JURNAL_LKH!$N$21:$N$188)</f>
        <v>0</v>
      </c>
      <c r="S43" s="97" t="e">
        <f t="shared" si="15"/>
        <v>#DIV/0!</v>
      </c>
      <c r="T43" s="99"/>
      <c r="U43" s="175" t="s">
        <v>123</v>
      </c>
      <c r="V43" s="175">
        <f>DATA!L47</f>
        <v>2</v>
      </c>
      <c r="W43" s="176"/>
      <c r="X43" s="176" t="str">
        <f>$A$40&amp;C43&amp;D43</f>
        <v>SABTU</v>
      </c>
      <c r="Y43" s="117"/>
    </row>
    <row r="44" spans="1:27" s="32" customFormat="1" ht="15" hidden="1" customHeight="1" x14ac:dyDescent="0.25">
      <c r="A44" s="388" t="s">
        <v>31</v>
      </c>
      <c r="B44" s="90"/>
      <c r="C44" s="100"/>
      <c r="D44" s="125" t="str">
        <f t="shared" ref="D44:F45" si="16">E81</f>
        <v>OP</v>
      </c>
      <c r="E44" s="92">
        <f t="shared" si="16"/>
        <v>0</v>
      </c>
      <c r="F44" s="92">
        <f t="shared" si="16"/>
        <v>0</v>
      </c>
      <c r="G44" s="93">
        <f>SUM(E44:F44)</f>
        <v>0</v>
      </c>
      <c r="H44" s="91">
        <v>0</v>
      </c>
      <c r="I44" s="83">
        <f t="shared" si="2"/>
        <v>0</v>
      </c>
      <c r="J44" s="91">
        <v>0</v>
      </c>
      <c r="K44" s="83">
        <f t="shared" si="8"/>
        <v>0</v>
      </c>
      <c r="L44" s="94">
        <v>0</v>
      </c>
      <c r="M44" s="95">
        <f t="shared" si="3"/>
        <v>0</v>
      </c>
      <c r="N44" s="96">
        <f>SUMIF(JURNAL_LKH!$F$21:$F$188,D44,JURNAL_LKH!$L$21:$L$188)</f>
        <v>0</v>
      </c>
      <c r="O44" s="97" t="e">
        <f>N44/(G44*'DATA 1'!L47)</f>
        <v>#DIV/0!</v>
      </c>
      <c r="P44" s="96">
        <f>SUMIF(JURNAL_LKH!$F$21:$F$188,D44,JURNAL_LKH!$M$21:$M$188)</f>
        <v>0</v>
      </c>
      <c r="Q44" s="97" t="e">
        <f>P44/(G44*'DATA 1'!L47)</f>
        <v>#DIV/0!</v>
      </c>
      <c r="R44" s="96">
        <f>SUMIF(JURNAL_LKH!$F$21:$F$188,D44,JURNAL_LKH!$N$21:$N$188)</f>
        <v>0</v>
      </c>
      <c r="S44" s="97" t="e">
        <f>R44/(G44*'DATA 1'!L47)</f>
        <v>#DIV/0!</v>
      </c>
      <c r="T44" s="99"/>
      <c r="U44" s="175" t="s">
        <v>123</v>
      </c>
      <c r="V44" s="175"/>
      <c r="W44" s="176"/>
      <c r="X44" s="176"/>
      <c r="Y44" s="117"/>
    </row>
    <row r="45" spans="1:27" s="32" customFormat="1" ht="15" hidden="1" customHeight="1" x14ac:dyDescent="0.25">
      <c r="A45" s="388"/>
      <c r="B45" s="90"/>
      <c r="C45" s="100"/>
      <c r="D45" s="125">
        <f t="shared" si="16"/>
        <v>0</v>
      </c>
      <c r="E45" s="92">
        <f t="shared" si="16"/>
        <v>0</v>
      </c>
      <c r="F45" s="92">
        <f t="shared" si="16"/>
        <v>0</v>
      </c>
      <c r="G45" s="93">
        <f>SUM(E45:F45)</f>
        <v>0</v>
      </c>
      <c r="H45" s="91">
        <v>0</v>
      </c>
      <c r="I45" s="83">
        <f t="shared" si="2"/>
        <v>0</v>
      </c>
      <c r="J45" s="91">
        <v>0</v>
      </c>
      <c r="K45" s="83">
        <f t="shared" si="8"/>
        <v>0</v>
      </c>
      <c r="L45" s="94">
        <v>0</v>
      </c>
      <c r="M45" s="95">
        <f t="shared" si="3"/>
        <v>0</v>
      </c>
      <c r="N45" s="96">
        <f>SUMIF(JURNAL_LKH!$F$21:$F$188,'LAPORAN BULANAN'!X45,JURNAL_LKH!$L$21:$L$188)</f>
        <v>0</v>
      </c>
      <c r="O45" s="97" t="e">
        <f>N45/(G45*'DATA 1'!M47)</f>
        <v>#DIV/0!</v>
      </c>
      <c r="P45" s="96">
        <f>SUMIF(JURNAL_LKH!$F$21:$F$188,D45,JURNAL_LKH!$M$21:$M$188)</f>
        <v>0</v>
      </c>
      <c r="Q45" s="97" t="e">
        <f>P45/(G45*'DATA 1'!M47)</f>
        <v>#DIV/0!</v>
      </c>
      <c r="R45" s="96">
        <f>SUMIF(JURNAL_LKH!F$21:F$188,D45,JURNAL_LKH!$N$21:$N$188)</f>
        <v>0</v>
      </c>
      <c r="S45" s="97" t="e">
        <f>R45/(G45*'DATA 1'!M47)</f>
        <v>#DIV/0!</v>
      </c>
      <c r="T45" s="99"/>
      <c r="U45" s="175" t="s">
        <v>123</v>
      </c>
      <c r="V45" s="175"/>
      <c r="W45" s="176"/>
      <c r="X45" s="176" t="e">
        <f>A45&amp;D45&amp;#REF!</f>
        <v>#REF!</v>
      </c>
      <c r="Y45" s="117"/>
    </row>
    <row r="46" spans="1:27" s="32" customFormat="1" ht="15" customHeight="1" x14ac:dyDescent="0.25">
      <c r="A46" s="162" t="s">
        <v>177</v>
      </c>
      <c r="B46" s="90">
        <v>6</v>
      </c>
      <c r="C46" s="163"/>
      <c r="D46" s="164"/>
      <c r="E46" s="165"/>
      <c r="F46" s="165"/>
      <c r="G46" s="166"/>
      <c r="H46" s="167"/>
      <c r="I46" s="168"/>
      <c r="J46" s="167"/>
      <c r="K46" s="168"/>
      <c r="L46" s="94"/>
      <c r="M46" s="95"/>
      <c r="N46" s="96"/>
      <c r="O46" s="97"/>
      <c r="P46" s="96"/>
      <c r="Q46" s="97"/>
      <c r="R46" s="96"/>
      <c r="S46" s="97"/>
      <c r="T46" s="99"/>
      <c r="U46" s="175"/>
      <c r="V46" s="175"/>
      <c r="W46" s="176"/>
      <c r="X46" s="176"/>
      <c r="Y46" s="117"/>
    </row>
    <row r="47" spans="1:27" s="32" customFormat="1" ht="15" customHeight="1" x14ac:dyDescent="0.25">
      <c r="A47" s="44" t="s">
        <v>176</v>
      </c>
      <c r="B47" s="101">
        <v>1</v>
      </c>
      <c r="C47" s="385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6"/>
      <c r="P47" s="386"/>
      <c r="Q47" s="386"/>
      <c r="R47" s="386"/>
      <c r="S47" s="386"/>
      <c r="T47" s="387"/>
      <c r="U47" s="175" t="s">
        <v>123</v>
      </c>
      <c r="V47" s="178"/>
      <c r="W47" s="176"/>
      <c r="X47" s="176"/>
      <c r="Y47" s="117"/>
    </row>
    <row r="48" spans="1:27" s="32" customFormat="1" ht="15" customHeight="1" thickBot="1" x14ac:dyDescent="0.3">
      <c r="A48" s="103" t="s">
        <v>47</v>
      </c>
      <c r="B48" s="102">
        <f>SUM(B21:C47)</f>
        <v>27</v>
      </c>
      <c r="C48" s="382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4"/>
      <c r="U48" s="175" t="s">
        <v>123</v>
      </c>
      <c r="V48" s="175"/>
      <c r="W48" s="176"/>
      <c r="X48" s="176"/>
      <c r="Y48" s="117"/>
    </row>
    <row r="49" spans="1:25" s="16" customFormat="1" ht="9" customHeight="1" x14ac:dyDescent="0.25">
      <c r="A49" s="17"/>
      <c r="B49" s="380"/>
      <c r="C49" s="380"/>
      <c r="D49" s="17"/>
      <c r="E49" s="17"/>
      <c r="F49" s="17"/>
      <c r="G49" s="17"/>
      <c r="H49" s="50"/>
      <c r="I49" s="17"/>
      <c r="J49" s="50"/>
      <c r="K49" s="381"/>
      <c r="L49" s="381"/>
      <c r="M49" s="381"/>
      <c r="N49" s="50"/>
      <c r="O49" s="17"/>
      <c r="P49" s="50"/>
      <c r="Q49" s="17"/>
      <c r="R49" s="50"/>
      <c r="S49" s="17"/>
      <c r="T49" s="17"/>
      <c r="U49" s="171" t="s">
        <v>123</v>
      </c>
      <c r="V49" s="171"/>
      <c r="W49" s="172"/>
      <c r="X49" s="172"/>
      <c r="Y49" s="118"/>
    </row>
    <row r="50" spans="1:25" s="16" customFormat="1" ht="15" customHeight="1" x14ac:dyDescent="0.25">
      <c r="A50" s="17"/>
      <c r="B50" s="17" t="s">
        <v>24</v>
      </c>
      <c r="C50" s="17"/>
      <c r="D50" s="17"/>
      <c r="E50" s="17"/>
      <c r="F50" s="17"/>
      <c r="G50" s="17"/>
      <c r="H50" s="50"/>
      <c r="I50" s="17"/>
      <c r="J50" s="50"/>
      <c r="K50" s="381"/>
      <c r="L50" s="381"/>
      <c r="M50" s="381"/>
      <c r="N50" s="50"/>
      <c r="P50" s="17" t="str">
        <f>JURNAL_LKH!K190</f>
        <v xml:space="preserve">Paser, </v>
      </c>
      <c r="Q50" s="23">
        <f>JURNAL_LKH!L190</f>
        <v>31</v>
      </c>
      <c r="R50" s="104" t="str">
        <f>JURNAL_LKH!M190</f>
        <v>Juli 2026</v>
      </c>
      <c r="S50" s="105"/>
      <c r="T50" s="105"/>
      <c r="U50" s="171" t="s">
        <v>123</v>
      </c>
      <c r="V50" s="171"/>
      <c r="W50" s="172"/>
      <c r="X50" s="172"/>
      <c r="Y50" s="118"/>
    </row>
    <row r="51" spans="1:25" s="16" customFormat="1" ht="15" customHeight="1" x14ac:dyDescent="0.25">
      <c r="A51" s="17"/>
      <c r="B51" s="17" t="s">
        <v>25</v>
      </c>
      <c r="C51" s="17"/>
      <c r="D51" s="17"/>
      <c r="E51" s="17"/>
      <c r="F51" s="17"/>
      <c r="H51" s="62" t="str">
        <f>JURNAL_LKH!C191</f>
        <v>Kepala Madrasah</v>
      </c>
      <c r="I51" s="17"/>
      <c r="J51" s="50"/>
      <c r="K51" s="381"/>
      <c r="L51" s="381"/>
      <c r="M51" s="381"/>
      <c r="N51" s="50"/>
      <c r="P51" s="17" t="str">
        <f>JURNAL_LKH!K191</f>
        <v>Guru Mata Pelajaran,</v>
      </c>
      <c r="Q51" s="50"/>
      <c r="S51" s="50"/>
      <c r="T51" s="17"/>
      <c r="U51" s="171" t="s">
        <v>123</v>
      </c>
      <c r="V51" s="171"/>
      <c r="W51" s="172"/>
      <c r="X51" s="172"/>
      <c r="Y51" s="118"/>
    </row>
    <row r="52" spans="1:25" s="16" customFormat="1" ht="15" customHeight="1" x14ac:dyDescent="0.25">
      <c r="A52" s="17"/>
      <c r="B52" s="380"/>
      <c r="C52" s="380"/>
      <c r="D52" s="17"/>
      <c r="E52" s="17"/>
      <c r="F52" s="17"/>
      <c r="H52" s="17"/>
      <c r="I52" s="17"/>
      <c r="J52" s="50"/>
      <c r="K52" s="381"/>
      <c r="L52" s="381"/>
      <c r="M52" s="381"/>
      <c r="N52" s="50"/>
      <c r="P52" s="17"/>
      <c r="Q52" s="50"/>
      <c r="R52" s="17"/>
      <c r="S52" s="50"/>
      <c r="T52" s="17"/>
      <c r="U52" s="171" t="s">
        <v>123</v>
      </c>
      <c r="V52" s="171"/>
      <c r="W52" s="172"/>
      <c r="X52" s="172"/>
      <c r="Y52" s="118"/>
    </row>
    <row r="53" spans="1:25" s="16" customFormat="1" ht="15" customHeight="1" x14ac:dyDescent="0.25">
      <c r="A53" s="17"/>
      <c r="B53" s="380"/>
      <c r="C53" s="380"/>
      <c r="D53" s="17"/>
      <c r="E53" s="17"/>
      <c r="F53" s="17"/>
      <c r="H53" s="17"/>
      <c r="I53" s="17"/>
      <c r="J53" s="50"/>
      <c r="K53" s="381"/>
      <c r="L53" s="381"/>
      <c r="M53" s="381"/>
      <c r="N53" s="50"/>
      <c r="P53" s="17"/>
      <c r="Q53" s="50"/>
      <c r="R53" s="17"/>
      <c r="S53" s="50"/>
      <c r="T53" s="17"/>
      <c r="U53" s="171" t="s">
        <v>123</v>
      </c>
      <c r="V53" s="171"/>
      <c r="W53" s="172"/>
      <c r="X53" s="172"/>
      <c r="Y53" s="118"/>
    </row>
    <row r="54" spans="1:25" s="16" customFormat="1" ht="15" customHeight="1" x14ac:dyDescent="0.25">
      <c r="A54" s="17"/>
      <c r="B54" s="380"/>
      <c r="C54" s="380"/>
      <c r="D54" s="17"/>
      <c r="E54" s="17"/>
      <c r="F54" s="17"/>
      <c r="H54" s="17"/>
      <c r="I54" s="17"/>
      <c r="J54" s="50"/>
      <c r="K54" s="381"/>
      <c r="L54" s="381"/>
      <c r="M54" s="381"/>
      <c r="N54" s="50"/>
      <c r="P54" s="17"/>
      <c r="Q54" s="50"/>
      <c r="R54" s="17"/>
      <c r="S54" s="50"/>
      <c r="T54" s="17"/>
      <c r="U54" s="171" t="s">
        <v>123</v>
      </c>
      <c r="V54" s="171"/>
      <c r="W54" s="172"/>
      <c r="X54" s="172"/>
      <c r="Y54" s="118"/>
    </row>
    <row r="55" spans="1:25" s="16" customFormat="1" ht="15" customHeight="1" x14ac:dyDescent="0.25">
      <c r="A55" s="17"/>
      <c r="B55" s="390" t="str">
        <f>DATA!P15</f>
        <v>Drs.H.Hadi Suhaidy.</v>
      </c>
      <c r="C55" s="390"/>
      <c r="D55" s="390"/>
      <c r="F55" s="63"/>
      <c r="H55" s="63" t="str">
        <f>JURNAL_LKH!C195</f>
        <v>Ahmad Syafi'i Badar,S.Pd.I</v>
      </c>
      <c r="I55" s="63"/>
      <c r="J55" s="63"/>
      <c r="N55" s="53"/>
      <c r="P55" s="18" t="str">
        <f>JURNAL_LKH!K195</f>
        <v>Nurlailatul Hasanah, S.Ag</v>
      </c>
      <c r="Q55" s="54"/>
      <c r="R55" s="24"/>
      <c r="S55" s="54"/>
      <c r="T55" s="24"/>
      <c r="U55" s="171" t="s">
        <v>123</v>
      </c>
      <c r="V55" s="171"/>
      <c r="W55" s="172"/>
      <c r="X55" s="172"/>
      <c r="Y55" s="118"/>
    </row>
    <row r="56" spans="1:25" s="16" customFormat="1" ht="15" customHeight="1" x14ac:dyDescent="0.25">
      <c r="A56" s="17"/>
      <c r="B56" s="392" t="str">
        <f>"NIP : "&amp;DATA!P17</f>
        <v>NIP : 196707121996031003</v>
      </c>
      <c r="C56" s="392"/>
      <c r="D56" s="392"/>
      <c r="F56" s="62"/>
      <c r="H56" s="62" t="str">
        <f>JURNAL_LKH!C196</f>
        <v>NIP : -</v>
      </c>
      <c r="I56" s="62"/>
      <c r="J56" s="62"/>
      <c r="N56" s="50"/>
      <c r="P56" s="17" t="str">
        <f>JURNAL_LKH!K196</f>
        <v>NIP : 197311272005012002</v>
      </c>
      <c r="Q56" s="17"/>
      <c r="R56" s="17"/>
      <c r="S56" s="17"/>
      <c r="T56" s="17"/>
      <c r="U56" s="171" t="s">
        <v>123</v>
      </c>
      <c r="V56" s="171"/>
      <c r="W56" s="172"/>
      <c r="X56" s="172"/>
      <c r="Y56" s="118"/>
    </row>
    <row r="57" spans="1:25" s="3" customFormat="1" ht="141.6" hidden="1" customHeight="1" x14ac:dyDescent="0.25">
      <c r="A57" s="16"/>
      <c r="B57" s="391"/>
      <c r="C57" s="391"/>
      <c r="D57" s="16"/>
      <c r="E57" s="16"/>
      <c r="F57" s="16"/>
      <c r="G57" s="16"/>
      <c r="H57" s="51"/>
      <c r="I57" s="16"/>
      <c r="J57" s="51"/>
      <c r="K57" s="391"/>
      <c r="L57" s="391"/>
      <c r="M57" s="391"/>
      <c r="N57" s="51"/>
      <c r="O57" s="16"/>
      <c r="P57" s="51"/>
      <c r="Q57" s="16"/>
      <c r="R57" s="51"/>
      <c r="S57" s="16"/>
      <c r="T57" s="16"/>
      <c r="U57" s="171" t="s">
        <v>123</v>
      </c>
      <c r="V57" s="171"/>
      <c r="W57" s="172"/>
      <c r="X57" s="172"/>
      <c r="Y57"/>
    </row>
    <row r="58" spans="1:25" s="47" customFormat="1" ht="141.6" hidden="1" customHeight="1" x14ac:dyDescent="0.15">
      <c r="A58" s="45"/>
      <c r="B58" s="46"/>
      <c r="C58" s="46"/>
      <c r="D58" s="45"/>
      <c r="E58" s="45"/>
      <c r="F58" s="45"/>
      <c r="G58" s="45"/>
      <c r="H58" s="46"/>
      <c r="I58" s="45"/>
      <c r="J58" s="46"/>
      <c r="K58" s="46"/>
      <c r="L58" s="46"/>
      <c r="M58" s="46"/>
      <c r="N58" s="46"/>
      <c r="O58" s="45"/>
      <c r="P58" s="46"/>
      <c r="Q58" s="45"/>
      <c r="R58" s="46"/>
      <c r="S58" s="45"/>
      <c r="T58" s="45"/>
      <c r="U58" s="179"/>
      <c r="V58" s="179"/>
      <c r="W58" s="180"/>
      <c r="X58" s="180"/>
      <c r="Y58" s="119"/>
    </row>
    <row r="59" spans="1:25" s="47" customFormat="1" ht="141.6" hidden="1" customHeight="1" x14ac:dyDescent="0.15">
      <c r="A59" s="45"/>
      <c r="B59" s="46"/>
      <c r="C59" s="46"/>
      <c r="D59" s="45"/>
      <c r="E59" s="45"/>
      <c r="F59" s="45"/>
      <c r="G59" s="45"/>
      <c r="H59" s="46"/>
      <c r="I59" s="45"/>
      <c r="J59" s="46"/>
      <c r="K59" s="46"/>
      <c r="L59" s="46"/>
      <c r="M59" s="46"/>
      <c r="N59" s="46"/>
      <c r="O59" s="45"/>
      <c r="P59" s="46"/>
      <c r="Q59" s="45"/>
      <c r="R59" s="46"/>
      <c r="S59" s="45"/>
      <c r="T59" s="45"/>
      <c r="U59" s="179"/>
      <c r="V59" s="179"/>
      <c r="W59" s="180"/>
      <c r="X59" s="180"/>
      <c r="Y59" s="119"/>
    </row>
    <row r="60" spans="1:25" s="47" customFormat="1" ht="141.6" hidden="1" customHeight="1" x14ac:dyDescent="0.15">
      <c r="A60" s="45"/>
      <c r="B60" s="46"/>
      <c r="C60" s="46"/>
      <c r="D60" s="45"/>
      <c r="E60" s="45"/>
      <c r="F60" s="45"/>
      <c r="G60" s="45"/>
      <c r="H60" s="46"/>
      <c r="I60" s="45"/>
      <c r="J60" s="46"/>
      <c r="K60" s="46"/>
      <c r="L60" s="46"/>
      <c r="M60" s="46"/>
      <c r="N60" s="46"/>
      <c r="O60" s="45"/>
      <c r="P60" s="46"/>
      <c r="Q60" s="45"/>
      <c r="R60" s="46"/>
      <c r="S60" s="45"/>
      <c r="T60" s="45"/>
      <c r="U60" s="179"/>
      <c r="V60" s="179"/>
      <c r="W60" s="180"/>
      <c r="X60" s="180"/>
      <c r="Y60" s="119"/>
    </row>
    <row r="61" spans="1:25" s="47" customFormat="1" ht="141.6" hidden="1" customHeight="1" x14ac:dyDescent="0.15">
      <c r="A61" s="45"/>
      <c r="B61" s="46"/>
      <c r="C61" s="46"/>
      <c r="D61" s="45"/>
      <c r="E61" s="45"/>
      <c r="F61" s="45"/>
      <c r="G61" s="45"/>
      <c r="H61" s="46"/>
      <c r="I61" s="45"/>
      <c r="J61" s="46"/>
      <c r="K61" s="46"/>
      <c r="L61" s="46"/>
      <c r="M61" s="46"/>
      <c r="N61" s="46"/>
      <c r="O61" s="45"/>
      <c r="P61" s="46"/>
      <c r="Q61" s="45"/>
      <c r="R61" s="46"/>
      <c r="S61" s="45"/>
      <c r="T61" s="45"/>
      <c r="U61" s="179"/>
      <c r="V61" s="179"/>
      <c r="W61" s="180"/>
      <c r="X61" s="180"/>
      <c r="Y61" s="119"/>
    </row>
    <row r="62" spans="1:25" s="47" customFormat="1" ht="141.6" hidden="1" customHeight="1" x14ac:dyDescent="0.15">
      <c r="A62" s="45"/>
      <c r="B62" s="46"/>
      <c r="C62" s="46"/>
      <c r="D62" s="45"/>
      <c r="E62" s="45"/>
      <c r="F62" s="45"/>
      <c r="G62" s="45"/>
      <c r="H62" s="46"/>
      <c r="I62" s="45"/>
      <c r="J62" s="46"/>
      <c r="K62" s="46"/>
      <c r="L62" s="46"/>
      <c r="M62" s="46"/>
      <c r="N62" s="46"/>
      <c r="O62" s="45"/>
      <c r="P62" s="46"/>
      <c r="Q62" s="45"/>
      <c r="R62" s="46"/>
      <c r="S62" s="45"/>
      <c r="T62" s="45"/>
      <c r="U62" s="179"/>
      <c r="V62" s="179"/>
      <c r="W62" s="180"/>
      <c r="X62" s="180"/>
      <c r="Y62" s="119"/>
    </row>
    <row r="63" spans="1:25" s="47" customFormat="1" ht="141.6" hidden="1" customHeight="1" x14ac:dyDescent="0.15">
      <c r="A63" s="45"/>
      <c r="B63" s="46"/>
      <c r="C63" s="46"/>
      <c r="D63" s="45"/>
      <c r="E63" s="45"/>
      <c r="F63" s="45"/>
      <c r="G63" s="45"/>
      <c r="H63" s="46"/>
      <c r="I63" s="45"/>
      <c r="J63" s="46"/>
      <c r="K63" s="46"/>
      <c r="L63" s="46"/>
      <c r="M63" s="46"/>
      <c r="N63" s="46"/>
      <c r="O63" s="45"/>
      <c r="P63" s="46"/>
      <c r="Q63" s="45"/>
      <c r="R63" s="46"/>
      <c r="S63" s="45"/>
      <c r="T63" s="45"/>
      <c r="U63" s="179"/>
      <c r="V63" s="179"/>
      <c r="W63" s="180"/>
      <c r="X63" s="180"/>
      <c r="Y63" s="119"/>
    </row>
    <row r="64" spans="1:25" s="47" customFormat="1" ht="141.6" hidden="1" customHeight="1" x14ac:dyDescent="0.15">
      <c r="A64" s="45"/>
      <c r="B64" s="46"/>
      <c r="C64" s="46"/>
      <c r="D64" s="45"/>
      <c r="E64" s="45"/>
      <c r="F64" s="45"/>
      <c r="G64" s="45"/>
      <c r="H64" s="46"/>
      <c r="I64" s="45"/>
      <c r="J64" s="46"/>
      <c r="K64" s="46"/>
      <c r="L64" s="46"/>
      <c r="M64" s="46"/>
      <c r="N64" s="46"/>
      <c r="O64" s="45"/>
      <c r="P64" s="46"/>
      <c r="Q64" s="45"/>
      <c r="R64" s="46"/>
      <c r="S64" s="45"/>
      <c r="T64" s="45"/>
      <c r="U64" s="179"/>
      <c r="V64" s="179"/>
      <c r="W64" s="180"/>
      <c r="X64" s="180"/>
      <c r="Y64" s="119"/>
    </row>
    <row r="65" spans="1:25" s="47" customFormat="1" ht="141.6" hidden="1" customHeight="1" x14ac:dyDescent="0.15">
      <c r="A65" s="45"/>
      <c r="B65" s="46"/>
      <c r="C65" s="46"/>
      <c r="D65" s="45"/>
      <c r="E65" s="45"/>
      <c r="F65" s="45"/>
      <c r="G65" s="45"/>
      <c r="H65" s="46"/>
      <c r="I65" s="45"/>
      <c r="J65" s="46"/>
      <c r="K65" s="46"/>
      <c r="L65" s="46"/>
      <c r="M65" s="46"/>
      <c r="N65" s="46"/>
      <c r="O65" s="45"/>
      <c r="P65" s="46"/>
      <c r="Q65" s="45"/>
      <c r="R65" s="46"/>
      <c r="S65" s="45"/>
      <c r="T65" s="45"/>
      <c r="U65" s="179"/>
      <c r="V65" s="179"/>
      <c r="W65" s="180"/>
      <c r="X65" s="180"/>
      <c r="Y65" s="119"/>
    </row>
    <row r="66" spans="1:25" s="47" customFormat="1" ht="141.6" hidden="1" customHeight="1" x14ac:dyDescent="0.2">
      <c r="A66" s="45"/>
      <c r="B66" s="46"/>
      <c r="C66" s="46"/>
      <c r="D66" s="45"/>
      <c r="E66" s="45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45"/>
      <c r="U66" s="179"/>
      <c r="V66" s="179"/>
      <c r="W66" s="180"/>
      <c r="X66" s="180"/>
      <c r="Y66" s="119"/>
    </row>
    <row r="67" spans="1:25" ht="141.6" hidden="1" customHeight="1" x14ac:dyDescent="0.2">
      <c r="B67" s="389"/>
      <c r="C67" s="389"/>
      <c r="E67" s="122" t="str">
        <f>JURNAL_LKH!A208</f>
        <v>VII A</v>
      </c>
      <c r="F67" s="126">
        <f>DATA!D36</f>
        <v>24</v>
      </c>
      <c r="G67" s="126">
        <f>DATA!D37</f>
        <v>0</v>
      </c>
      <c r="K67" s="389"/>
      <c r="L67" s="389"/>
      <c r="M67" s="389"/>
      <c r="N67" s="121"/>
      <c r="P67" s="121"/>
      <c r="R67" s="121"/>
    </row>
    <row r="68" spans="1:25" ht="141.6" hidden="1" customHeight="1" x14ac:dyDescent="0.2">
      <c r="B68" s="389"/>
      <c r="C68" s="389"/>
      <c r="E68" s="122" t="str">
        <f>JURNAL_LKH!A209</f>
        <v>VII B</v>
      </c>
      <c r="F68" s="126">
        <f>DATA!E36</f>
        <v>0</v>
      </c>
      <c r="G68" s="126">
        <f>DATA!E37</f>
        <v>20</v>
      </c>
      <c r="K68" s="389"/>
      <c r="L68" s="389"/>
      <c r="M68" s="389"/>
      <c r="N68" s="121"/>
      <c r="P68" s="121"/>
      <c r="R68" s="121"/>
    </row>
    <row r="69" spans="1:25" ht="141.6" hidden="1" customHeight="1" x14ac:dyDescent="0.2">
      <c r="B69" s="389"/>
      <c r="C69" s="389"/>
      <c r="E69" s="122">
        <f>JURNAL_LKH!A210</f>
        <v>0</v>
      </c>
      <c r="F69" s="126">
        <f>DATA!F36</f>
        <v>0</v>
      </c>
      <c r="G69" s="126">
        <f>DATA!F37</f>
        <v>0</v>
      </c>
      <c r="K69" s="389"/>
      <c r="L69" s="389"/>
      <c r="M69" s="389"/>
      <c r="N69" s="121"/>
      <c r="P69" s="121"/>
      <c r="R69" s="121"/>
    </row>
    <row r="70" spans="1:25" ht="141.6" hidden="1" customHeight="1" x14ac:dyDescent="0.2">
      <c r="B70" s="123"/>
      <c r="C70" s="123"/>
      <c r="E70" s="122">
        <f>JURNAL_LKH!A211</f>
        <v>0</v>
      </c>
      <c r="F70" s="126">
        <f>DATA!G36</f>
        <v>0</v>
      </c>
      <c r="G70" s="126">
        <f>DATA!G37</f>
        <v>0</v>
      </c>
      <c r="K70" s="123"/>
      <c r="M70" s="123"/>
      <c r="N70" s="121"/>
      <c r="P70" s="121"/>
      <c r="R70" s="121"/>
    </row>
    <row r="71" spans="1:25" ht="141.6" hidden="1" customHeight="1" x14ac:dyDescent="0.2">
      <c r="B71" s="389"/>
      <c r="C71" s="389"/>
      <c r="E71" s="122" t="str">
        <f>JURNAL_LKH!A212</f>
        <v>VIII A</v>
      </c>
      <c r="F71" s="126">
        <f>DATA!H36</f>
        <v>22</v>
      </c>
      <c r="G71" s="126">
        <f>DATA!H37</f>
        <v>0</v>
      </c>
      <c r="K71" s="389"/>
      <c r="L71" s="389"/>
      <c r="M71" s="389"/>
      <c r="N71" s="121"/>
      <c r="P71" s="121"/>
      <c r="R71" s="121"/>
    </row>
    <row r="72" spans="1:25" ht="141.6" hidden="1" customHeight="1" x14ac:dyDescent="0.2">
      <c r="B72" s="389"/>
      <c r="C72" s="389"/>
      <c r="E72" s="122" t="str">
        <f>JURNAL_LKH!A213</f>
        <v>VIII B</v>
      </c>
      <c r="F72" s="126">
        <f>DATA!I36</f>
        <v>12</v>
      </c>
      <c r="G72" s="126">
        <f>DATA!I37</f>
        <v>11</v>
      </c>
      <c r="K72" s="389"/>
      <c r="L72" s="389"/>
      <c r="M72" s="389"/>
      <c r="N72" s="121"/>
      <c r="P72" s="121"/>
      <c r="R72" s="121"/>
    </row>
    <row r="73" spans="1:25" ht="141.6" hidden="1" customHeight="1" x14ac:dyDescent="0.2">
      <c r="B73" s="389"/>
      <c r="C73" s="389"/>
      <c r="E73" s="122">
        <f>JURNAL_LKH!A214</f>
        <v>0</v>
      </c>
      <c r="F73" s="126">
        <f>DATA!J36</f>
        <v>0</v>
      </c>
      <c r="G73" s="126">
        <f>DATA!J37</f>
        <v>0</v>
      </c>
      <c r="K73" s="389"/>
      <c r="L73" s="389"/>
      <c r="M73" s="389"/>
      <c r="N73" s="121"/>
      <c r="P73" s="121"/>
      <c r="R73" s="121"/>
    </row>
    <row r="74" spans="1:25" ht="141.6" hidden="1" customHeight="1" x14ac:dyDescent="0.2">
      <c r="B74" s="389"/>
      <c r="C74" s="389"/>
      <c r="E74" s="122">
        <f>JURNAL_LKH!A215</f>
        <v>0</v>
      </c>
      <c r="F74" s="126">
        <f>DATA!K36</f>
        <v>0</v>
      </c>
      <c r="G74" s="126">
        <f>DATA!K37</f>
        <v>0</v>
      </c>
      <c r="K74" s="389"/>
      <c r="L74" s="389"/>
      <c r="M74" s="389"/>
      <c r="N74" s="121"/>
      <c r="P74" s="121"/>
      <c r="R74" s="121"/>
    </row>
    <row r="75" spans="1:25" ht="141.6" hidden="1" customHeight="1" x14ac:dyDescent="0.2">
      <c r="E75" s="122">
        <f>JURNAL_LKH!A216</f>
        <v>0</v>
      </c>
      <c r="F75" s="126">
        <f>DATA!L36</f>
        <v>0</v>
      </c>
      <c r="G75" s="126">
        <f>DATA!L37</f>
        <v>0</v>
      </c>
      <c r="N75" s="121"/>
      <c r="P75" s="121"/>
      <c r="R75" s="121"/>
    </row>
    <row r="76" spans="1:25" ht="141.6" hidden="1" customHeight="1" x14ac:dyDescent="0.2">
      <c r="E76" s="122" t="str">
        <f>JURNAL_LKH!A217</f>
        <v>IX A</v>
      </c>
      <c r="F76" s="126">
        <f>DATA!M36</f>
        <v>23</v>
      </c>
      <c r="G76" s="126">
        <f>DATA!M37</f>
        <v>0</v>
      </c>
      <c r="N76" s="121"/>
      <c r="P76" s="121"/>
      <c r="R76" s="121"/>
    </row>
    <row r="77" spans="1:25" ht="141.6" hidden="1" customHeight="1" x14ac:dyDescent="0.2">
      <c r="E77" s="122" t="str">
        <f>JURNAL_LKH!A218</f>
        <v>IX B</v>
      </c>
      <c r="F77" s="126">
        <f>DATA!N36</f>
        <v>0</v>
      </c>
      <c r="G77" s="126">
        <f>DATA!N37</f>
        <v>31</v>
      </c>
      <c r="N77" s="121"/>
      <c r="P77" s="121"/>
      <c r="R77" s="121"/>
    </row>
    <row r="78" spans="1:25" ht="141.6" hidden="1" customHeight="1" x14ac:dyDescent="0.2">
      <c r="E78" s="122" t="str">
        <f>JURNAL_LKH!A219</f>
        <v>IX C</v>
      </c>
      <c r="F78" s="126">
        <f>DATA!O36</f>
        <v>0</v>
      </c>
      <c r="G78" s="126">
        <f>DATA!O37</f>
        <v>0</v>
      </c>
      <c r="N78" s="121"/>
      <c r="P78" s="121"/>
      <c r="R78" s="121"/>
    </row>
    <row r="79" spans="1:25" ht="141.6" hidden="1" customHeight="1" x14ac:dyDescent="0.2">
      <c r="E79" s="122">
        <f>JURNAL_LKH!A220</f>
        <v>0</v>
      </c>
      <c r="F79" s="126">
        <f>DATA!P36</f>
        <v>0</v>
      </c>
      <c r="G79" s="126">
        <f>DATA!P37</f>
        <v>0</v>
      </c>
      <c r="N79" s="121"/>
      <c r="P79" s="121"/>
      <c r="R79" s="121"/>
    </row>
    <row r="80" spans="1:25" ht="141.6" hidden="1" customHeight="1" x14ac:dyDescent="0.2">
      <c r="E80" s="122">
        <f>JURNAL_LKH!A221</f>
        <v>0</v>
      </c>
      <c r="F80" s="126">
        <f>DATA!Q36</f>
        <v>0</v>
      </c>
      <c r="G80" s="126">
        <f>DATA!Q37</f>
        <v>0</v>
      </c>
    </row>
    <row r="81" spans="5:7" ht="141.6" hidden="1" customHeight="1" x14ac:dyDescent="0.2">
      <c r="E81" s="122" t="str">
        <f>JURNAL_LKH!A222</f>
        <v>OP</v>
      </c>
      <c r="F81" s="121">
        <f>DATA!J41</f>
        <v>0</v>
      </c>
      <c r="G81" s="121">
        <f>DATA!J42</f>
        <v>0</v>
      </c>
    </row>
    <row r="82" spans="5:7" ht="141.6" hidden="1" customHeight="1" x14ac:dyDescent="0.2">
      <c r="E82" s="122"/>
      <c r="F82" s="121">
        <f>DATA!K41</f>
        <v>0</v>
      </c>
      <c r="G82" s="121">
        <f>DATA!K42</f>
        <v>0</v>
      </c>
    </row>
    <row r="83" spans="5:7" ht="141.6" hidden="1" customHeight="1" x14ac:dyDescent="0.2"/>
    <row r="84" spans="5:7" ht="141.6" hidden="1" customHeight="1" x14ac:dyDescent="0.2"/>
    <row r="85" spans="5:7" ht="141.6" hidden="1" customHeight="1" x14ac:dyDescent="0.2"/>
    <row r="86" spans="5:7" ht="141.6" hidden="1" customHeight="1" x14ac:dyDescent="0.2"/>
    <row r="87" spans="5:7" ht="141.6" hidden="1" customHeight="1" x14ac:dyDescent="0.2"/>
    <row r="88" spans="5:7" ht="141.6" hidden="1" customHeight="1" x14ac:dyDescent="0.2"/>
    <row r="89" spans="5:7" ht="141.6" hidden="1" customHeight="1" x14ac:dyDescent="0.2"/>
    <row r="90" spans="5:7" ht="141.6" hidden="1" customHeight="1" x14ac:dyDescent="0.2"/>
    <row r="91" spans="5:7" ht="141.6" hidden="1" customHeight="1" x14ac:dyDescent="0.2"/>
    <row r="92" spans="5:7" ht="141.6" hidden="1" customHeight="1" x14ac:dyDescent="0.2"/>
    <row r="93" spans="5:7" ht="141.6" hidden="1" customHeight="1" x14ac:dyDescent="0.2"/>
    <row r="94" spans="5:7" ht="141.6" hidden="1" customHeight="1" x14ac:dyDescent="0.2"/>
    <row r="95" spans="5:7" ht="141.6" hidden="1" customHeight="1" x14ac:dyDescent="0.2"/>
    <row r="96" spans="5:7" ht="141.6" hidden="1" customHeight="1" x14ac:dyDescent="0.2"/>
    <row r="97" ht="141.6" hidden="1" customHeight="1" x14ac:dyDescent="0.2"/>
    <row r="98" ht="141.6" hidden="1" customHeight="1" x14ac:dyDescent="0.2"/>
    <row r="99" ht="141.6" hidden="1" customHeight="1" x14ac:dyDescent="0.2"/>
    <row r="100" ht="141.6" hidden="1" customHeight="1" x14ac:dyDescent="0.2"/>
    <row r="101" ht="141.6" hidden="1" customHeight="1" x14ac:dyDescent="0.2"/>
    <row r="102" ht="141.6" hidden="1" customHeight="1" x14ac:dyDescent="0.2"/>
    <row r="103" ht="141.6" hidden="1" customHeight="1" x14ac:dyDescent="0.2"/>
    <row r="104" ht="141.6" hidden="1" customHeight="1" x14ac:dyDescent="0.2"/>
    <row r="105" ht="141.6" hidden="1" customHeight="1" x14ac:dyDescent="0.2"/>
    <row r="106" ht="141.6" hidden="1" customHeight="1" x14ac:dyDescent="0.2"/>
    <row r="107" ht="141.6" hidden="1" customHeight="1" x14ac:dyDescent="0.2"/>
    <row r="108" ht="141.6" hidden="1" customHeight="1" x14ac:dyDescent="0.2"/>
    <row r="109" ht="141.6" hidden="1" customHeight="1" x14ac:dyDescent="0.2"/>
    <row r="110" ht="141.6" hidden="1" customHeight="1" x14ac:dyDescent="0.2"/>
    <row r="111" ht="141.6" hidden="1" customHeight="1" x14ac:dyDescent="0.2"/>
    <row r="112" ht="141.6" hidden="1" customHeight="1" x14ac:dyDescent="0.2"/>
    <row r="113" ht="141.6" hidden="1" customHeight="1" x14ac:dyDescent="0.2"/>
    <row r="114" ht="141.6" hidden="1" customHeight="1" x14ac:dyDescent="0.2"/>
    <row r="115" ht="141.6" hidden="1" customHeight="1" x14ac:dyDescent="0.2"/>
    <row r="116" ht="141.6" hidden="1" customHeight="1" x14ac:dyDescent="0.2"/>
    <row r="117" ht="141.6" hidden="1" customHeight="1" x14ac:dyDescent="0.2"/>
    <row r="118" ht="141.6" hidden="1" customHeight="1" x14ac:dyDescent="0.2"/>
    <row r="119" ht="141.6" hidden="1" customHeight="1" x14ac:dyDescent="0.2"/>
    <row r="120" ht="141.6" hidden="1" customHeight="1" x14ac:dyDescent="0.2"/>
    <row r="121" ht="141.6" hidden="1" customHeight="1" x14ac:dyDescent="0.2"/>
    <row r="122" ht="141.6" hidden="1" customHeight="1" x14ac:dyDescent="0.2"/>
    <row r="123" ht="141.6" hidden="1" customHeight="1" x14ac:dyDescent="0.2"/>
    <row r="124" ht="141.6" hidden="1" customHeight="1" x14ac:dyDescent="0.2"/>
    <row r="125" ht="141.6" hidden="1" customHeight="1" x14ac:dyDescent="0.2"/>
    <row r="126" ht="141.6" hidden="1" customHeight="1" x14ac:dyDescent="0.2"/>
    <row r="127" ht="141.6" hidden="1" customHeight="1" x14ac:dyDescent="0.2"/>
    <row r="128" ht="141.6" hidden="1" customHeight="1" x14ac:dyDescent="0.2"/>
    <row r="129" ht="141.6" hidden="1" customHeight="1" x14ac:dyDescent="0.2"/>
    <row r="130" ht="141.6" hidden="1" customHeight="1" x14ac:dyDescent="0.2"/>
    <row r="131" ht="141.6" hidden="1" customHeight="1" x14ac:dyDescent="0.2"/>
    <row r="132" ht="141.6" hidden="1" customHeight="1" x14ac:dyDescent="0.2"/>
    <row r="133" ht="141.6" hidden="1" customHeight="1" x14ac:dyDescent="0.2"/>
    <row r="134" ht="141.6" hidden="1" customHeight="1" x14ac:dyDescent="0.2"/>
    <row r="135" ht="141.6" hidden="1" customHeight="1" x14ac:dyDescent="0.2"/>
    <row r="136" ht="141.6" hidden="1" customHeight="1" x14ac:dyDescent="0.2"/>
    <row r="137" ht="141.6" hidden="1" customHeight="1" x14ac:dyDescent="0.2"/>
    <row r="138" ht="141.6" hidden="1" customHeight="1" x14ac:dyDescent="0.2"/>
    <row r="139" ht="141.6" hidden="1" customHeight="1" x14ac:dyDescent="0.2"/>
    <row r="140" ht="141.6" hidden="1" customHeight="1" x14ac:dyDescent="0.2"/>
    <row r="141" ht="141.6" hidden="1" customHeight="1" x14ac:dyDescent="0.2"/>
    <row r="142" ht="141.6" hidden="1" customHeight="1" x14ac:dyDescent="0.2"/>
    <row r="143" ht="141.6" hidden="1" customHeight="1" x14ac:dyDescent="0.2"/>
    <row r="144" ht="141.6" hidden="1" customHeight="1" x14ac:dyDescent="0.2"/>
    <row r="145" ht="141.6" hidden="1" customHeight="1" x14ac:dyDescent="0.2"/>
    <row r="146" ht="141.6" hidden="1" customHeight="1" x14ac:dyDescent="0.2"/>
    <row r="147" ht="141.6" hidden="1" customHeight="1" x14ac:dyDescent="0.2"/>
    <row r="148" ht="141.6" hidden="1" customHeight="1" x14ac:dyDescent="0.2"/>
    <row r="149" ht="141.6" hidden="1" customHeight="1" x14ac:dyDescent="0.2"/>
    <row r="150" ht="141.6" hidden="1" customHeight="1" x14ac:dyDescent="0.2"/>
    <row r="151" ht="141.6" hidden="1" customHeight="1" x14ac:dyDescent="0.2"/>
    <row r="152" ht="141.6" hidden="1" customHeight="1" x14ac:dyDescent="0.2"/>
    <row r="153" ht="141.6" hidden="1" customHeight="1" x14ac:dyDescent="0.2"/>
    <row r="154" ht="141.6" hidden="1" customHeight="1" x14ac:dyDescent="0.2"/>
    <row r="155" ht="141.6" hidden="1" customHeight="1" x14ac:dyDescent="0.2"/>
    <row r="156" ht="141.6" hidden="1" customHeight="1" x14ac:dyDescent="0.2"/>
    <row r="157" ht="141.6" hidden="1" customHeight="1" x14ac:dyDescent="0.2"/>
    <row r="158" ht="141.6" hidden="1" customHeight="1" x14ac:dyDescent="0.2"/>
    <row r="159" ht="141.6" hidden="1" customHeight="1" x14ac:dyDescent="0.2"/>
    <row r="160" ht="141.6" hidden="1" customHeight="1" x14ac:dyDescent="0.2"/>
    <row r="161" ht="141.6" hidden="1" customHeight="1" x14ac:dyDescent="0.2"/>
    <row r="162" ht="141.6" hidden="1" customHeight="1" x14ac:dyDescent="0.2"/>
    <row r="163" ht="141.6" hidden="1" customHeight="1" x14ac:dyDescent="0.2"/>
    <row r="164" ht="141.6" hidden="1" customHeight="1" x14ac:dyDescent="0.2"/>
    <row r="165" ht="141.6" hidden="1" customHeight="1" x14ac:dyDescent="0.2"/>
    <row r="166" ht="141.6" hidden="1" customHeight="1" x14ac:dyDescent="0.2"/>
    <row r="167" ht="141.6" hidden="1" customHeight="1" x14ac:dyDescent="0.2"/>
    <row r="168" ht="141.6" hidden="1" customHeight="1" x14ac:dyDescent="0.2"/>
    <row r="169" ht="141.6" hidden="1" customHeight="1" x14ac:dyDescent="0.2"/>
    <row r="170" ht="141.6" hidden="1" customHeight="1" x14ac:dyDescent="0.2"/>
    <row r="171" ht="141.6" hidden="1" customHeight="1" x14ac:dyDescent="0.2"/>
    <row r="172" ht="141.6" hidden="1" customHeight="1" x14ac:dyDescent="0.2"/>
    <row r="173" ht="141.6" hidden="1" customHeight="1" x14ac:dyDescent="0.2"/>
    <row r="174" ht="141.6" hidden="1" customHeight="1" x14ac:dyDescent="0.2"/>
    <row r="175" ht="141.6" hidden="1" customHeight="1" x14ac:dyDescent="0.2"/>
    <row r="176" ht="141.6" hidden="1" customHeight="1" x14ac:dyDescent="0.2"/>
    <row r="177" ht="141.6" hidden="1" customHeight="1" x14ac:dyDescent="0.2"/>
    <row r="178" ht="141.6" hidden="1" customHeight="1" x14ac:dyDescent="0.2"/>
    <row r="179" ht="141.6" hidden="1" customHeight="1" x14ac:dyDescent="0.2"/>
    <row r="180" ht="141.6" hidden="1" customHeight="1" x14ac:dyDescent="0.2"/>
    <row r="181" ht="141.6" hidden="1" customHeight="1" x14ac:dyDescent="0.2"/>
    <row r="182" ht="141.6" hidden="1" customHeight="1" x14ac:dyDescent="0.2"/>
    <row r="183" ht="141.6" hidden="1" customHeight="1" x14ac:dyDescent="0.2"/>
    <row r="184" ht="141.6" hidden="1" customHeight="1" x14ac:dyDescent="0.2"/>
    <row r="185" ht="141.6" hidden="1" customHeight="1" x14ac:dyDescent="0.2"/>
    <row r="186" ht="141.6" hidden="1" customHeight="1" x14ac:dyDescent="0.2"/>
    <row r="187" ht="141.6" hidden="1" customHeight="1" x14ac:dyDescent="0.2"/>
    <row r="188" ht="141.6" hidden="1" customHeight="1" x14ac:dyDescent="0.2"/>
    <row r="189" ht="141.6" hidden="1" customHeight="1" x14ac:dyDescent="0.2"/>
    <row r="190" ht="141.6" hidden="1" customHeight="1" x14ac:dyDescent="0.2"/>
    <row r="191" ht="141.6" hidden="1" customHeight="1" x14ac:dyDescent="0.2"/>
    <row r="192" ht="141.6" hidden="1" customHeight="1" x14ac:dyDescent="0.2"/>
    <row r="193" ht="141.6" hidden="1" customHeight="1" x14ac:dyDescent="0.2"/>
    <row r="194" ht="141.6" hidden="1" customHeight="1" x14ac:dyDescent="0.2"/>
    <row r="195" ht="141.6" hidden="1" customHeight="1" x14ac:dyDescent="0.2"/>
    <row r="196" ht="141.6" hidden="1" customHeight="1" x14ac:dyDescent="0.2"/>
    <row r="197" ht="141.6" hidden="1" customHeight="1" x14ac:dyDescent="0.2"/>
    <row r="198" ht="141.6" hidden="1" customHeight="1" x14ac:dyDescent="0.2"/>
    <row r="199" ht="141.6" hidden="1" customHeight="1" x14ac:dyDescent="0.2"/>
    <row r="200" ht="141.6" hidden="1" customHeight="1" x14ac:dyDescent="0.2"/>
    <row r="201" ht="141.6" hidden="1" customHeight="1" x14ac:dyDescent="0.2"/>
    <row r="202" ht="141.6" hidden="1" customHeight="1" x14ac:dyDescent="0.2"/>
    <row r="203" ht="141.6" hidden="1" customHeight="1" x14ac:dyDescent="0.2"/>
    <row r="204" ht="141.6" hidden="1" customHeight="1" x14ac:dyDescent="0.2"/>
    <row r="205" ht="141.6" hidden="1" customHeight="1" x14ac:dyDescent="0.2"/>
    <row r="206" ht="141.6" hidden="1" customHeight="1" x14ac:dyDescent="0.2"/>
    <row r="207" ht="141.6" hidden="1" customHeight="1" x14ac:dyDescent="0.2"/>
    <row r="208" ht="141.6" hidden="1" customHeight="1" x14ac:dyDescent="0.2"/>
    <row r="209" ht="141.6" hidden="1" customHeight="1" x14ac:dyDescent="0.2"/>
    <row r="210" ht="141.6" hidden="1" customHeight="1" x14ac:dyDescent="0.2"/>
    <row r="211" ht="141.6" hidden="1" customHeight="1" x14ac:dyDescent="0.2"/>
    <row r="212" ht="141.6" hidden="1" customHeight="1" x14ac:dyDescent="0.2"/>
    <row r="213" ht="141.6" hidden="1" customHeight="1" x14ac:dyDescent="0.2"/>
    <row r="214" ht="141.6" hidden="1" customHeight="1" x14ac:dyDescent="0.2"/>
    <row r="215" ht="141.6" hidden="1" customHeight="1" x14ac:dyDescent="0.2"/>
    <row r="216" ht="141.6" hidden="1" customHeight="1" x14ac:dyDescent="0.2"/>
    <row r="217" ht="141.6" hidden="1" customHeight="1" x14ac:dyDescent="0.2"/>
    <row r="218" ht="141.6" hidden="1" customHeight="1" x14ac:dyDescent="0.2"/>
    <row r="219" ht="141.6" hidden="1" customHeight="1" x14ac:dyDescent="0.2"/>
    <row r="220" ht="141.6" hidden="1" customHeight="1" x14ac:dyDescent="0.2"/>
    <row r="221" ht="141.6" hidden="1" customHeight="1" x14ac:dyDescent="0.2"/>
    <row r="222" ht="141.6" hidden="1" customHeight="1" x14ac:dyDescent="0.2"/>
    <row r="223" ht="141.6" hidden="1" customHeight="1" x14ac:dyDescent="0.2"/>
    <row r="224" ht="141.6" hidden="1" customHeight="1" x14ac:dyDescent="0.2"/>
    <row r="225" ht="141.6" hidden="1" customHeight="1" x14ac:dyDescent="0.2"/>
    <row r="226" ht="141.6" hidden="1" customHeight="1" x14ac:dyDescent="0.2"/>
    <row r="227" ht="141.6" hidden="1" customHeight="1" x14ac:dyDescent="0.2"/>
    <row r="228" ht="141.6" hidden="1" customHeight="1" x14ac:dyDescent="0.2"/>
    <row r="229" ht="141.6" hidden="1" customHeight="1" x14ac:dyDescent="0.2"/>
    <row r="230" ht="141.6" hidden="1" customHeight="1" x14ac:dyDescent="0.2"/>
    <row r="231" ht="141.6" hidden="1" customHeight="1" x14ac:dyDescent="0.2"/>
    <row r="232" ht="141.6" hidden="1" customHeight="1" x14ac:dyDescent="0.2"/>
    <row r="233" ht="141.6" hidden="1" customHeight="1" x14ac:dyDescent="0.2"/>
    <row r="234" ht="141.6" hidden="1" customHeight="1" x14ac:dyDescent="0.2"/>
    <row r="235" ht="141.6" hidden="1" customHeight="1" x14ac:dyDescent="0.2"/>
    <row r="236" ht="141.6" hidden="1" customHeight="1" x14ac:dyDescent="0.2"/>
    <row r="237" ht="141.6" hidden="1" customHeight="1" x14ac:dyDescent="0.2"/>
    <row r="238" ht="141.6" hidden="1" customHeight="1" x14ac:dyDescent="0.2"/>
    <row r="239" ht="141.6" hidden="1" customHeight="1" x14ac:dyDescent="0.2"/>
    <row r="240" ht="141.6" hidden="1" customHeight="1" x14ac:dyDescent="0.2"/>
    <row r="241" ht="141.6" hidden="1" customHeight="1" x14ac:dyDescent="0.2"/>
    <row r="242" ht="141.6" hidden="1" customHeight="1" x14ac:dyDescent="0.2"/>
    <row r="243" ht="141.6" hidden="1" customHeight="1" x14ac:dyDescent="0.2"/>
    <row r="244" ht="141.6" hidden="1" customHeight="1" x14ac:dyDescent="0.2"/>
    <row r="245" ht="141.6" hidden="1" customHeight="1" x14ac:dyDescent="0.2"/>
    <row r="246" ht="141.6" hidden="1" customHeight="1" x14ac:dyDescent="0.2"/>
    <row r="247" ht="141.6" hidden="1" customHeight="1" x14ac:dyDescent="0.2"/>
    <row r="248" ht="141.6" hidden="1" customHeight="1" x14ac:dyDescent="0.2"/>
    <row r="249" ht="141.6" hidden="1" customHeight="1" x14ac:dyDescent="0.2"/>
    <row r="250" ht="141.6" hidden="1" customHeight="1" x14ac:dyDescent="0.2"/>
    <row r="251" ht="141.6" hidden="1" customHeight="1" x14ac:dyDescent="0.2"/>
    <row r="252" ht="141.6" hidden="1" customHeight="1" x14ac:dyDescent="0.2"/>
    <row r="253" ht="141.6" hidden="1" customHeight="1" x14ac:dyDescent="0.2"/>
    <row r="254" ht="141.6" hidden="1" customHeight="1" x14ac:dyDescent="0.2"/>
    <row r="255" ht="141.6" hidden="1" customHeight="1" x14ac:dyDescent="0.2"/>
    <row r="256" ht="141.6" hidden="1" customHeight="1" x14ac:dyDescent="0.2"/>
    <row r="257" ht="141.6" hidden="1" customHeight="1" x14ac:dyDescent="0.2"/>
    <row r="258" ht="141.6" hidden="1" customHeight="1" x14ac:dyDescent="0.2"/>
    <row r="259" ht="141.6" hidden="1" customHeight="1" x14ac:dyDescent="0.2"/>
    <row r="260" ht="141.6" hidden="1" customHeight="1" x14ac:dyDescent="0.2"/>
    <row r="261" ht="141.6" hidden="1" customHeight="1" x14ac:dyDescent="0.2"/>
    <row r="262" ht="141.6" hidden="1" customHeight="1" x14ac:dyDescent="0.2"/>
    <row r="263" ht="141.6" hidden="1" customHeight="1" x14ac:dyDescent="0.2"/>
    <row r="264" ht="141.6" hidden="1" customHeight="1" x14ac:dyDescent="0.2"/>
    <row r="265" ht="141.6" hidden="1" customHeight="1" x14ac:dyDescent="0.2"/>
    <row r="266" ht="141.6" hidden="1" customHeight="1" x14ac:dyDescent="0.2"/>
    <row r="267" ht="141.6" hidden="1" customHeight="1" x14ac:dyDescent="0.2"/>
    <row r="268" ht="141.6" hidden="1" customHeight="1" x14ac:dyDescent="0.2"/>
    <row r="269" ht="141.6" hidden="1" customHeight="1" x14ac:dyDescent="0.2"/>
    <row r="270" ht="141.6" hidden="1" customHeight="1" x14ac:dyDescent="0.2"/>
    <row r="271" ht="141.6" hidden="1" customHeight="1" x14ac:dyDescent="0.2"/>
    <row r="272" ht="141.6" hidden="1" customHeight="1" x14ac:dyDescent="0.2"/>
    <row r="273" ht="141.6" hidden="1" customHeight="1" x14ac:dyDescent="0.2"/>
    <row r="274" ht="141.6" hidden="1" customHeight="1" x14ac:dyDescent="0.2"/>
    <row r="275" ht="141.6" hidden="1" customHeight="1" x14ac:dyDescent="0.2"/>
    <row r="276" ht="141.6" hidden="1" customHeight="1" x14ac:dyDescent="0.2"/>
    <row r="277" ht="141.6" hidden="1" customHeight="1" x14ac:dyDescent="0.2"/>
    <row r="278" ht="141.6" hidden="1" customHeight="1" x14ac:dyDescent="0.2"/>
    <row r="279" ht="141.6" hidden="1" customHeight="1" x14ac:dyDescent="0.2"/>
    <row r="280" ht="141.6" hidden="1" customHeight="1" x14ac:dyDescent="0.2"/>
    <row r="281" ht="141.6" hidden="1" customHeight="1" x14ac:dyDescent="0.2"/>
    <row r="282" ht="141.6" hidden="1" customHeight="1" x14ac:dyDescent="0.2"/>
    <row r="283" ht="141.6" hidden="1" customHeight="1" x14ac:dyDescent="0.2"/>
    <row r="284" ht="141.6" hidden="1" customHeight="1" x14ac:dyDescent="0.2"/>
    <row r="285" ht="141.6" hidden="1" customHeight="1" x14ac:dyDescent="0.2"/>
    <row r="286" ht="141.6" hidden="1" customHeight="1" x14ac:dyDescent="0.2"/>
    <row r="287" ht="141.6" hidden="1" customHeight="1" x14ac:dyDescent="0.2"/>
    <row r="288" ht="141.6" hidden="1" customHeight="1" x14ac:dyDescent="0.2"/>
    <row r="289" ht="141.6" hidden="1" customHeight="1" x14ac:dyDescent="0.2"/>
    <row r="290" ht="141.6" hidden="1" customHeight="1" x14ac:dyDescent="0.2"/>
    <row r="291" ht="141.6" hidden="1" customHeight="1" x14ac:dyDescent="0.2"/>
    <row r="292" ht="141.6" hidden="1" customHeight="1" x14ac:dyDescent="0.2"/>
    <row r="293" ht="141.6" hidden="1" customHeight="1" x14ac:dyDescent="0.2"/>
    <row r="294" ht="141.6" hidden="1" customHeight="1" x14ac:dyDescent="0.2"/>
    <row r="295" ht="141.6" hidden="1" customHeight="1" x14ac:dyDescent="0.2"/>
    <row r="296" ht="141.6" hidden="1" customHeight="1" x14ac:dyDescent="0.2"/>
    <row r="297" ht="141.6" hidden="1" customHeight="1" x14ac:dyDescent="0.2"/>
    <row r="298" ht="141.6" hidden="1" customHeight="1" x14ac:dyDescent="0.2"/>
    <row r="299" ht="141.6" hidden="1" customHeight="1" x14ac:dyDescent="0.2"/>
    <row r="300" ht="141.6" hidden="1" customHeight="1" x14ac:dyDescent="0.2"/>
    <row r="301" ht="141.6" hidden="1" customHeight="1" x14ac:dyDescent="0.2"/>
    <row r="302" ht="141.6" hidden="1" customHeight="1" x14ac:dyDescent="0.2"/>
    <row r="303" ht="141.6" hidden="1" customHeight="1" x14ac:dyDescent="0.2"/>
    <row r="304" ht="141.6" hidden="1" customHeight="1" x14ac:dyDescent="0.2"/>
    <row r="305" ht="141.6" hidden="1" customHeight="1" x14ac:dyDescent="0.2"/>
    <row r="306" ht="141.6" hidden="1" customHeight="1" x14ac:dyDescent="0.2"/>
    <row r="307" ht="141.6" hidden="1" customHeight="1" x14ac:dyDescent="0.2"/>
    <row r="308" ht="141.6" hidden="1" customHeight="1" x14ac:dyDescent="0.2"/>
    <row r="309" ht="141.6" hidden="1" customHeight="1" x14ac:dyDescent="0.2"/>
    <row r="310" ht="141.6" hidden="1" customHeight="1" x14ac:dyDescent="0.2"/>
    <row r="311" ht="141.6" hidden="1" customHeight="1" x14ac:dyDescent="0.2"/>
    <row r="312" ht="141.6" hidden="1" customHeight="1" x14ac:dyDescent="0.2"/>
    <row r="313" ht="141.6" hidden="1" customHeight="1" x14ac:dyDescent="0.2"/>
    <row r="314" ht="141.6" hidden="1" customHeight="1" x14ac:dyDescent="0.2"/>
    <row r="315" ht="141.6" hidden="1" customHeight="1" x14ac:dyDescent="0.2"/>
    <row r="316" ht="141.6" hidden="1" customHeight="1" x14ac:dyDescent="0.2"/>
    <row r="317" ht="141.6" hidden="1" customHeight="1" x14ac:dyDescent="0.2"/>
    <row r="318" ht="141.6" hidden="1" customHeight="1" x14ac:dyDescent="0.2"/>
    <row r="319" ht="141.6" hidden="1" customHeight="1" x14ac:dyDescent="0.2"/>
    <row r="320" ht="141.6" hidden="1" customHeight="1" x14ac:dyDescent="0.2"/>
    <row r="321" ht="141.6" hidden="1" customHeight="1" x14ac:dyDescent="0.2"/>
    <row r="322" ht="141.6" hidden="1" customHeight="1" x14ac:dyDescent="0.2"/>
    <row r="323" ht="141.6" hidden="1" customHeight="1" x14ac:dyDescent="0.2"/>
    <row r="324" ht="141.6" hidden="1" customHeight="1" x14ac:dyDescent="0.2"/>
    <row r="325" ht="141.6" hidden="1" customHeight="1" x14ac:dyDescent="0.2"/>
    <row r="326" ht="141.6" hidden="1" customHeight="1" x14ac:dyDescent="0.2"/>
    <row r="327" ht="141.6" hidden="1" customHeight="1" x14ac:dyDescent="0.2"/>
    <row r="328" ht="141.6" hidden="1" customHeight="1" x14ac:dyDescent="0.2"/>
    <row r="329" ht="141.6" hidden="1" customHeight="1" x14ac:dyDescent="0.2"/>
    <row r="330" ht="141.6" hidden="1" customHeight="1" x14ac:dyDescent="0.2"/>
    <row r="331" ht="141.6" hidden="1" customHeight="1" x14ac:dyDescent="0.2"/>
    <row r="332" ht="141.6" hidden="1" customHeight="1" x14ac:dyDescent="0.2"/>
    <row r="333" ht="141.6" hidden="1" customHeight="1" x14ac:dyDescent="0.2"/>
    <row r="334" ht="141.6" hidden="1" customHeight="1" x14ac:dyDescent="0.2"/>
    <row r="335" ht="141.6" hidden="1" customHeight="1" x14ac:dyDescent="0.2"/>
    <row r="336" ht="141.6" hidden="1" customHeight="1" x14ac:dyDescent="0.2"/>
    <row r="337" ht="141.6" hidden="1" customHeight="1" x14ac:dyDescent="0.2"/>
    <row r="338" ht="141.6" hidden="1" customHeight="1" x14ac:dyDescent="0.2"/>
    <row r="339" ht="141.6" hidden="1" customHeight="1" x14ac:dyDescent="0.2"/>
    <row r="340" ht="141.6" hidden="1" customHeight="1" x14ac:dyDescent="0.2"/>
    <row r="341" ht="141.6" hidden="1" customHeight="1" x14ac:dyDescent="0.2"/>
    <row r="342" ht="141.6" hidden="1" customHeight="1" x14ac:dyDescent="0.2"/>
    <row r="343" ht="141.6" hidden="1" customHeight="1" x14ac:dyDescent="0.2"/>
    <row r="344" ht="141.6" hidden="1" customHeight="1" x14ac:dyDescent="0.2"/>
    <row r="345" ht="141.6" hidden="1" customHeight="1" x14ac:dyDescent="0.2"/>
    <row r="346" ht="141.6" hidden="1" customHeight="1" x14ac:dyDescent="0.2"/>
    <row r="347" ht="141.6" hidden="1" customHeight="1" x14ac:dyDescent="0.2"/>
    <row r="348" ht="141.6" hidden="1" customHeight="1" x14ac:dyDescent="0.2"/>
    <row r="349" ht="141.6" hidden="1" customHeight="1" x14ac:dyDescent="0.2"/>
    <row r="350" ht="141.6" hidden="1" customHeight="1" x14ac:dyDescent="0.2"/>
    <row r="351" ht="141.6" hidden="1" customHeight="1" x14ac:dyDescent="0.2"/>
    <row r="352" ht="141.6" hidden="1" customHeight="1" x14ac:dyDescent="0.2"/>
    <row r="353" ht="141.6" hidden="1" customHeight="1" x14ac:dyDescent="0.2"/>
    <row r="354" ht="141.6" hidden="1" customHeight="1" x14ac:dyDescent="0.2"/>
    <row r="355" ht="141.6" hidden="1" customHeight="1" x14ac:dyDescent="0.2"/>
    <row r="356" ht="141.6" hidden="1" customHeight="1" x14ac:dyDescent="0.2"/>
    <row r="357" ht="141.6" hidden="1" customHeight="1" x14ac:dyDescent="0.2"/>
    <row r="358" ht="141.6" hidden="1" customHeight="1" x14ac:dyDescent="0.2"/>
    <row r="359" ht="141.6" hidden="1" customHeight="1" x14ac:dyDescent="0.2"/>
    <row r="360" ht="141.6" hidden="1" customHeight="1" x14ac:dyDescent="0.2"/>
    <row r="361" ht="141.6" hidden="1" customHeight="1" x14ac:dyDescent="0.2"/>
    <row r="362" ht="141.6" hidden="1" customHeight="1" x14ac:dyDescent="0.2"/>
    <row r="363" ht="141.6" hidden="1" customHeight="1" x14ac:dyDescent="0.2"/>
    <row r="364" ht="141.6" hidden="1" customHeight="1" x14ac:dyDescent="0.2"/>
    <row r="365" ht="141.6" hidden="1" customHeight="1" x14ac:dyDescent="0.2"/>
    <row r="366" ht="141.6" hidden="1" customHeight="1" x14ac:dyDescent="0.2"/>
    <row r="367" ht="141.6" hidden="1" customHeight="1" x14ac:dyDescent="0.2"/>
    <row r="368" ht="141.6" hidden="1" customHeight="1" x14ac:dyDescent="0.2"/>
    <row r="369" ht="141.6" hidden="1" customHeight="1" x14ac:dyDescent="0.2"/>
    <row r="370" ht="141.6" hidden="1" customHeight="1" x14ac:dyDescent="0.2"/>
    <row r="371" ht="141.6" hidden="1" customHeight="1" x14ac:dyDescent="0.2"/>
    <row r="372" ht="141.6" hidden="1" customHeight="1" x14ac:dyDescent="0.2"/>
    <row r="373" ht="141.6" hidden="1" customHeight="1" x14ac:dyDescent="0.2"/>
    <row r="374" ht="141.6" hidden="1" customHeight="1" x14ac:dyDescent="0.2"/>
    <row r="375" ht="141.6" hidden="1" customHeight="1" x14ac:dyDescent="0.2"/>
    <row r="376" ht="141.6" hidden="1" customHeight="1" x14ac:dyDescent="0.2"/>
    <row r="377" ht="141.6" hidden="1" customHeight="1" x14ac:dyDescent="0.2"/>
    <row r="378" ht="141.6" hidden="1" customHeight="1" x14ac:dyDescent="0.2"/>
    <row r="379" ht="141.6" hidden="1" customHeight="1" x14ac:dyDescent="0.2"/>
    <row r="380" ht="141.6" hidden="1" customHeight="1" x14ac:dyDescent="0.2"/>
    <row r="381" ht="141.6" hidden="1" customHeight="1" x14ac:dyDescent="0.2"/>
    <row r="382" ht="141.6" hidden="1" customHeight="1" x14ac:dyDescent="0.2"/>
    <row r="383" ht="141.6" hidden="1" customHeight="1" x14ac:dyDescent="0.2"/>
    <row r="384" ht="141.6" hidden="1" customHeight="1" x14ac:dyDescent="0.2"/>
    <row r="385" ht="141.6" hidden="1" customHeight="1" x14ac:dyDescent="0.2"/>
    <row r="386" ht="141.6" hidden="1" customHeight="1" x14ac:dyDescent="0.2"/>
    <row r="387" ht="141.6" hidden="1" customHeight="1" x14ac:dyDescent="0.2"/>
    <row r="388" ht="141.6" hidden="1" customHeight="1" x14ac:dyDescent="0.2"/>
    <row r="389" ht="141.6" hidden="1" customHeight="1" x14ac:dyDescent="0.2"/>
    <row r="390" ht="141.6" hidden="1" customHeight="1" x14ac:dyDescent="0.2"/>
    <row r="391" ht="141.6" hidden="1" customHeight="1" x14ac:dyDescent="0.2"/>
    <row r="392" ht="141.6" hidden="1" customHeight="1" x14ac:dyDescent="0.2"/>
    <row r="393" ht="141.6" hidden="1" customHeight="1" x14ac:dyDescent="0.2"/>
    <row r="394" ht="141.6" hidden="1" customHeight="1" x14ac:dyDescent="0.2"/>
    <row r="395" ht="141.6" hidden="1" customHeight="1" x14ac:dyDescent="0.2"/>
    <row r="396" ht="141.6" hidden="1" customHeight="1" x14ac:dyDescent="0.2"/>
    <row r="397" ht="141.6" hidden="1" customHeight="1" x14ac:dyDescent="0.2"/>
    <row r="398" ht="141.6" hidden="1" customHeight="1" x14ac:dyDescent="0.2"/>
    <row r="399" ht="141.6" hidden="1" customHeight="1" x14ac:dyDescent="0.2"/>
    <row r="400" ht="141.6" hidden="1" customHeight="1" x14ac:dyDescent="0.2"/>
    <row r="401" ht="141.6" hidden="1" customHeight="1" x14ac:dyDescent="0.2"/>
    <row r="402" ht="141.6" hidden="1" customHeight="1" x14ac:dyDescent="0.2"/>
    <row r="403" ht="141.6" hidden="1" customHeight="1" x14ac:dyDescent="0.2"/>
    <row r="404" ht="141.6" hidden="1" customHeight="1" x14ac:dyDescent="0.2"/>
    <row r="405" ht="141.6" hidden="1" customHeight="1" x14ac:dyDescent="0.2"/>
    <row r="406" ht="141.6" hidden="1" customHeight="1" x14ac:dyDescent="0.2"/>
    <row r="407" ht="141.6" hidden="1" customHeight="1" x14ac:dyDescent="0.2"/>
    <row r="408" ht="141.6" hidden="1" customHeight="1" x14ac:dyDescent="0.2"/>
    <row r="409" ht="141.6" hidden="1" customHeight="1" x14ac:dyDescent="0.2"/>
    <row r="410" ht="141.6" hidden="1" customHeight="1" x14ac:dyDescent="0.2"/>
    <row r="411" ht="141.6" hidden="1" customHeight="1" x14ac:dyDescent="0.2"/>
    <row r="412" ht="141.6" hidden="1" customHeight="1" x14ac:dyDescent="0.2"/>
    <row r="413" ht="141.6" hidden="1" customHeight="1" x14ac:dyDescent="0.2"/>
    <row r="414" ht="141.6" hidden="1" customHeight="1" x14ac:dyDescent="0.2"/>
    <row r="415" ht="141.6" hidden="1" customHeight="1" x14ac:dyDescent="0.2"/>
    <row r="416" ht="141.6" hidden="1" customHeight="1" x14ac:dyDescent="0.2"/>
    <row r="417" ht="141.6" hidden="1" customHeight="1" x14ac:dyDescent="0.2"/>
    <row r="418" ht="141.6" hidden="1" customHeight="1" x14ac:dyDescent="0.2"/>
    <row r="419" ht="141.6" hidden="1" customHeight="1" x14ac:dyDescent="0.2"/>
    <row r="420" ht="141.6" hidden="1" customHeight="1" x14ac:dyDescent="0.2"/>
    <row r="421" ht="141.6" hidden="1" customHeight="1" x14ac:dyDescent="0.2"/>
    <row r="422" ht="141.6" hidden="1" customHeight="1" x14ac:dyDescent="0.2"/>
    <row r="423" ht="141.6" hidden="1" customHeight="1" x14ac:dyDescent="0.2"/>
    <row r="424" ht="141.6" hidden="1" customHeight="1" x14ac:dyDescent="0.2"/>
    <row r="425" ht="141.6" hidden="1" customHeight="1" x14ac:dyDescent="0.2"/>
    <row r="426" ht="141.6" hidden="1" customHeight="1" x14ac:dyDescent="0.2"/>
    <row r="427" ht="141.6" hidden="1" customHeight="1" x14ac:dyDescent="0.2"/>
    <row r="428" ht="141.6" hidden="1" customHeight="1" x14ac:dyDescent="0.2"/>
    <row r="429" ht="141.6" hidden="1" customHeight="1" x14ac:dyDescent="0.2"/>
    <row r="430" ht="141.6" hidden="1" customHeight="1" x14ac:dyDescent="0.2"/>
    <row r="431" ht="141.6" hidden="1" customHeight="1" x14ac:dyDescent="0.2"/>
    <row r="432" ht="141.6" hidden="1" customHeight="1" x14ac:dyDescent="0.2"/>
    <row r="433" ht="141.6" hidden="1" customHeight="1" x14ac:dyDescent="0.2"/>
    <row r="434" ht="141.6" hidden="1" customHeight="1" x14ac:dyDescent="0.2"/>
    <row r="435" ht="141.6" hidden="1" customHeight="1" x14ac:dyDescent="0.2"/>
    <row r="436" ht="141.6" hidden="1" customHeight="1" x14ac:dyDescent="0.2"/>
    <row r="437" ht="141.6" hidden="1" customHeight="1" x14ac:dyDescent="0.2"/>
    <row r="438" ht="141.6" hidden="1" customHeight="1" x14ac:dyDescent="0.2"/>
    <row r="439" ht="141.6" hidden="1" customHeight="1" x14ac:dyDescent="0.2"/>
    <row r="440" ht="141.6" hidden="1" customHeight="1" x14ac:dyDescent="0.2"/>
    <row r="441" ht="141.6" hidden="1" customHeight="1" x14ac:dyDescent="0.2"/>
    <row r="442" ht="141.6" hidden="1" customHeight="1" x14ac:dyDescent="0.2"/>
    <row r="443" ht="141.6" hidden="1" customHeight="1" x14ac:dyDescent="0.2"/>
    <row r="444" ht="141.6" hidden="1" customHeight="1" x14ac:dyDescent="0.2"/>
    <row r="445" ht="141.6" hidden="1" customHeight="1" x14ac:dyDescent="0.2"/>
    <row r="446" ht="141.6" hidden="1" customHeight="1" x14ac:dyDescent="0.2"/>
    <row r="447" ht="141.6" hidden="1" customHeight="1" x14ac:dyDescent="0.2"/>
    <row r="448" ht="141.6" hidden="1" customHeight="1" x14ac:dyDescent="0.2"/>
    <row r="449" ht="141.6" hidden="1" customHeight="1" x14ac:dyDescent="0.2"/>
    <row r="450" ht="141.6" hidden="1" customHeight="1" x14ac:dyDescent="0.2"/>
    <row r="451" ht="141.6" hidden="1" customHeight="1" x14ac:dyDescent="0.2"/>
    <row r="452" ht="141.6" hidden="1" customHeight="1" x14ac:dyDescent="0.2"/>
    <row r="453" ht="141.6" hidden="1" customHeight="1" x14ac:dyDescent="0.2"/>
    <row r="454" ht="141.6" hidden="1" customHeight="1" x14ac:dyDescent="0.2"/>
    <row r="455" ht="141.6" hidden="1" customHeight="1" x14ac:dyDescent="0.2"/>
    <row r="456" ht="141.6" hidden="1" customHeight="1" x14ac:dyDescent="0.2"/>
    <row r="457" ht="141.6" hidden="1" customHeight="1" x14ac:dyDescent="0.2"/>
    <row r="458" ht="141.6" hidden="1" customHeight="1" x14ac:dyDescent="0.2"/>
    <row r="459" ht="141.6" hidden="1" customHeight="1" x14ac:dyDescent="0.2"/>
    <row r="460" ht="141.6" hidden="1" customHeight="1" x14ac:dyDescent="0.2"/>
    <row r="461" ht="141.6" hidden="1" customHeight="1" x14ac:dyDescent="0.2"/>
    <row r="462" ht="141.6" hidden="1" customHeight="1" x14ac:dyDescent="0.2"/>
    <row r="463" ht="141.6" hidden="1" customHeight="1" x14ac:dyDescent="0.2"/>
    <row r="464" ht="141.6" hidden="1" customHeight="1" x14ac:dyDescent="0.2"/>
    <row r="465" ht="141.6" hidden="1" customHeight="1" x14ac:dyDescent="0.2"/>
    <row r="466" ht="141.6" hidden="1" customHeight="1" x14ac:dyDescent="0.2"/>
    <row r="467" ht="141.6" hidden="1" customHeight="1" x14ac:dyDescent="0.2"/>
    <row r="468" ht="141.6" hidden="1" customHeight="1" x14ac:dyDescent="0.2"/>
    <row r="469" ht="141.6" hidden="1" customHeight="1" x14ac:dyDescent="0.2"/>
    <row r="470" ht="141.6" hidden="1" customHeight="1" x14ac:dyDescent="0.2"/>
    <row r="471" ht="141.6" hidden="1" customHeight="1" x14ac:dyDescent="0.2"/>
    <row r="472" ht="141.6" hidden="1" customHeight="1" x14ac:dyDescent="0.2"/>
    <row r="473" ht="141.6" hidden="1" customHeight="1" x14ac:dyDescent="0.2"/>
    <row r="474" ht="141.6" hidden="1" customHeight="1" x14ac:dyDescent="0.2"/>
    <row r="475" ht="141.6" hidden="1" customHeight="1" x14ac:dyDescent="0.2"/>
    <row r="476" ht="141.6" hidden="1" customHeight="1" x14ac:dyDescent="0.2"/>
    <row r="477" ht="141.6" hidden="1" customHeight="1" x14ac:dyDescent="0.2"/>
    <row r="478" ht="141.6" hidden="1" customHeight="1" x14ac:dyDescent="0.2"/>
    <row r="479" ht="141.6" hidden="1" customHeight="1" x14ac:dyDescent="0.2"/>
    <row r="480" ht="141.6" hidden="1" customHeight="1" x14ac:dyDescent="0.2"/>
    <row r="481" ht="141.6" hidden="1" customHeight="1" x14ac:dyDescent="0.2"/>
    <row r="482" ht="141.6" hidden="1" customHeight="1" x14ac:dyDescent="0.2"/>
    <row r="483" ht="141.6" hidden="1" customHeight="1" x14ac:dyDescent="0.2"/>
    <row r="484" ht="141.6" hidden="1" customHeight="1" x14ac:dyDescent="0.2"/>
    <row r="485" ht="141.6" hidden="1" customHeight="1" x14ac:dyDescent="0.2"/>
    <row r="486" ht="141.6" hidden="1" customHeight="1" x14ac:dyDescent="0.2"/>
    <row r="487" ht="141.6" hidden="1" customHeight="1" x14ac:dyDescent="0.2"/>
    <row r="488" ht="141.6" hidden="1" customHeight="1" x14ac:dyDescent="0.2"/>
    <row r="489" ht="141.6" hidden="1" customHeight="1" x14ac:dyDescent="0.2"/>
    <row r="490" ht="141.6" hidden="1" customHeight="1" x14ac:dyDescent="0.2"/>
    <row r="491" ht="141.6" hidden="1" customHeight="1" x14ac:dyDescent="0.2"/>
    <row r="492" ht="141.6" hidden="1" customHeight="1" x14ac:dyDescent="0.2"/>
    <row r="493" ht="141.6" hidden="1" customHeight="1" x14ac:dyDescent="0.2"/>
    <row r="494" ht="141.6" hidden="1" customHeight="1" x14ac:dyDescent="0.2"/>
    <row r="495" ht="141.6" hidden="1" customHeight="1" x14ac:dyDescent="0.2"/>
    <row r="496" ht="141.6" hidden="1" customHeight="1" x14ac:dyDescent="0.2"/>
    <row r="497" ht="141.6" hidden="1" customHeight="1" x14ac:dyDescent="0.2"/>
    <row r="498" ht="141.6" hidden="1" customHeight="1" x14ac:dyDescent="0.2"/>
    <row r="499" ht="141.6" hidden="1" customHeight="1" x14ac:dyDescent="0.2"/>
    <row r="500" ht="141.6" hidden="1" customHeight="1" x14ac:dyDescent="0.2"/>
    <row r="501" ht="141.6" hidden="1" customHeight="1" x14ac:dyDescent="0.2"/>
    <row r="502" ht="141.6" hidden="1" customHeight="1" x14ac:dyDescent="0.2"/>
    <row r="503" ht="141.6" hidden="1" customHeight="1" x14ac:dyDescent="0.2"/>
    <row r="504" ht="141.6" hidden="1" customHeight="1" x14ac:dyDescent="0.2"/>
    <row r="505" ht="141.6" hidden="1" customHeight="1" x14ac:dyDescent="0.2"/>
    <row r="506" ht="141.6" hidden="1" customHeight="1" x14ac:dyDescent="0.2"/>
    <row r="507" ht="141.6" hidden="1" customHeight="1" x14ac:dyDescent="0.2"/>
    <row r="508" ht="141.6" hidden="1" customHeight="1" x14ac:dyDescent="0.2"/>
    <row r="509" ht="141.6" hidden="1" customHeight="1" x14ac:dyDescent="0.2"/>
    <row r="510" ht="141.6" hidden="1" customHeight="1" x14ac:dyDescent="0.2"/>
    <row r="511" ht="141.6" hidden="1" customHeight="1" x14ac:dyDescent="0.2"/>
    <row r="512" ht="141.6" hidden="1" customHeight="1" x14ac:dyDescent="0.2"/>
    <row r="513" ht="141.6" hidden="1" customHeight="1" x14ac:dyDescent="0.2"/>
    <row r="514" ht="141.6" hidden="1" customHeight="1" x14ac:dyDescent="0.2"/>
    <row r="515" ht="141.6" hidden="1" customHeight="1" x14ac:dyDescent="0.2"/>
    <row r="516" ht="141.6" hidden="1" customHeight="1" x14ac:dyDescent="0.2"/>
    <row r="517" ht="141.6" hidden="1" customHeight="1" x14ac:dyDescent="0.2"/>
    <row r="518" ht="141.6" hidden="1" customHeight="1" x14ac:dyDescent="0.2"/>
    <row r="519" ht="141.6" hidden="1" customHeight="1" x14ac:dyDescent="0.2"/>
    <row r="520" ht="141.6" hidden="1" customHeight="1" x14ac:dyDescent="0.2"/>
    <row r="521" ht="141.6" hidden="1" customHeight="1" x14ac:dyDescent="0.2"/>
    <row r="522" ht="141.6" hidden="1" customHeight="1" x14ac:dyDescent="0.2"/>
    <row r="523" ht="141.6" hidden="1" customHeight="1" x14ac:dyDescent="0.2"/>
    <row r="524" ht="141.6" hidden="1" customHeight="1" x14ac:dyDescent="0.2"/>
    <row r="525" ht="141.6" hidden="1" customHeight="1" x14ac:dyDescent="0.2"/>
    <row r="526" ht="141.6" hidden="1" customHeight="1" x14ac:dyDescent="0.2"/>
    <row r="527" ht="141.6" hidden="1" customHeight="1" x14ac:dyDescent="0.2"/>
    <row r="528" ht="141.6" hidden="1" customHeight="1" x14ac:dyDescent="0.2"/>
    <row r="529" ht="141.6" hidden="1" customHeight="1" x14ac:dyDescent="0.2"/>
    <row r="530" ht="141.6" hidden="1" customHeight="1" x14ac:dyDescent="0.2"/>
    <row r="531" ht="141.6" hidden="1" customHeight="1" x14ac:dyDescent="0.2"/>
    <row r="532" ht="141.6" hidden="1" customHeight="1" x14ac:dyDescent="0.2"/>
    <row r="533" ht="141.6" hidden="1" customHeight="1" x14ac:dyDescent="0.2"/>
    <row r="534" ht="141.6" hidden="1" customHeight="1" x14ac:dyDescent="0.2"/>
    <row r="535" ht="141.6" hidden="1" customHeight="1" x14ac:dyDescent="0.2"/>
    <row r="536" ht="141.6" hidden="1" customHeight="1" x14ac:dyDescent="0.2"/>
    <row r="537" ht="141.6" hidden="1" customHeight="1" x14ac:dyDescent="0.2"/>
    <row r="538" ht="141.6" hidden="1" customHeight="1" x14ac:dyDescent="0.2"/>
    <row r="539" ht="141.6" hidden="1" customHeight="1" x14ac:dyDescent="0.2"/>
    <row r="540" ht="141.6" hidden="1" customHeight="1" x14ac:dyDescent="0.2"/>
    <row r="541" ht="141.6" hidden="1" customHeight="1" x14ac:dyDescent="0.2"/>
    <row r="542" ht="141.6" hidden="1" customHeight="1" x14ac:dyDescent="0.2"/>
    <row r="543" ht="141.6" hidden="1" customHeight="1" x14ac:dyDescent="0.2"/>
    <row r="544" ht="141.6" hidden="1" customHeight="1" x14ac:dyDescent="0.2"/>
    <row r="545" ht="141.6" hidden="1" customHeight="1" x14ac:dyDescent="0.2"/>
    <row r="546" ht="141.6" hidden="1" customHeight="1" x14ac:dyDescent="0.2"/>
    <row r="547" ht="141.6" hidden="1" customHeight="1" x14ac:dyDescent="0.2"/>
    <row r="548" ht="141.6" hidden="1" customHeight="1" x14ac:dyDescent="0.2"/>
    <row r="549" ht="141.6" hidden="1" customHeight="1" x14ac:dyDescent="0.2"/>
    <row r="550" ht="141.6" hidden="1" customHeight="1" x14ac:dyDescent="0.2"/>
    <row r="551" ht="141.6" hidden="1" customHeight="1" x14ac:dyDescent="0.2"/>
    <row r="552" ht="141.6" hidden="1" customHeight="1" x14ac:dyDescent="0.2"/>
    <row r="553" ht="141.6" hidden="1" customHeight="1" x14ac:dyDescent="0.2"/>
    <row r="554" ht="141.6" hidden="1" customHeight="1" x14ac:dyDescent="0.2"/>
    <row r="555" ht="141.6" hidden="1" customHeight="1" x14ac:dyDescent="0.2"/>
    <row r="556" ht="141.6" hidden="1" customHeight="1" x14ac:dyDescent="0.2"/>
    <row r="557" ht="141.6" hidden="1" customHeight="1" x14ac:dyDescent="0.2"/>
    <row r="558" ht="141.6" hidden="1" customHeight="1" x14ac:dyDescent="0.2"/>
    <row r="559" ht="141.6" hidden="1" customHeight="1" x14ac:dyDescent="0.2"/>
    <row r="560" ht="141.6" hidden="1" customHeight="1" x14ac:dyDescent="0.2"/>
    <row r="561" ht="141.6" hidden="1" customHeight="1" x14ac:dyDescent="0.2"/>
    <row r="562" ht="141.6" hidden="1" customHeight="1" x14ac:dyDescent="0.2"/>
    <row r="563" ht="141.6" hidden="1" customHeight="1" x14ac:dyDescent="0.2"/>
    <row r="564" ht="141.6" hidden="1" customHeight="1" x14ac:dyDescent="0.2"/>
    <row r="565" ht="141.6" hidden="1" customHeight="1" x14ac:dyDescent="0.2"/>
    <row r="566" ht="141.6" hidden="1" customHeight="1" x14ac:dyDescent="0.2"/>
    <row r="567" ht="141.6" hidden="1" customHeight="1" x14ac:dyDescent="0.2"/>
    <row r="568" ht="141.6" hidden="1" customHeight="1" x14ac:dyDescent="0.2"/>
    <row r="569" ht="141.6" hidden="1" customHeight="1" x14ac:dyDescent="0.2"/>
    <row r="570" ht="141.6" hidden="1" customHeight="1" x14ac:dyDescent="0.2"/>
    <row r="571" ht="141.6" hidden="1" customHeight="1" x14ac:dyDescent="0.2"/>
    <row r="572" ht="141.6" hidden="1" customHeight="1" x14ac:dyDescent="0.2"/>
    <row r="573" ht="141.6" hidden="1" customHeight="1" x14ac:dyDescent="0.2"/>
    <row r="574" ht="141.6" hidden="1" customHeight="1" x14ac:dyDescent="0.2"/>
    <row r="575" ht="141.6" hidden="1" customHeight="1" x14ac:dyDescent="0.2"/>
    <row r="576" ht="141.6" hidden="1" customHeight="1" x14ac:dyDescent="0.2"/>
    <row r="577" ht="141.6" hidden="1" customHeight="1" x14ac:dyDescent="0.2"/>
    <row r="578" ht="141.6" hidden="1" customHeight="1" x14ac:dyDescent="0.2"/>
    <row r="579" ht="141.6" hidden="1" customHeight="1" x14ac:dyDescent="0.2"/>
    <row r="580" ht="141.6" hidden="1" customHeight="1" x14ac:dyDescent="0.2"/>
    <row r="581" ht="141.6" hidden="1" customHeight="1" x14ac:dyDescent="0.2"/>
    <row r="582" ht="141.6" hidden="1" customHeight="1" x14ac:dyDescent="0.2"/>
    <row r="583" ht="141.6" hidden="1" customHeight="1" x14ac:dyDescent="0.2"/>
    <row r="584" ht="141.6" hidden="1" customHeight="1" x14ac:dyDescent="0.2"/>
    <row r="585" ht="141.6" hidden="1" customHeight="1" x14ac:dyDescent="0.2"/>
    <row r="586" ht="141.6" hidden="1" customHeight="1" x14ac:dyDescent="0.2"/>
    <row r="587" ht="141.6" hidden="1" customHeight="1" x14ac:dyDescent="0.2"/>
    <row r="588" ht="141.6" hidden="1" customHeight="1" x14ac:dyDescent="0.2"/>
    <row r="589" ht="141.6" hidden="1" customHeight="1" x14ac:dyDescent="0.2"/>
    <row r="590" ht="141.6" hidden="1" customHeight="1" x14ac:dyDescent="0.2"/>
    <row r="591" ht="141.6" hidden="1" customHeight="1" x14ac:dyDescent="0.2"/>
    <row r="592" ht="141.6" hidden="1" customHeight="1" x14ac:dyDescent="0.2"/>
    <row r="593" ht="141.6" hidden="1" customHeight="1" x14ac:dyDescent="0.2"/>
    <row r="594" ht="141.6" hidden="1" customHeight="1" x14ac:dyDescent="0.2"/>
    <row r="595" ht="141.6" hidden="1" customHeight="1" x14ac:dyDescent="0.2"/>
    <row r="596" ht="141.6" hidden="1" customHeight="1" x14ac:dyDescent="0.2"/>
    <row r="597" ht="141.6" hidden="1" customHeight="1" x14ac:dyDescent="0.2"/>
    <row r="598" ht="141.6" hidden="1" customHeight="1" x14ac:dyDescent="0.2"/>
    <row r="599" ht="141.6" hidden="1" customHeight="1" x14ac:dyDescent="0.2"/>
    <row r="600" ht="141.6" hidden="1" customHeight="1" x14ac:dyDescent="0.2"/>
    <row r="601" ht="141.6" hidden="1" customHeight="1" x14ac:dyDescent="0.2"/>
    <row r="602" ht="141.6" hidden="1" customHeight="1" x14ac:dyDescent="0.2"/>
    <row r="603" ht="141.6" hidden="1" customHeight="1" x14ac:dyDescent="0.2"/>
    <row r="604" ht="141.6" hidden="1" customHeight="1" x14ac:dyDescent="0.2"/>
    <row r="605" ht="141.6" hidden="1" customHeight="1" x14ac:dyDescent="0.2"/>
    <row r="606" ht="141.6" hidden="1" customHeight="1" x14ac:dyDescent="0.2"/>
    <row r="607" ht="141.6" hidden="1" customHeight="1" x14ac:dyDescent="0.2"/>
    <row r="608" ht="141.6" hidden="1" customHeight="1" x14ac:dyDescent="0.2"/>
    <row r="609" ht="141.6" hidden="1" customHeight="1" x14ac:dyDescent="0.2"/>
    <row r="610" ht="141.6" hidden="1" customHeight="1" x14ac:dyDescent="0.2"/>
    <row r="611" ht="141.6" hidden="1" customHeight="1" x14ac:dyDescent="0.2"/>
    <row r="612" ht="141.6" hidden="1" customHeight="1" x14ac:dyDescent="0.2"/>
    <row r="613" ht="141.6" hidden="1" customHeight="1" x14ac:dyDescent="0.2"/>
    <row r="614" ht="141.6" hidden="1" customHeight="1" x14ac:dyDescent="0.2"/>
    <row r="615" ht="141.6" hidden="1" customHeight="1" x14ac:dyDescent="0.2"/>
    <row r="616" ht="141.6" hidden="1" customHeight="1" x14ac:dyDescent="0.2"/>
    <row r="617" ht="141.6" hidden="1" customHeight="1" x14ac:dyDescent="0.2"/>
    <row r="618" ht="141.6" hidden="1" customHeight="1" x14ac:dyDescent="0.2"/>
    <row r="619" ht="141.6" hidden="1" customHeight="1" x14ac:dyDescent="0.2"/>
    <row r="620" ht="141.6" hidden="1" customHeight="1" x14ac:dyDescent="0.2"/>
    <row r="621" ht="141.6" hidden="1" customHeight="1" x14ac:dyDescent="0.2"/>
    <row r="622" ht="141.6" hidden="1" customHeight="1" x14ac:dyDescent="0.2"/>
    <row r="623" ht="141.6" hidden="1" customHeight="1" x14ac:dyDescent="0.2"/>
    <row r="624" ht="141.6" hidden="1" customHeight="1" x14ac:dyDescent="0.2"/>
    <row r="625" ht="141.6" hidden="1" customHeight="1" x14ac:dyDescent="0.2"/>
    <row r="626" ht="141.6" hidden="1" customHeight="1" x14ac:dyDescent="0.2"/>
    <row r="627" ht="141.6" hidden="1" customHeight="1" x14ac:dyDescent="0.2"/>
    <row r="628" ht="141.6" hidden="1" customHeight="1" x14ac:dyDescent="0.2"/>
    <row r="629" ht="141.6" hidden="1" customHeight="1" x14ac:dyDescent="0.2"/>
    <row r="630" ht="141.6" hidden="1" customHeight="1" x14ac:dyDescent="0.2"/>
    <row r="631" ht="141.6" hidden="1" customHeight="1" x14ac:dyDescent="0.2"/>
    <row r="632" ht="141.6" hidden="1" customHeight="1" x14ac:dyDescent="0.2"/>
    <row r="633" ht="141.6" hidden="1" customHeight="1" x14ac:dyDescent="0.2"/>
    <row r="634" ht="141.6" hidden="1" customHeight="1" x14ac:dyDescent="0.2"/>
    <row r="635" ht="141.6" hidden="1" customHeight="1" x14ac:dyDescent="0.2"/>
    <row r="636" ht="141.6" hidden="1" customHeight="1" x14ac:dyDescent="0.2"/>
    <row r="637" ht="141.6" hidden="1" customHeight="1" x14ac:dyDescent="0.2"/>
    <row r="638" ht="141.6" hidden="1" customHeight="1" x14ac:dyDescent="0.2"/>
    <row r="639" ht="141.6" hidden="1" customHeight="1" x14ac:dyDescent="0.2"/>
    <row r="640" ht="141.6" hidden="1" customHeight="1" x14ac:dyDescent="0.2"/>
    <row r="641" ht="141.6" hidden="1" customHeight="1" x14ac:dyDescent="0.2"/>
    <row r="642" ht="141.6" hidden="1" customHeight="1" x14ac:dyDescent="0.2"/>
    <row r="643" ht="141.6" hidden="1" customHeight="1" x14ac:dyDescent="0.2"/>
    <row r="644" ht="141.6" hidden="1" customHeight="1" x14ac:dyDescent="0.2"/>
    <row r="645" ht="141.6" hidden="1" customHeight="1" x14ac:dyDescent="0.2"/>
    <row r="646" ht="141.6" hidden="1" customHeight="1" x14ac:dyDescent="0.2"/>
    <row r="647" ht="141.6" hidden="1" customHeight="1" x14ac:dyDescent="0.2"/>
    <row r="648" ht="141.6" hidden="1" customHeight="1" x14ac:dyDescent="0.2"/>
    <row r="649" ht="141.6" hidden="1" customHeight="1" x14ac:dyDescent="0.2"/>
    <row r="650" ht="141.6" hidden="1" customHeight="1" x14ac:dyDescent="0.2"/>
    <row r="651" ht="141.6" hidden="1" customHeight="1" x14ac:dyDescent="0.2"/>
    <row r="652" ht="141.6" hidden="1" customHeight="1" x14ac:dyDescent="0.2"/>
    <row r="653" ht="141.6" hidden="1" customHeight="1" x14ac:dyDescent="0.2"/>
    <row r="654" ht="141.6" hidden="1" customHeight="1" x14ac:dyDescent="0.2"/>
    <row r="655" ht="141.6" hidden="1" customHeight="1" x14ac:dyDescent="0.2"/>
    <row r="656" ht="141.6" hidden="1" customHeight="1" x14ac:dyDescent="0.2"/>
    <row r="657" ht="141.6" hidden="1" customHeight="1" x14ac:dyDescent="0.2"/>
    <row r="658" ht="141.6" hidden="1" customHeight="1" x14ac:dyDescent="0.2"/>
    <row r="659" ht="141.6" hidden="1" customHeight="1" x14ac:dyDescent="0.2"/>
    <row r="660" ht="141.6" hidden="1" customHeight="1" x14ac:dyDescent="0.2"/>
    <row r="661" ht="141.6" hidden="1" customHeight="1" x14ac:dyDescent="0.2"/>
    <row r="662" ht="141.6" hidden="1" customHeight="1" x14ac:dyDescent="0.2"/>
    <row r="663" ht="141.6" hidden="1" customHeight="1" x14ac:dyDescent="0.2"/>
    <row r="664" ht="141.6" hidden="1" customHeight="1" x14ac:dyDescent="0.2"/>
    <row r="665" ht="141.6" hidden="1" customHeight="1" x14ac:dyDescent="0.2"/>
    <row r="666" ht="141.6" hidden="1" customHeight="1" x14ac:dyDescent="0.2"/>
    <row r="667" ht="141.6" hidden="1" customHeight="1" x14ac:dyDescent="0.2"/>
    <row r="668" ht="141.6" hidden="1" customHeight="1" x14ac:dyDescent="0.2"/>
    <row r="669" ht="141.6" hidden="1" customHeight="1" x14ac:dyDescent="0.2"/>
    <row r="670" ht="141.6" hidden="1" customHeight="1" x14ac:dyDescent="0.2"/>
    <row r="671" ht="141.6" hidden="1" customHeight="1" x14ac:dyDescent="0.2"/>
    <row r="672" ht="141.6" hidden="1" customHeight="1" x14ac:dyDescent="0.2"/>
    <row r="673" ht="141.6" hidden="1" customHeight="1" x14ac:dyDescent="0.2"/>
    <row r="674" ht="141.6" hidden="1" customHeight="1" x14ac:dyDescent="0.2"/>
    <row r="675" ht="141.6" hidden="1" customHeight="1" x14ac:dyDescent="0.2"/>
    <row r="676" ht="141.6" hidden="1" customHeight="1" x14ac:dyDescent="0.2"/>
    <row r="677" ht="141.6" hidden="1" customHeight="1" x14ac:dyDescent="0.2"/>
    <row r="678" ht="141.6" hidden="1" customHeight="1" x14ac:dyDescent="0.2"/>
    <row r="679" ht="141.6" hidden="1" customHeight="1" x14ac:dyDescent="0.2"/>
    <row r="680" ht="141.6" hidden="1" customHeight="1" x14ac:dyDescent="0.2"/>
    <row r="681" ht="141.6" hidden="1" customHeight="1" x14ac:dyDescent="0.2"/>
    <row r="682" ht="141.6" hidden="1" customHeight="1" x14ac:dyDescent="0.2"/>
    <row r="683" ht="141.6" hidden="1" customHeight="1" x14ac:dyDescent="0.2"/>
    <row r="684" ht="141.6" hidden="1" customHeight="1" x14ac:dyDescent="0.2"/>
    <row r="685" ht="141.6" hidden="1" customHeight="1" x14ac:dyDescent="0.2"/>
    <row r="686" ht="141.6" hidden="1" customHeight="1" x14ac:dyDescent="0.2"/>
    <row r="687" ht="141.6" hidden="1" customHeight="1" x14ac:dyDescent="0.2"/>
    <row r="688" ht="141.6" hidden="1" customHeight="1" x14ac:dyDescent="0.2"/>
    <row r="689" ht="141.6" hidden="1" customHeight="1" x14ac:dyDescent="0.2"/>
    <row r="690" ht="141.6" hidden="1" customHeight="1" x14ac:dyDescent="0.2"/>
    <row r="691" ht="141.6" hidden="1" customHeight="1" x14ac:dyDescent="0.2"/>
    <row r="692" ht="141.6" hidden="1" customHeight="1" x14ac:dyDescent="0.2"/>
    <row r="693" ht="141.6" hidden="1" customHeight="1" x14ac:dyDescent="0.2"/>
    <row r="694" ht="141.6" hidden="1" customHeight="1" x14ac:dyDescent="0.2"/>
    <row r="695" ht="141.6" hidden="1" customHeight="1" x14ac:dyDescent="0.2"/>
    <row r="696" ht="141.6" hidden="1" customHeight="1" x14ac:dyDescent="0.2"/>
    <row r="697" ht="141.6" hidden="1" customHeight="1" x14ac:dyDescent="0.2"/>
    <row r="698" ht="141.6" hidden="1" customHeight="1" x14ac:dyDescent="0.2"/>
    <row r="699" ht="141.6" hidden="1" customHeight="1" x14ac:dyDescent="0.2"/>
    <row r="700" ht="141.6" hidden="1" customHeight="1" x14ac:dyDescent="0.2"/>
    <row r="701" ht="141.6" hidden="1" customHeight="1" x14ac:dyDescent="0.2"/>
    <row r="702" ht="141.6" hidden="1" customHeight="1" x14ac:dyDescent="0.2"/>
    <row r="703" ht="141.6" hidden="1" customHeight="1" x14ac:dyDescent="0.2"/>
    <row r="704" ht="141.6" hidden="1" customHeight="1" x14ac:dyDescent="0.2"/>
    <row r="705" ht="141.6" hidden="1" customHeight="1" x14ac:dyDescent="0.2"/>
    <row r="706" ht="141.6" hidden="1" customHeight="1" x14ac:dyDescent="0.2"/>
    <row r="707" ht="141.6" hidden="1" customHeight="1" x14ac:dyDescent="0.2"/>
    <row r="708" ht="141.6" hidden="1" customHeight="1" x14ac:dyDescent="0.2"/>
    <row r="709" ht="141.6" hidden="1" customHeight="1" x14ac:dyDescent="0.2"/>
    <row r="710" ht="141.6" hidden="1" customHeight="1" x14ac:dyDescent="0.2"/>
    <row r="711" ht="141.6" hidden="1" customHeight="1" x14ac:dyDescent="0.2"/>
    <row r="712" ht="141.6" hidden="1" customHeight="1" x14ac:dyDescent="0.2"/>
    <row r="713" ht="141.6" hidden="1" customHeight="1" x14ac:dyDescent="0.2"/>
    <row r="714" ht="141.6" hidden="1" customHeight="1" x14ac:dyDescent="0.2"/>
    <row r="715" ht="141.6" hidden="1" customHeight="1" x14ac:dyDescent="0.2"/>
    <row r="716" ht="141.6" hidden="1" customHeight="1" x14ac:dyDescent="0.2"/>
    <row r="717" ht="141.6" hidden="1" customHeight="1" x14ac:dyDescent="0.2"/>
    <row r="718" ht="141.6" hidden="1" customHeight="1" x14ac:dyDescent="0.2"/>
    <row r="719" ht="141.6" hidden="1" customHeight="1" x14ac:dyDescent="0.2"/>
    <row r="720" ht="141.6" hidden="1" customHeight="1" x14ac:dyDescent="0.2"/>
    <row r="721" ht="141.6" hidden="1" customHeight="1" x14ac:dyDescent="0.2"/>
    <row r="722" ht="141.6" hidden="1" customHeight="1" x14ac:dyDescent="0.2"/>
    <row r="723" ht="141.6" hidden="1" customHeight="1" x14ac:dyDescent="0.2"/>
    <row r="724" ht="141.6" hidden="1" customHeight="1" x14ac:dyDescent="0.2"/>
    <row r="725" ht="141.6" hidden="1" customHeight="1" x14ac:dyDescent="0.2"/>
    <row r="726" ht="141.6" hidden="1" customHeight="1" x14ac:dyDescent="0.2"/>
    <row r="727" ht="141.6" hidden="1" customHeight="1" x14ac:dyDescent="0.2"/>
    <row r="728" ht="141.6" hidden="1" customHeight="1" x14ac:dyDescent="0.2"/>
    <row r="729" ht="141.6" hidden="1" customHeight="1" x14ac:dyDescent="0.2"/>
    <row r="730" ht="141.6" hidden="1" customHeight="1" x14ac:dyDescent="0.2"/>
    <row r="731" ht="141.6" hidden="1" customHeight="1" x14ac:dyDescent="0.2"/>
    <row r="732" ht="141.6" hidden="1" customHeight="1" x14ac:dyDescent="0.2"/>
    <row r="733" ht="141.6" hidden="1" customHeight="1" x14ac:dyDescent="0.2"/>
    <row r="734" ht="141.6" hidden="1" customHeight="1" x14ac:dyDescent="0.2"/>
    <row r="735" ht="141.6" hidden="1" customHeight="1" x14ac:dyDescent="0.2"/>
    <row r="736" ht="141.6" hidden="1" customHeight="1" x14ac:dyDescent="0.2"/>
    <row r="737" ht="141.6" hidden="1" customHeight="1" x14ac:dyDescent="0.2"/>
    <row r="738" ht="141.6" hidden="1" customHeight="1" x14ac:dyDescent="0.2"/>
    <row r="739" ht="141.6" hidden="1" customHeight="1" x14ac:dyDescent="0.2"/>
    <row r="740" ht="141.6" hidden="1" customHeight="1" x14ac:dyDescent="0.2"/>
    <row r="741" ht="141.6" hidden="1" customHeight="1" x14ac:dyDescent="0.2"/>
    <row r="742" ht="141.6" hidden="1" customHeight="1" x14ac:dyDescent="0.2"/>
    <row r="743" ht="141.6" hidden="1" customHeight="1" x14ac:dyDescent="0.2"/>
    <row r="744" ht="141.6" hidden="1" customHeight="1" x14ac:dyDescent="0.2"/>
    <row r="745" ht="141.6" hidden="1" customHeight="1" x14ac:dyDescent="0.2"/>
    <row r="746" ht="141.6" hidden="1" customHeight="1" x14ac:dyDescent="0.2"/>
    <row r="747" ht="141.6" hidden="1" customHeight="1" x14ac:dyDescent="0.2"/>
    <row r="748" ht="141.6" hidden="1" customHeight="1" x14ac:dyDescent="0.2"/>
    <row r="749" ht="141.6" hidden="1" customHeight="1" x14ac:dyDescent="0.2"/>
    <row r="750" ht="141.6" hidden="1" customHeight="1" x14ac:dyDescent="0.2"/>
    <row r="751" ht="141.6" hidden="1" customHeight="1" x14ac:dyDescent="0.2"/>
    <row r="752" ht="141.6" hidden="1" customHeight="1" x14ac:dyDescent="0.2"/>
    <row r="753" ht="141.6" hidden="1" customHeight="1" x14ac:dyDescent="0.2"/>
    <row r="754" ht="141.6" hidden="1" customHeight="1" x14ac:dyDescent="0.2"/>
    <row r="755" ht="141.6" hidden="1" customHeight="1" x14ac:dyDescent="0.2"/>
    <row r="756" ht="141.6" hidden="1" customHeight="1" x14ac:dyDescent="0.2"/>
    <row r="757" ht="141.6" hidden="1" customHeight="1" x14ac:dyDescent="0.2"/>
    <row r="758" ht="141.6" hidden="1" customHeight="1" x14ac:dyDescent="0.2"/>
    <row r="759" ht="141.6" hidden="1" customHeight="1" x14ac:dyDescent="0.2"/>
    <row r="760" ht="141.6" hidden="1" customHeight="1" x14ac:dyDescent="0.2"/>
    <row r="761" ht="141.6" hidden="1" customHeight="1" x14ac:dyDescent="0.2"/>
    <row r="762" ht="141.6" hidden="1" customHeight="1" x14ac:dyDescent="0.2"/>
    <row r="763" ht="141.6" hidden="1" customHeight="1" x14ac:dyDescent="0.2"/>
    <row r="764" ht="141.6" hidden="1" customHeight="1" x14ac:dyDescent="0.2"/>
    <row r="765" ht="141.6" hidden="1" customHeight="1" x14ac:dyDescent="0.2"/>
    <row r="766" ht="141.6" hidden="1" customHeight="1" x14ac:dyDescent="0.2"/>
    <row r="767" ht="141.6" hidden="1" customHeight="1" x14ac:dyDescent="0.2"/>
    <row r="768" ht="141.6" hidden="1" customHeight="1" x14ac:dyDescent="0.2"/>
    <row r="769" ht="141.6" hidden="1" customHeight="1" x14ac:dyDescent="0.2"/>
    <row r="770" ht="141.6" hidden="1" customHeight="1" x14ac:dyDescent="0.2"/>
    <row r="771" ht="141.6" hidden="1" customHeight="1" x14ac:dyDescent="0.2"/>
    <row r="772" ht="141.6" hidden="1" customHeight="1" x14ac:dyDescent="0.2"/>
    <row r="773" ht="141.6" hidden="1" customHeight="1" x14ac:dyDescent="0.2"/>
    <row r="774" ht="141.6" hidden="1" customHeight="1" x14ac:dyDescent="0.2"/>
    <row r="775" ht="141.6" hidden="1" customHeight="1" x14ac:dyDescent="0.2"/>
    <row r="776" ht="141.6" hidden="1" customHeight="1" x14ac:dyDescent="0.2"/>
    <row r="777" ht="141.6" hidden="1" customHeight="1" x14ac:dyDescent="0.2"/>
    <row r="778" ht="141.6" hidden="1" customHeight="1" x14ac:dyDescent="0.2"/>
    <row r="779" ht="141.6" hidden="1" customHeight="1" x14ac:dyDescent="0.2"/>
    <row r="780" ht="141.6" hidden="1" customHeight="1" x14ac:dyDescent="0.2"/>
    <row r="781" ht="141.6" hidden="1" customHeight="1" x14ac:dyDescent="0.2"/>
    <row r="782" ht="141.6" hidden="1" customHeight="1" x14ac:dyDescent="0.2"/>
    <row r="783" ht="141.6" hidden="1" customHeight="1" x14ac:dyDescent="0.2"/>
    <row r="784" ht="141.6" hidden="1" customHeight="1" x14ac:dyDescent="0.2"/>
    <row r="785" ht="141.6" hidden="1" customHeight="1" x14ac:dyDescent="0.2"/>
    <row r="786" ht="141.6" hidden="1" customHeight="1" x14ac:dyDescent="0.2"/>
    <row r="787" ht="141.6" hidden="1" customHeight="1" x14ac:dyDescent="0.2"/>
    <row r="788" ht="141.6" hidden="1" customHeight="1" x14ac:dyDescent="0.2"/>
    <row r="789" ht="141.6" hidden="1" customHeight="1" x14ac:dyDescent="0.2"/>
    <row r="790" ht="141.6" hidden="1" customHeight="1" x14ac:dyDescent="0.2"/>
    <row r="791" ht="141.6" hidden="1" customHeight="1" x14ac:dyDescent="0.2"/>
    <row r="792" ht="141.6" hidden="1" customHeight="1" x14ac:dyDescent="0.2"/>
    <row r="793" ht="141.6" hidden="1" customHeight="1" x14ac:dyDescent="0.2"/>
    <row r="794" ht="141.6" hidden="1" customHeight="1" x14ac:dyDescent="0.2"/>
    <row r="795" ht="141.6" hidden="1" customHeight="1" x14ac:dyDescent="0.2"/>
    <row r="796" ht="141.6" hidden="1" customHeight="1" x14ac:dyDescent="0.2"/>
    <row r="797" ht="141.6" hidden="1" customHeight="1" x14ac:dyDescent="0.2"/>
    <row r="798" ht="141.6" hidden="1" customHeight="1" x14ac:dyDescent="0.2"/>
    <row r="799" ht="141.6" hidden="1" customHeight="1" x14ac:dyDescent="0.2"/>
    <row r="800" ht="141.6" hidden="1" customHeight="1" x14ac:dyDescent="0.2"/>
    <row r="801" ht="141.6" hidden="1" customHeight="1" x14ac:dyDescent="0.2"/>
    <row r="802" ht="141.6" hidden="1" customHeight="1" x14ac:dyDescent="0.2"/>
    <row r="803" ht="141.6" hidden="1" customHeight="1" x14ac:dyDescent="0.2"/>
    <row r="804" ht="141.6" hidden="1" customHeight="1" x14ac:dyDescent="0.2"/>
    <row r="805" ht="141.6" hidden="1" customHeight="1" x14ac:dyDescent="0.2"/>
    <row r="806" ht="141.6" hidden="1" customHeight="1" x14ac:dyDescent="0.2"/>
    <row r="807" ht="141.6" hidden="1" customHeight="1" x14ac:dyDescent="0.2"/>
    <row r="808" ht="141.6" hidden="1" customHeight="1" x14ac:dyDescent="0.2"/>
    <row r="809" ht="141.6" hidden="1" customHeight="1" x14ac:dyDescent="0.2"/>
    <row r="810" ht="141.6" hidden="1" customHeight="1" x14ac:dyDescent="0.2"/>
    <row r="811" ht="141.6" hidden="1" customHeight="1" x14ac:dyDescent="0.2"/>
    <row r="812" ht="141.6" hidden="1" customHeight="1" x14ac:dyDescent="0.2"/>
    <row r="813" ht="141.6" hidden="1" customHeight="1" x14ac:dyDescent="0.2"/>
    <row r="814" ht="141.6" hidden="1" customHeight="1" x14ac:dyDescent="0.2"/>
    <row r="815" ht="141.6" hidden="1" customHeight="1" x14ac:dyDescent="0.2"/>
    <row r="816" ht="141.6" hidden="1" customHeight="1" x14ac:dyDescent="0.2"/>
    <row r="817" ht="141.6" hidden="1" customHeight="1" x14ac:dyDescent="0.2"/>
    <row r="818" ht="141.6" hidden="1" customHeight="1" x14ac:dyDescent="0.2"/>
    <row r="819" ht="141.6" hidden="1" customHeight="1" x14ac:dyDescent="0.2"/>
    <row r="820" ht="141.6" hidden="1" customHeight="1" x14ac:dyDescent="0.2"/>
    <row r="821" ht="141.6" hidden="1" customHeight="1" x14ac:dyDescent="0.2"/>
    <row r="822" ht="141.6" hidden="1" customHeight="1" x14ac:dyDescent="0.2"/>
    <row r="823" ht="141.6" hidden="1" customHeight="1" x14ac:dyDescent="0.2"/>
    <row r="824" ht="141.6" hidden="1" customHeight="1" x14ac:dyDescent="0.2"/>
    <row r="825" ht="141.6" hidden="1" customHeight="1" x14ac:dyDescent="0.2"/>
    <row r="826" ht="141.6" hidden="1" customHeight="1" x14ac:dyDescent="0.2"/>
    <row r="827" ht="141.6" hidden="1" customHeight="1" x14ac:dyDescent="0.2"/>
    <row r="828" ht="141.6" hidden="1" customHeight="1" x14ac:dyDescent="0.2"/>
    <row r="829" ht="141.6" hidden="1" customHeight="1" x14ac:dyDescent="0.2"/>
    <row r="830" ht="141.6" hidden="1" customHeight="1" x14ac:dyDescent="0.2"/>
    <row r="831" ht="141.6" hidden="1" customHeight="1" x14ac:dyDescent="0.2"/>
    <row r="832" ht="141.6" hidden="1" customHeight="1" x14ac:dyDescent="0.2"/>
    <row r="833" ht="141.6" hidden="1" customHeight="1" x14ac:dyDescent="0.2"/>
    <row r="834" ht="141.6" hidden="1" customHeight="1" x14ac:dyDescent="0.2"/>
    <row r="835" ht="141.6" hidden="1" customHeight="1" x14ac:dyDescent="0.2"/>
    <row r="836" ht="141.6" hidden="1" customHeight="1" x14ac:dyDescent="0.2"/>
    <row r="837" ht="141.6" hidden="1" customHeight="1" x14ac:dyDescent="0.2"/>
    <row r="838" ht="141.6" hidden="1" customHeight="1" x14ac:dyDescent="0.2"/>
    <row r="839" ht="141.6" hidden="1" customHeight="1" x14ac:dyDescent="0.2"/>
    <row r="840" ht="141.6" hidden="1" customHeight="1" x14ac:dyDescent="0.2"/>
    <row r="841" ht="141.6" hidden="1" customHeight="1" x14ac:dyDescent="0.2"/>
    <row r="842" ht="141.6" hidden="1" customHeight="1" x14ac:dyDescent="0.2"/>
    <row r="843" ht="141.6" hidden="1" customHeight="1" x14ac:dyDescent="0.2"/>
    <row r="844" ht="141.6" hidden="1" customHeight="1" x14ac:dyDescent="0.2"/>
    <row r="845" ht="141.6" hidden="1" customHeight="1" x14ac:dyDescent="0.2"/>
    <row r="846" ht="141.6" hidden="1" customHeight="1" x14ac:dyDescent="0.2"/>
    <row r="847" ht="141.6" hidden="1" customHeight="1" x14ac:dyDescent="0.2"/>
    <row r="848" ht="141.6" hidden="1" customHeight="1" x14ac:dyDescent="0.2"/>
    <row r="849" ht="141.6" hidden="1" customHeight="1" x14ac:dyDescent="0.2"/>
    <row r="850" ht="141.6" hidden="1" customHeight="1" x14ac:dyDescent="0.2"/>
    <row r="851" ht="141.6" hidden="1" customHeight="1" x14ac:dyDescent="0.2"/>
    <row r="852" ht="141.6" hidden="1" customHeight="1" x14ac:dyDescent="0.2"/>
    <row r="853" ht="141.6" hidden="1" customHeight="1" x14ac:dyDescent="0.2"/>
    <row r="854" ht="141.6" hidden="1" customHeight="1" x14ac:dyDescent="0.2"/>
    <row r="855" ht="141.6" hidden="1" customHeight="1" x14ac:dyDescent="0.2"/>
    <row r="856" ht="141.6" hidden="1" customHeight="1" x14ac:dyDescent="0.2"/>
    <row r="857" ht="141.6" hidden="1" customHeight="1" x14ac:dyDescent="0.2"/>
    <row r="858" ht="141.6" hidden="1" customHeight="1" x14ac:dyDescent="0.2"/>
    <row r="859" ht="141.6" hidden="1" customHeight="1" x14ac:dyDescent="0.2"/>
    <row r="860" ht="141.6" hidden="1" customHeight="1" x14ac:dyDescent="0.2"/>
    <row r="861" ht="141.6" hidden="1" customHeight="1" x14ac:dyDescent="0.2"/>
    <row r="862" ht="141.6" hidden="1" customHeight="1" x14ac:dyDescent="0.2"/>
    <row r="863" ht="141.6" hidden="1" customHeight="1" x14ac:dyDescent="0.2"/>
    <row r="864" ht="141.6" hidden="1" customHeight="1" x14ac:dyDescent="0.2"/>
    <row r="865" ht="141.6" hidden="1" customHeight="1" x14ac:dyDescent="0.2"/>
    <row r="866" ht="141.6" hidden="1" customHeight="1" x14ac:dyDescent="0.2"/>
    <row r="867" ht="141.6" hidden="1" customHeight="1" x14ac:dyDescent="0.2"/>
    <row r="868" ht="141.6" hidden="1" customHeight="1" x14ac:dyDescent="0.2"/>
    <row r="869" ht="141.6" hidden="1" customHeight="1" x14ac:dyDescent="0.2"/>
    <row r="870" ht="141.6" hidden="1" customHeight="1" x14ac:dyDescent="0.2"/>
    <row r="871" ht="141.6" hidden="1" customHeight="1" x14ac:dyDescent="0.2"/>
    <row r="872" ht="141.6" hidden="1" customHeight="1" x14ac:dyDescent="0.2"/>
    <row r="873" ht="141.6" hidden="1" customHeight="1" x14ac:dyDescent="0.2"/>
    <row r="874" ht="141.6" hidden="1" customHeight="1" x14ac:dyDescent="0.2"/>
    <row r="875" ht="141.6" hidden="1" customHeight="1" x14ac:dyDescent="0.2"/>
    <row r="876" ht="141.6" hidden="1" customHeight="1" x14ac:dyDescent="0.2"/>
    <row r="877" ht="141.6" hidden="1" customHeight="1" x14ac:dyDescent="0.2"/>
    <row r="878" ht="141.6" hidden="1" customHeight="1" x14ac:dyDescent="0.2"/>
    <row r="879" ht="141.6" hidden="1" customHeight="1" x14ac:dyDescent="0.2"/>
    <row r="880" ht="141.6" hidden="1" customHeight="1" x14ac:dyDescent="0.2"/>
    <row r="881" ht="141.6" hidden="1" customHeight="1" x14ac:dyDescent="0.2"/>
    <row r="882" ht="141.6" hidden="1" customHeight="1" x14ac:dyDescent="0.2"/>
    <row r="883" ht="141.6" hidden="1" customHeight="1" x14ac:dyDescent="0.2"/>
    <row r="884" ht="141.6" hidden="1" customHeight="1" x14ac:dyDescent="0.2"/>
    <row r="885" ht="141.6" hidden="1" customHeight="1" x14ac:dyDescent="0.2"/>
    <row r="886" ht="141.6" hidden="1" customHeight="1" x14ac:dyDescent="0.2"/>
    <row r="887" ht="141.6" hidden="1" customHeight="1" x14ac:dyDescent="0.2"/>
    <row r="888" ht="141.6" hidden="1" customHeight="1" x14ac:dyDescent="0.2"/>
    <row r="889" ht="141.6" hidden="1" customHeight="1" x14ac:dyDescent="0.2"/>
    <row r="890" ht="141.6" hidden="1" customHeight="1" x14ac:dyDescent="0.2"/>
    <row r="891" ht="141.6" hidden="1" customHeight="1" x14ac:dyDescent="0.2"/>
    <row r="892" ht="141.6" hidden="1" customHeight="1" x14ac:dyDescent="0.2"/>
    <row r="893" ht="141.6" hidden="1" customHeight="1" x14ac:dyDescent="0.2"/>
    <row r="894" ht="141.6" hidden="1" customHeight="1" x14ac:dyDescent="0.2"/>
    <row r="895" ht="141.6" hidden="1" customHeight="1" x14ac:dyDescent="0.2"/>
    <row r="896" ht="141.6" hidden="1" customHeight="1" x14ac:dyDescent="0.2"/>
    <row r="897" ht="141.6" hidden="1" customHeight="1" x14ac:dyDescent="0.2"/>
    <row r="898" ht="141.6" hidden="1" customHeight="1" x14ac:dyDescent="0.2"/>
    <row r="899" ht="141.6" hidden="1" customHeight="1" x14ac:dyDescent="0.2"/>
    <row r="900" ht="141.6" hidden="1" customHeight="1" x14ac:dyDescent="0.2"/>
    <row r="901" ht="141.6" hidden="1" customHeight="1" x14ac:dyDescent="0.2"/>
    <row r="902" ht="141.6" hidden="1" customHeight="1" x14ac:dyDescent="0.2"/>
    <row r="903" ht="141.6" hidden="1" customHeight="1" x14ac:dyDescent="0.2"/>
    <row r="904" ht="141.6" hidden="1" customHeight="1" x14ac:dyDescent="0.2"/>
    <row r="905" ht="141.6" hidden="1" customHeight="1" x14ac:dyDescent="0.2"/>
    <row r="906" ht="141.6" hidden="1" customHeight="1" x14ac:dyDescent="0.2"/>
    <row r="907" ht="141.6" hidden="1" customHeight="1" x14ac:dyDescent="0.2"/>
    <row r="908" ht="141.6" hidden="1" customHeight="1" x14ac:dyDescent="0.2"/>
    <row r="909" ht="141.6" hidden="1" customHeight="1" x14ac:dyDescent="0.2"/>
    <row r="910" ht="141.6" hidden="1" customHeight="1" x14ac:dyDescent="0.2"/>
    <row r="911" ht="141.6" hidden="1" customHeight="1" x14ac:dyDescent="0.2"/>
    <row r="912" ht="141.6" hidden="1" customHeight="1" x14ac:dyDescent="0.2"/>
    <row r="913" ht="141.6" hidden="1" customHeight="1" x14ac:dyDescent="0.2"/>
    <row r="914" ht="141.6" hidden="1" customHeight="1" x14ac:dyDescent="0.2"/>
    <row r="915" ht="141.6" hidden="1" customHeight="1" x14ac:dyDescent="0.2"/>
    <row r="916" ht="141.6" hidden="1" customHeight="1" x14ac:dyDescent="0.2"/>
    <row r="917" ht="141.6" hidden="1" customHeight="1" x14ac:dyDescent="0.2"/>
    <row r="918" ht="141.6" hidden="1" customHeight="1" x14ac:dyDescent="0.2"/>
    <row r="919" ht="141.6" hidden="1" customHeight="1" x14ac:dyDescent="0.2"/>
    <row r="920" ht="141.6" hidden="1" customHeight="1" x14ac:dyDescent="0.2"/>
    <row r="921" ht="141.6" hidden="1" customHeight="1" x14ac:dyDescent="0.2"/>
    <row r="922" ht="141.6" hidden="1" customHeight="1" x14ac:dyDescent="0.2"/>
    <row r="923" ht="141.6" hidden="1" customHeight="1" x14ac:dyDescent="0.2"/>
    <row r="924" ht="141.6" hidden="1" customHeight="1" x14ac:dyDescent="0.2"/>
    <row r="925" ht="141.6" hidden="1" customHeight="1" x14ac:dyDescent="0.2"/>
    <row r="926" ht="141.6" hidden="1" customHeight="1" x14ac:dyDescent="0.2"/>
    <row r="927" ht="141.6" hidden="1" customHeight="1" x14ac:dyDescent="0.2"/>
    <row r="928" ht="141.6" hidden="1" customHeight="1" x14ac:dyDescent="0.2"/>
    <row r="929" ht="141.6" hidden="1" customHeight="1" x14ac:dyDescent="0.2"/>
    <row r="930" ht="141.6" hidden="1" customHeight="1" x14ac:dyDescent="0.2"/>
    <row r="931" ht="141.6" hidden="1" customHeight="1" x14ac:dyDescent="0.2"/>
    <row r="932" ht="141.6" hidden="1" customHeight="1" x14ac:dyDescent="0.2"/>
    <row r="933" ht="141.6" hidden="1" customHeight="1" x14ac:dyDescent="0.2"/>
    <row r="934" ht="141.6" hidden="1" customHeight="1" x14ac:dyDescent="0.2"/>
    <row r="935" ht="141.6" hidden="1" customHeight="1" x14ac:dyDescent="0.2"/>
    <row r="936" ht="141.6" hidden="1" customHeight="1" x14ac:dyDescent="0.2"/>
    <row r="937" ht="141.6" hidden="1" customHeight="1" x14ac:dyDescent="0.2"/>
    <row r="938" ht="141.6" hidden="1" customHeight="1" x14ac:dyDescent="0.2"/>
    <row r="939" ht="141.6" hidden="1" customHeight="1" x14ac:dyDescent="0.2"/>
    <row r="940" ht="141.6" hidden="1" customHeight="1" x14ac:dyDescent="0.2"/>
    <row r="941" ht="141.6" hidden="1" customHeight="1" x14ac:dyDescent="0.2"/>
    <row r="942" ht="141.6" hidden="1" customHeight="1" x14ac:dyDescent="0.2"/>
    <row r="943" ht="141.6" hidden="1" customHeight="1" x14ac:dyDescent="0.2"/>
    <row r="944" ht="141.6" hidden="1" customHeight="1" x14ac:dyDescent="0.2"/>
    <row r="945" ht="141.6" hidden="1" customHeight="1" x14ac:dyDescent="0.2"/>
    <row r="946" ht="141.6" hidden="1" customHeight="1" x14ac:dyDescent="0.2"/>
    <row r="947" ht="141.6" hidden="1" customHeight="1" x14ac:dyDescent="0.2"/>
    <row r="948" ht="141.6" hidden="1" customHeight="1" x14ac:dyDescent="0.2"/>
    <row r="949" ht="141.6" hidden="1" customHeight="1" x14ac:dyDescent="0.2"/>
    <row r="950" ht="141.6" hidden="1" customHeight="1" x14ac:dyDescent="0.2"/>
    <row r="951" ht="141.6" hidden="1" customHeight="1" x14ac:dyDescent="0.2"/>
    <row r="952" ht="141.6" hidden="1" customHeight="1" x14ac:dyDescent="0.2"/>
    <row r="953" ht="141.6" hidden="1" customHeight="1" x14ac:dyDescent="0.2"/>
    <row r="954" ht="141.6" hidden="1" customHeight="1" x14ac:dyDescent="0.2"/>
    <row r="955" ht="141.6" hidden="1" customHeight="1" x14ac:dyDescent="0.2"/>
    <row r="956" ht="141.6" hidden="1" customHeight="1" x14ac:dyDescent="0.2"/>
    <row r="957" ht="141.6" hidden="1" customHeight="1" x14ac:dyDescent="0.2"/>
    <row r="958" ht="141.6" hidden="1" customHeight="1" x14ac:dyDescent="0.2"/>
    <row r="959" ht="141.6" hidden="1" customHeight="1" x14ac:dyDescent="0.2"/>
    <row r="960" ht="141.6" hidden="1" customHeight="1" x14ac:dyDescent="0.2"/>
    <row r="961" ht="141.6" hidden="1" customHeight="1" x14ac:dyDescent="0.2"/>
    <row r="962" ht="141.6" hidden="1" customHeight="1" x14ac:dyDescent="0.2"/>
    <row r="963" ht="141.6" hidden="1" customHeight="1" x14ac:dyDescent="0.2"/>
    <row r="964" ht="141.6" hidden="1" customHeight="1" x14ac:dyDescent="0.2"/>
    <row r="965" ht="141.6" hidden="1" customHeight="1" x14ac:dyDescent="0.2"/>
    <row r="966" ht="141.6" hidden="1" customHeight="1" x14ac:dyDescent="0.2"/>
    <row r="967" ht="141.6" hidden="1" customHeight="1" x14ac:dyDescent="0.2"/>
    <row r="968" ht="141.6" hidden="1" customHeight="1" x14ac:dyDescent="0.2"/>
    <row r="969" ht="141.6" hidden="1" customHeight="1" x14ac:dyDescent="0.2"/>
    <row r="970" ht="141.6" hidden="1" customHeight="1" x14ac:dyDescent="0.2"/>
    <row r="971" ht="141.6" hidden="1" customHeight="1" x14ac:dyDescent="0.2"/>
    <row r="972" ht="141.6" hidden="1" customHeight="1" x14ac:dyDescent="0.2"/>
    <row r="973" ht="141.6" hidden="1" customHeight="1" x14ac:dyDescent="0.2"/>
    <row r="974" ht="141.6" hidden="1" customHeight="1" x14ac:dyDescent="0.2"/>
    <row r="975" ht="141.6" hidden="1" customHeight="1" x14ac:dyDescent="0.2"/>
    <row r="976" ht="141.6" hidden="1" customHeight="1" x14ac:dyDescent="0.2"/>
    <row r="977" ht="141.6" hidden="1" customHeight="1" x14ac:dyDescent="0.2"/>
    <row r="978" ht="141.6" hidden="1" customHeight="1" x14ac:dyDescent="0.2"/>
    <row r="979" ht="141.6" hidden="1" customHeight="1" x14ac:dyDescent="0.2"/>
    <row r="980" ht="141.6" hidden="1" customHeight="1" x14ac:dyDescent="0.2"/>
    <row r="981" ht="141.6" hidden="1" customHeight="1" x14ac:dyDescent="0.2"/>
    <row r="982" ht="141.6" hidden="1" customHeight="1" x14ac:dyDescent="0.2"/>
    <row r="983" ht="141.6" hidden="1" customHeight="1" x14ac:dyDescent="0.2"/>
    <row r="984" ht="141.6" hidden="1" customHeight="1" x14ac:dyDescent="0.2"/>
    <row r="985" ht="141.6" hidden="1" customHeight="1" x14ac:dyDescent="0.2"/>
    <row r="986" ht="141.6" hidden="1" customHeight="1" x14ac:dyDescent="0.2"/>
    <row r="987" ht="141.6" hidden="1" customHeight="1" x14ac:dyDescent="0.2"/>
    <row r="988" ht="141.6" hidden="1" customHeight="1" x14ac:dyDescent="0.2"/>
    <row r="989" ht="141.6" hidden="1" customHeight="1" x14ac:dyDescent="0.2"/>
    <row r="990" ht="141.6" hidden="1" customHeight="1" x14ac:dyDescent="0.2"/>
    <row r="991" ht="141.6" hidden="1" customHeight="1" x14ac:dyDescent="0.2"/>
    <row r="992" ht="141.6" hidden="1" customHeight="1" x14ac:dyDescent="0.2"/>
    <row r="993" ht="141.6" hidden="1" customHeight="1" x14ac:dyDescent="0.2"/>
    <row r="994" ht="141.6" hidden="1" customHeight="1" x14ac:dyDescent="0.2"/>
    <row r="995" ht="141.6" hidden="1" customHeight="1" x14ac:dyDescent="0.2"/>
    <row r="996" ht="141.6" hidden="1" customHeight="1" x14ac:dyDescent="0.2"/>
    <row r="997" ht="141.6" hidden="1" customHeight="1" x14ac:dyDescent="0.2"/>
    <row r="998" ht="141.6" hidden="1" customHeight="1" x14ac:dyDescent="0.2"/>
    <row r="999" ht="141.6" hidden="1" customHeight="1" x14ac:dyDescent="0.2"/>
    <row r="1000" ht="141.6" hidden="1" customHeight="1" x14ac:dyDescent="0.2"/>
    <row r="1001" ht="141.6" hidden="1" customHeight="1" x14ac:dyDescent="0.2"/>
  </sheetData>
  <sheetProtection formatRows="0"/>
  <mergeCells count="57">
    <mergeCell ref="K50:M50"/>
    <mergeCell ref="K51:M51"/>
    <mergeCell ref="B52:C52"/>
    <mergeCell ref="K52:M52"/>
    <mergeCell ref="B53:C53"/>
    <mergeCell ref="K53:M53"/>
    <mergeCell ref="B55:D55"/>
    <mergeCell ref="B68:C68"/>
    <mergeCell ref="K68:M68"/>
    <mergeCell ref="B54:C54"/>
    <mergeCell ref="K54:M54"/>
    <mergeCell ref="B57:C57"/>
    <mergeCell ref="K57:M57"/>
    <mergeCell ref="B67:C67"/>
    <mergeCell ref="K67:M67"/>
    <mergeCell ref="B56:D56"/>
    <mergeCell ref="B74:C74"/>
    <mergeCell ref="K74:M74"/>
    <mergeCell ref="B69:C69"/>
    <mergeCell ref="K69:M69"/>
    <mergeCell ref="B71:C71"/>
    <mergeCell ref="K71:M71"/>
    <mergeCell ref="B72:C72"/>
    <mergeCell ref="K72:M72"/>
    <mergeCell ref="B73:C73"/>
    <mergeCell ref="K73:M73"/>
    <mergeCell ref="B49:C49"/>
    <mergeCell ref="K49:M49"/>
    <mergeCell ref="C48:T48"/>
    <mergeCell ref="C47:T47"/>
    <mergeCell ref="A44:A45"/>
    <mergeCell ref="A37:A39"/>
    <mergeCell ref="A40:A43"/>
    <mergeCell ref="A33:A36"/>
    <mergeCell ref="D10:F10"/>
    <mergeCell ref="A6:T6"/>
    <mergeCell ref="A9:T9"/>
    <mergeCell ref="A8:T8"/>
    <mergeCell ref="A18:C19"/>
    <mergeCell ref="D18:G19"/>
    <mergeCell ref="N19:O19"/>
    <mergeCell ref="P19:Q19"/>
    <mergeCell ref="H18:M18"/>
    <mergeCell ref="N18:S18"/>
    <mergeCell ref="T18:T20"/>
    <mergeCell ref="H19:I19"/>
    <mergeCell ref="J19:K19"/>
    <mergeCell ref="L19:M19"/>
    <mergeCell ref="R19:S19"/>
    <mergeCell ref="A29:A32"/>
    <mergeCell ref="A21:A24"/>
    <mergeCell ref="A25:A28"/>
    <mergeCell ref="A1:T1"/>
    <mergeCell ref="A2:T2"/>
    <mergeCell ref="A3:T3"/>
    <mergeCell ref="A4:T4"/>
    <mergeCell ref="A5:T5"/>
  </mergeCells>
  <conditionalFormatting sqref="A21:D43">
    <cfRule type="containsErrors" dxfId="1" priority="1">
      <formula>ISERROR(A21)</formula>
    </cfRule>
  </conditionalFormatting>
  <printOptions horizontalCentered="1"/>
  <pageMargins left="0.23622047244094491" right="0.19" top="0.31496062992125984" bottom="0.31496062992125984" header="0.31496062992125984" footer="0.31496062992125984"/>
  <pageSetup paperSize="9" scale="90" orientation="landscape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CFE3A9-CE32-4611-9234-DAAC2B5E7C30}">
          <x14:formula1>
            <xm:f>DATA!$Y$30:$Y$43</xm:f>
          </x14:formula1>
          <xm:sqref>D21:D43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5B75-36DE-4F7A-B20F-0FBFA708584E}">
  <dimension ref="A1:D23"/>
  <sheetViews>
    <sheetView workbookViewId="0">
      <selection activeCell="F16" sqref="F16"/>
    </sheetView>
  </sheetViews>
  <sheetFormatPr defaultRowHeight="15" x14ac:dyDescent="0.25"/>
  <sheetData>
    <row r="1" spans="1:4" ht="16.5" thickTop="1" x14ac:dyDescent="0.25">
      <c r="A1" s="357" t="s">
        <v>26</v>
      </c>
      <c r="B1" s="109">
        <v>2</v>
      </c>
      <c r="C1" s="110" t="s">
        <v>173</v>
      </c>
      <c r="D1" s="111" t="s">
        <v>37</v>
      </c>
    </row>
    <row r="2" spans="1:4" ht="15.75" x14ac:dyDescent="0.25">
      <c r="A2" s="356"/>
      <c r="B2" s="112">
        <v>2</v>
      </c>
      <c r="C2" s="113" t="s">
        <v>163</v>
      </c>
      <c r="D2" s="114" t="s">
        <v>104</v>
      </c>
    </row>
    <row r="3" spans="1:4" ht="15.75" x14ac:dyDescent="0.25">
      <c r="A3" s="356"/>
      <c r="B3" s="112"/>
      <c r="C3" s="113"/>
      <c r="D3" s="114"/>
    </row>
    <row r="4" spans="1:4" ht="15.75" x14ac:dyDescent="0.25">
      <c r="A4" s="356"/>
      <c r="B4" s="112"/>
      <c r="C4" s="113"/>
      <c r="D4" s="114"/>
    </row>
    <row r="5" spans="1:4" ht="15.75" x14ac:dyDescent="0.25">
      <c r="A5" s="356" t="s">
        <v>27</v>
      </c>
      <c r="B5" s="112">
        <v>2</v>
      </c>
      <c r="C5" s="113" t="s">
        <v>161</v>
      </c>
      <c r="D5" s="114" t="s">
        <v>33</v>
      </c>
    </row>
    <row r="6" spans="1:4" ht="15.75" x14ac:dyDescent="0.25">
      <c r="A6" s="356"/>
      <c r="B6" s="112">
        <v>2</v>
      </c>
      <c r="C6" s="113" t="s">
        <v>162</v>
      </c>
      <c r="D6" s="114" t="s">
        <v>131</v>
      </c>
    </row>
    <row r="7" spans="1:4" ht="15.75" x14ac:dyDescent="0.25">
      <c r="A7" s="356"/>
      <c r="B7" s="112">
        <v>2</v>
      </c>
      <c r="C7" s="113" t="s">
        <v>174</v>
      </c>
      <c r="D7" s="114" t="s">
        <v>34</v>
      </c>
    </row>
    <row r="8" spans="1:4" ht="15.75" x14ac:dyDescent="0.25">
      <c r="A8" s="356"/>
      <c r="B8" s="112">
        <v>2</v>
      </c>
      <c r="C8" s="113" t="s">
        <v>164</v>
      </c>
      <c r="D8" s="114" t="s">
        <v>32</v>
      </c>
    </row>
    <row r="9" spans="1:4" ht="15.75" x14ac:dyDescent="0.25">
      <c r="A9" s="356" t="s">
        <v>28</v>
      </c>
      <c r="B9" s="112">
        <v>2</v>
      </c>
      <c r="C9" s="113" t="s">
        <v>161</v>
      </c>
      <c r="D9" s="114" t="s">
        <v>35</v>
      </c>
    </row>
    <row r="10" spans="1:4" ht="15.75" x14ac:dyDescent="0.25">
      <c r="A10" s="356"/>
      <c r="B10" s="112"/>
      <c r="C10" s="113"/>
      <c r="D10" s="114"/>
    </row>
    <row r="11" spans="1:4" ht="15.75" x14ac:dyDescent="0.25">
      <c r="A11" s="356"/>
      <c r="B11" s="112"/>
      <c r="C11" s="113"/>
      <c r="D11" s="114"/>
    </row>
    <row r="12" spans="1:4" ht="15.75" x14ac:dyDescent="0.25">
      <c r="A12" s="356"/>
      <c r="B12" s="112"/>
      <c r="C12" s="113"/>
      <c r="D12" s="114"/>
    </row>
    <row r="13" spans="1:4" ht="15.75" x14ac:dyDescent="0.25">
      <c r="A13" s="356" t="s">
        <v>29</v>
      </c>
      <c r="B13" s="112">
        <v>2</v>
      </c>
      <c r="C13" s="113" t="s">
        <v>161</v>
      </c>
      <c r="D13" s="114" t="s">
        <v>160</v>
      </c>
    </row>
    <row r="14" spans="1:4" ht="15.75" x14ac:dyDescent="0.25">
      <c r="A14" s="356"/>
      <c r="B14" s="112">
        <v>2</v>
      </c>
      <c r="C14" s="113" t="s">
        <v>162</v>
      </c>
      <c r="D14" s="114" t="s">
        <v>102</v>
      </c>
    </row>
    <row r="15" spans="1:4" ht="15.75" x14ac:dyDescent="0.25">
      <c r="A15" s="356"/>
      <c r="B15" s="112">
        <v>2</v>
      </c>
      <c r="C15" s="113" t="s">
        <v>174</v>
      </c>
      <c r="D15" s="114" t="s">
        <v>36</v>
      </c>
    </row>
    <row r="16" spans="1:4" ht="15.75" x14ac:dyDescent="0.25">
      <c r="A16" s="356"/>
      <c r="B16" s="112">
        <v>2</v>
      </c>
      <c r="C16" s="113" t="s">
        <v>164</v>
      </c>
      <c r="D16" s="114" t="s">
        <v>103</v>
      </c>
    </row>
    <row r="17" spans="1:4" ht="15.75" x14ac:dyDescent="0.25">
      <c r="A17" s="356" t="s">
        <v>105</v>
      </c>
      <c r="B17" s="112">
        <v>2</v>
      </c>
      <c r="C17" s="113" t="s">
        <v>173</v>
      </c>
      <c r="D17" s="114" t="s">
        <v>139</v>
      </c>
    </row>
    <row r="18" spans="1:4" ht="15.75" x14ac:dyDescent="0.25">
      <c r="A18" s="356"/>
      <c r="B18" s="112"/>
      <c r="C18" s="113"/>
      <c r="D18" s="114"/>
    </row>
    <row r="19" spans="1:4" ht="15.75" x14ac:dyDescent="0.25">
      <c r="A19" s="356"/>
      <c r="B19" s="112"/>
      <c r="C19" s="113"/>
      <c r="D19" s="114"/>
    </row>
    <row r="20" spans="1:4" ht="15.75" x14ac:dyDescent="0.25">
      <c r="A20" s="356" t="s">
        <v>30</v>
      </c>
      <c r="B20" s="112">
        <v>2</v>
      </c>
      <c r="C20" s="113" t="s">
        <v>163</v>
      </c>
      <c r="D20" s="114" t="s">
        <v>140</v>
      </c>
    </row>
    <row r="21" spans="1:4" ht="15.75" x14ac:dyDescent="0.25">
      <c r="A21" s="356"/>
      <c r="B21" s="112"/>
      <c r="C21" s="113"/>
      <c r="D21" s="114"/>
    </row>
    <row r="22" spans="1:4" ht="15.75" x14ac:dyDescent="0.25">
      <c r="A22" s="356"/>
      <c r="B22" s="112"/>
      <c r="C22" s="113"/>
      <c r="D22" s="114"/>
    </row>
    <row r="23" spans="1:4" ht="15.75" x14ac:dyDescent="0.25">
      <c r="A23" s="356"/>
      <c r="B23" s="112"/>
      <c r="C23" s="113"/>
      <c r="D23" s="114"/>
    </row>
  </sheetData>
  <mergeCells count="6">
    <mergeCell ref="A20:A23"/>
    <mergeCell ref="A1:A4"/>
    <mergeCell ref="A5:A8"/>
    <mergeCell ref="A9:A12"/>
    <mergeCell ref="A13:A16"/>
    <mergeCell ref="A17:A19"/>
  </mergeCells>
  <conditionalFormatting sqref="A1:D23">
    <cfRule type="containsErrors" dxfId="0" priority="1">
      <formula>ISERROR(A1)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C5ADD2-9B74-4A66-BA7F-08969C187B21}">
          <x14:formula1>
            <xm:f>DATA!$Y$30:$Y$43</xm:f>
          </x14:formula1>
          <xm:sqref>D1:D23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DATA</vt:lpstr>
      <vt:lpstr>DATA 1</vt:lpstr>
      <vt:lpstr>proses</vt:lpstr>
      <vt:lpstr>JURNAL_LKH</vt:lpstr>
      <vt:lpstr>TEST</vt:lpstr>
      <vt:lpstr>LAPORAN BULANAN</vt:lpstr>
      <vt:lpstr>Sheet1</vt:lpstr>
      <vt:lpstr>JURNAL_LKH!Print_Area</vt:lpstr>
      <vt:lpstr>'LAPORAN BULANAN'!Print_Area</vt:lpstr>
      <vt:lpstr>JURNAL_LKH!Print_Titles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aquila alfazza</dc:title>
  <dc:creator>nurlailatulhasanah</dc:creator>
  <dc:description>pembuat jurnal dan lkh</dc:description>
  <cp:lastModifiedBy>Nurlailatul Hasanah</cp:lastModifiedBy>
  <cp:lastPrinted>2026-07-17T07:45:31Z</cp:lastPrinted>
  <dcterms:created xsi:type="dcterms:W3CDTF">2016-09-21T01:54:37Z</dcterms:created>
  <dcterms:modified xsi:type="dcterms:W3CDTF">2026-08-03T22:47:03Z</dcterms:modified>
</cp:coreProperties>
</file>